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ato\repos\Docment\Takahashi\【依頼分】20261028　集計関係\"/>
    </mc:Choice>
  </mc:AlternateContent>
  <xr:revisionPtr revIDLastSave="0" documentId="13_ncr:1_{9CD2E73A-F1FC-4E82-806D-D3FE7CB8570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5年度出願" sheetId="13" r:id="rId1"/>
    <sheet name="2026年度出願" sheetId="19" r:id="rId2"/>
    <sheet name="2027年度出願" sheetId="21" r:id="rId3"/>
    <sheet name="昨年比" sheetId="15" r:id="rId4"/>
    <sheet name="日付設定" sheetId="5" r:id="rId5"/>
    <sheet name="Sheet4" sheetId="10" r:id="rId6"/>
    <sheet name="昨年比(3)" sheetId="16" r:id="rId7"/>
    <sheet name="昨年比(2)確認用" sheetId="14" r:id="rId8"/>
    <sheet name="昨年比(2)・旧" sheetId="9" r:id="rId9"/>
    <sheet name="昨年比・旧" sheetId="11" r:id="rId10"/>
    <sheet name="2024年度出願" sheetId="12" r:id="rId11"/>
    <sheet name="2024年度AOエントリー" sheetId="1" r:id="rId12"/>
    <sheet name="2025年度AOエントリー" sheetId="3" r:id="rId13"/>
    <sheet name="2026年度AOエントリー" sheetId="17" r:id="rId14"/>
    <sheet name="※使用不可　元データ（2024年）" sheetId="4" r:id="rId15"/>
  </sheets>
  <definedNames>
    <definedName name="_xlnm._FilterDatabase" localSheetId="14" hidden="1">'※使用不可　元データ（2024年）'!$A$1:$Z$1</definedName>
    <definedName name="_xlnm._FilterDatabase" localSheetId="11" hidden="1">'2024年度AOエントリー'!$A$1:$Y$364</definedName>
    <definedName name="_xlnm._FilterDatabase" localSheetId="10" hidden="1">'2024年度出願'!$A$1:$AU$275</definedName>
    <definedName name="_xlnm._FilterDatabase" localSheetId="12" hidden="1">'2025年度AOエントリー'!$A$1:$Y$956</definedName>
    <definedName name="_xlnm._FilterDatabase" localSheetId="0" hidden="1">'2025年度出願'!$A$1:$AU$371</definedName>
    <definedName name="_xlnm._FilterDatabase" localSheetId="13" hidden="1">'2026年度AOエントリー'!$A$1:$Y$956</definedName>
    <definedName name="_xlnm._FilterDatabase" localSheetId="1" hidden="1">'2026年度出願'!$A$1:$AU$1</definedName>
    <definedName name="_xlnm._FilterDatabase" localSheetId="2" hidden="1">'2027年度出願'!$A$1:$AU$179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6" l="1"/>
  <c r="C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AE18" i="16"/>
  <c r="AB18" i="16"/>
  <c r="Y18" i="16"/>
  <c r="V18" i="16"/>
  <c r="S18" i="16"/>
  <c r="P18" i="16"/>
  <c r="M18" i="16"/>
  <c r="J18" i="16"/>
  <c r="G18" i="16"/>
  <c r="D18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G6" i="16"/>
  <c r="F6" i="16"/>
  <c r="E6" i="16"/>
  <c r="D6" i="16"/>
  <c r="C6" i="16"/>
  <c r="B6" i="16"/>
  <c r="E1" i="16"/>
  <c r="AI35" i="15"/>
  <c r="AA35" i="15"/>
  <c r="S35" i="15"/>
  <c r="K35" i="15"/>
  <c r="C35" i="15"/>
  <c r="AB34" i="15"/>
  <c r="T34" i="15"/>
  <c r="L34" i="15"/>
  <c r="D34" i="15"/>
  <c r="AH35" i="15"/>
  <c r="Z35" i="15"/>
  <c r="R35" i="15"/>
  <c r="J35" i="15"/>
  <c r="AI34" i="15"/>
  <c r="AA34" i="15"/>
  <c r="S34" i="15"/>
  <c r="K34" i="15"/>
  <c r="C34" i="15"/>
  <c r="AB35" i="15"/>
  <c r="AG35" i="15"/>
  <c r="Y35" i="15"/>
  <c r="Q35" i="15"/>
  <c r="I35" i="15"/>
  <c r="AH34" i="15"/>
  <c r="Z34" i="15"/>
  <c r="R34" i="15"/>
  <c r="J34" i="15"/>
  <c r="F34" i="15"/>
  <c r="D35" i="15"/>
  <c r="AF35" i="15"/>
  <c r="X35" i="15"/>
  <c r="P35" i="15"/>
  <c r="H35" i="15"/>
  <c r="AG34" i="15"/>
  <c r="Y34" i="15"/>
  <c r="Q34" i="15"/>
  <c r="I34" i="15"/>
  <c r="L35" i="15"/>
  <c r="M34" i="15"/>
  <c r="AE35" i="15"/>
  <c r="W35" i="15"/>
  <c r="O35" i="15"/>
  <c r="G35" i="15"/>
  <c r="AF34" i="15"/>
  <c r="X34" i="15"/>
  <c r="P34" i="15"/>
  <c r="H34" i="15"/>
  <c r="W34" i="15"/>
  <c r="O34" i="15"/>
  <c r="T35" i="15"/>
  <c r="U34" i="15"/>
  <c r="AD35" i="15"/>
  <c r="V35" i="15"/>
  <c r="N35" i="15"/>
  <c r="F35" i="15"/>
  <c r="AE34" i="15"/>
  <c r="G34" i="15"/>
  <c r="AC35" i="15"/>
  <c r="U35" i="15"/>
  <c r="M35" i="15"/>
  <c r="E35" i="15"/>
  <c r="AD34" i="15"/>
  <c r="V34" i="15"/>
  <c r="N34" i="15"/>
  <c r="AC34" i="15"/>
  <c r="E34" i="15"/>
  <c r="AI32" i="15"/>
  <c r="AA32" i="15"/>
  <c r="S32" i="15"/>
  <c r="K32" i="15"/>
  <c r="C32" i="15"/>
  <c r="H32" i="15"/>
  <c r="F32" i="15"/>
  <c r="AB32" i="15"/>
  <c r="AH32" i="15"/>
  <c r="Z32" i="15"/>
  <c r="R32" i="15"/>
  <c r="J32" i="15"/>
  <c r="I32" i="15"/>
  <c r="N32" i="15"/>
  <c r="E32" i="15"/>
  <c r="D32" i="15"/>
  <c r="AG32" i="15"/>
  <c r="Y32" i="15"/>
  <c r="Q32" i="15"/>
  <c r="P32" i="15"/>
  <c r="AF32" i="15"/>
  <c r="X32" i="15"/>
  <c r="U32" i="15"/>
  <c r="T32" i="15"/>
  <c r="AE32" i="15"/>
  <c r="W32" i="15"/>
  <c r="O32" i="15"/>
  <c r="G32" i="15"/>
  <c r="AD32" i="15"/>
  <c r="V32" i="15"/>
  <c r="M32" i="15"/>
  <c r="AC32" i="15"/>
  <c r="L32" i="15"/>
  <c r="AI31" i="15"/>
  <c r="AA31" i="15"/>
  <c r="K31" i="15"/>
  <c r="C31" i="15"/>
  <c r="I31" i="15"/>
  <c r="H31" i="15"/>
  <c r="AH31" i="15"/>
  <c r="Z31" i="15"/>
  <c r="R31" i="15"/>
  <c r="J31" i="15"/>
  <c r="AG31" i="15"/>
  <c r="Y31" i="15"/>
  <c r="Q31" i="15"/>
  <c r="AF31" i="15"/>
  <c r="AE31" i="15"/>
  <c r="W31" i="15"/>
  <c r="O31" i="15"/>
  <c r="G31" i="15"/>
  <c r="AD31" i="15"/>
  <c r="V31" i="15"/>
  <c r="N31" i="15"/>
  <c r="F31" i="15"/>
  <c r="E31" i="15"/>
  <c r="AB31" i="15"/>
  <c r="D31" i="15"/>
  <c r="X31" i="15"/>
  <c r="AC31" i="15"/>
  <c r="U31" i="15"/>
  <c r="M31" i="15"/>
  <c r="T31" i="15"/>
  <c r="L31" i="15"/>
  <c r="S31" i="15"/>
  <c r="P31" i="15"/>
  <c r="AI22" i="15"/>
  <c r="AH22" i="15"/>
  <c r="AG22" i="15"/>
  <c r="AH17" i="15"/>
  <c r="AI21" i="15"/>
  <c r="AG17" i="15"/>
  <c r="AH21" i="15"/>
  <c r="AI16" i="15"/>
  <c r="AI23" i="15"/>
  <c r="AG21" i="15"/>
  <c r="AH16" i="15"/>
  <c r="AH23" i="15"/>
  <c r="AI18" i="15"/>
  <c r="AG16" i="15"/>
  <c r="AG23" i="15"/>
  <c r="AH18" i="15"/>
  <c r="AG18" i="15"/>
  <c r="AI17" i="15"/>
  <c r="B8" i="15"/>
  <c r="B6" i="15"/>
  <c r="C6" i="15"/>
  <c r="B7" i="15"/>
  <c r="G8" i="15"/>
  <c r="E7" i="15"/>
  <c r="F8" i="15"/>
  <c r="D7" i="15"/>
  <c r="E8" i="15"/>
  <c r="C7" i="15"/>
  <c r="C8" i="15"/>
  <c r="G6" i="15"/>
  <c r="F6" i="15"/>
  <c r="G7" i="15"/>
  <c r="E6" i="15"/>
  <c r="F7" i="15"/>
  <c r="D6" i="15"/>
  <c r="D8" i="15"/>
  <c r="AC22" i="15"/>
  <c r="U22" i="15"/>
  <c r="M22" i="15"/>
  <c r="E22" i="15"/>
  <c r="AB22" i="15"/>
  <c r="T22" i="15"/>
  <c r="L22" i="15"/>
  <c r="D22" i="15"/>
  <c r="F22" i="15"/>
  <c r="AA22" i="15"/>
  <c r="S22" i="15"/>
  <c r="K22" i="15"/>
  <c r="C22" i="15"/>
  <c r="Z22" i="15"/>
  <c r="R22" i="15"/>
  <c r="J22" i="15"/>
  <c r="AD22" i="15"/>
  <c r="Y22" i="15"/>
  <c r="Q22" i="15"/>
  <c r="I22" i="15"/>
  <c r="V22" i="15"/>
  <c r="AF22" i="15"/>
  <c r="X22" i="15"/>
  <c r="P22" i="15"/>
  <c r="H22" i="15"/>
  <c r="N22" i="15"/>
  <c r="AE22" i="15"/>
  <c r="W22" i="15"/>
  <c r="O22" i="15"/>
  <c r="G22" i="15"/>
  <c r="W16" i="15"/>
  <c r="T16" i="15"/>
  <c r="AC16" i="15"/>
  <c r="K21" i="15"/>
  <c r="L16" i="15"/>
  <c r="C21" i="15"/>
  <c r="Z16" i="15"/>
  <c r="J16" i="15"/>
  <c r="Y21" i="15"/>
  <c r="AD16" i="15"/>
  <c r="W21" i="15"/>
  <c r="AF16" i="15"/>
  <c r="U16" i="15"/>
  <c r="AB21" i="15"/>
  <c r="AF21" i="15"/>
  <c r="E16" i="15"/>
  <c r="AA16" i="15"/>
  <c r="T21" i="15"/>
  <c r="X16" i="15"/>
  <c r="N21" i="15"/>
  <c r="R21" i="15"/>
  <c r="AB16" i="15"/>
  <c r="D21" i="15"/>
  <c r="AC21" i="15"/>
  <c r="F16" i="15"/>
  <c r="D16" i="15"/>
  <c r="N16" i="15"/>
  <c r="E21" i="15"/>
  <c r="M21" i="15"/>
  <c r="L21" i="15"/>
  <c r="R16" i="15"/>
  <c r="AD21" i="15"/>
  <c r="P16" i="15"/>
  <c r="K16" i="15"/>
  <c r="F21" i="15"/>
  <c r="C16" i="15"/>
  <c r="J21" i="15"/>
  <c r="AE21" i="15"/>
  <c r="H21" i="15"/>
  <c r="O21" i="15"/>
  <c r="S21" i="15"/>
  <c r="Q21" i="15"/>
  <c r="I16" i="15"/>
  <c r="AA21" i="15"/>
  <c r="V16" i="15"/>
  <c r="Z21" i="15"/>
  <c r="V21" i="15"/>
  <c r="X21" i="15"/>
  <c r="G16" i="15"/>
  <c r="AE16" i="15"/>
  <c r="I21" i="15"/>
  <c r="P21" i="15"/>
  <c r="G21" i="15"/>
  <c r="M16" i="15"/>
  <c r="Q16" i="15"/>
  <c r="H16" i="15"/>
  <c r="O16" i="15"/>
  <c r="Y16" i="15"/>
  <c r="U21" i="15"/>
  <c r="S16" i="15"/>
  <c r="AL21" i="15" l="1"/>
  <c r="AK21" i="15"/>
  <c r="AJ21" i="15"/>
  <c r="AJ22" i="15"/>
  <c r="AK22" i="15"/>
  <c r="AL22" i="15"/>
  <c r="AK16" i="15"/>
  <c r="AJ16" i="15"/>
  <c r="AL16" i="15"/>
  <c r="AH20" i="15"/>
  <c r="AH19" i="15"/>
  <c r="AI24" i="15"/>
  <c r="AI25" i="15"/>
  <c r="AI20" i="15"/>
  <c r="AI19" i="15"/>
  <c r="AG24" i="15"/>
  <c r="AG25" i="15"/>
  <c r="AG19" i="15"/>
  <c r="AG20" i="15"/>
  <c r="AH25" i="15"/>
  <c r="AH24" i="15"/>
  <c r="F9" i="15"/>
  <c r="C9" i="15"/>
  <c r="E9" i="15"/>
  <c r="B9" i="15"/>
  <c r="D9" i="15"/>
  <c r="G9" i="15"/>
  <c r="U24" i="15"/>
  <c r="G24" i="15"/>
  <c r="P24" i="15"/>
  <c r="I24" i="15"/>
  <c r="X24" i="15"/>
  <c r="V24" i="15"/>
  <c r="Z24" i="15"/>
  <c r="AA24" i="15"/>
  <c r="Q24" i="15"/>
  <c r="S24" i="15"/>
  <c r="O24" i="15"/>
  <c r="H24" i="15"/>
  <c r="AE24" i="15"/>
  <c r="J24" i="15"/>
  <c r="F24" i="15"/>
  <c r="AD24" i="15"/>
  <c r="L24" i="15"/>
  <c r="M24" i="15"/>
  <c r="E24" i="15"/>
  <c r="AC24" i="15"/>
  <c r="D24" i="15"/>
  <c r="R24" i="15"/>
  <c r="N24" i="15"/>
  <c r="T24" i="15"/>
  <c r="AF24" i="15"/>
  <c r="AB24" i="15"/>
  <c r="W24" i="15"/>
  <c r="Y24" i="15"/>
  <c r="C24" i="15"/>
  <c r="K24" i="15"/>
  <c r="AJ31" i="15"/>
  <c r="AK31" i="15"/>
  <c r="AJ34" i="15"/>
  <c r="AL31" i="15"/>
  <c r="AL34" i="15"/>
  <c r="AK34" i="15"/>
  <c r="AE19" i="16"/>
  <c r="P19" i="16"/>
  <c r="AB19" i="16"/>
  <c r="M19" i="16"/>
  <c r="V19" i="16"/>
  <c r="J19" i="16"/>
  <c r="AK28" i="16"/>
  <c r="AL25" i="16"/>
  <c r="Y19" i="16"/>
  <c r="AH18" i="16"/>
  <c r="S19" i="16"/>
  <c r="AJ28" i="16"/>
  <c r="AI17" i="16"/>
  <c r="AK25" i="16"/>
  <c r="AL28" i="16"/>
  <c r="AJ25" i="16"/>
  <c r="AH17" i="16"/>
  <c r="AG14" i="16"/>
  <c r="D19" i="16"/>
  <c r="AH14" i="16"/>
  <c r="AI14" i="16"/>
  <c r="AG17" i="16"/>
  <c r="G19" i="16"/>
  <c r="AJ24" i="15" l="1"/>
  <c r="AK24" i="15"/>
  <c r="AL24" i="15"/>
  <c r="AH19" i="16"/>
  <c r="G1" i="15"/>
  <c r="AI28" i="9" l="1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G6" i="9"/>
  <c r="F6" i="9"/>
  <c r="E6" i="9"/>
  <c r="D6" i="9"/>
  <c r="C6" i="9"/>
  <c r="B6" i="9"/>
  <c r="E1" i="9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4" i="14"/>
  <c r="AE14" i="14"/>
  <c r="AF14" i="14"/>
  <c r="AD17" i="14"/>
  <c r="AE17" i="14"/>
  <c r="AF17" i="14"/>
  <c r="AJ28" i="14" l="1"/>
  <c r="AJ28" i="9"/>
  <c r="AJ25" i="9"/>
  <c r="AJ25" i="14"/>
  <c r="AK28" i="9"/>
  <c r="AL28" i="14"/>
  <c r="AK28" i="14"/>
  <c r="AL28" i="9"/>
  <c r="AL25" i="14"/>
  <c r="AL25" i="9"/>
  <c r="AK25" i="14"/>
  <c r="AK25" i="9"/>
  <c r="AH17" i="9"/>
  <c r="AH14" i="9"/>
  <c r="AG14" i="9"/>
  <c r="AI14" i="9"/>
  <c r="AG17" i="9"/>
  <c r="AI17" i="9"/>
  <c r="E6" i="14"/>
  <c r="B6" i="14"/>
  <c r="G6" i="14"/>
  <c r="F6" i="14"/>
  <c r="D6" i="14"/>
  <c r="C6" i="14"/>
  <c r="E1" i="14"/>
  <c r="N4" i="14" l="1"/>
  <c r="N7" i="14"/>
  <c r="M4" i="14"/>
  <c r="O7" i="14"/>
  <c r="AG17" i="14"/>
  <c r="I7" i="14" s="1"/>
  <c r="S7" i="14" s="1"/>
  <c r="M7" i="14"/>
  <c r="O4" i="14"/>
  <c r="AH14" i="14"/>
  <c r="J4" i="14" s="1"/>
  <c r="AI14" i="14"/>
  <c r="K4" i="14" s="1"/>
  <c r="AG14" i="14"/>
  <c r="I4" i="14" s="1"/>
  <c r="AH17" i="14"/>
  <c r="J7" i="14" s="1"/>
  <c r="AI17" i="14"/>
  <c r="K7" i="14" s="1"/>
  <c r="B2" i="5"/>
  <c r="AA17" i="15"/>
  <c r="H17" i="15"/>
  <c r="Q17" i="15"/>
  <c r="S17" i="15"/>
  <c r="O17" i="15"/>
  <c r="I17" i="15"/>
  <c r="X17" i="15"/>
  <c r="U17" i="15"/>
  <c r="C17" i="15"/>
  <c r="AE17" i="15"/>
  <c r="K17" i="15"/>
  <c r="Y17" i="15"/>
  <c r="AB17" i="15"/>
  <c r="E17" i="15"/>
  <c r="AC17" i="15"/>
  <c r="Z17" i="15"/>
  <c r="V17" i="15"/>
  <c r="W17" i="15"/>
  <c r="M17" i="15"/>
  <c r="G17" i="15"/>
  <c r="F17" i="15"/>
  <c r="N17" i="15"/>
  <c r="D17" i="15"/>
  <c r="R17" i="15"/>
  <c r="AF17" i="15"/>
  <c r="L17" i="15"/>
  <c r="P17" i="15"/>
  <c r="AD17" i="15"/>
  <c r="J17" i="15"/>
  <c r="T17" i="15"/>
  <c r="Y23" i="15"/>
  <c r="J23" i="15"/>
  <c r="R23" i="15"/>
  <c r="Z23" i="15"/>
  <c r="C23" i="15"/>
  <c r="K23" i="15"/>
  <c r="S23" i="15"/>
  <c r="AA23" i="15"/>
  <c r="I23" i="15"/>
  <c r="D23" i="15"/>
  <c r="L23" i="15"/>
  <c r="T23" i="15"/>
  <c r="AB23" i="15"/>
  <c r="E23" i="15"/>
  <c r="M23" i="15"/>
  <c r="U23" i="15"/>
  <c r="AC23" i="15"/>
  <c r="F23" i="15"/>
  <c r="N23" i="15"/>
  <c r="V23" i="15"/>
  <c r="AD23" i="15"/>
  <c r="Q23" i="15"/>
  <c r="G23" i="15"/>
  <c r="O23" i="15"/>
  <c r="W23" i="15"/>
  <c r="AE23" i="15"/>
  <c r="H23" i="15"/>
  <c r="P23" i="15"/>
  <c r="X23" i="15"/>
  <c r="AF23" i="15"/>
  <c r="AL23" i="15" l="1"/>
  <c r="AK23" i="15"/>
  <c r="AJ23" i="15"/>
  <c r="AK17" i="15"/>
  <c r="AL17" i="15"/>
  <c r="AJ17" i="15"/>
  <c r="AF25" i="15"/>
  <c r="X25" i="15"/>
  <c r="P25" i="15"/>
  <c r="H25" i="15"/>
  <c r="AE25" i="15"/>
  <c r="W25" i="15"/>
  <c r="O25" i="15"/>
  <c r="G25" i="15"/>
  <c r="Q25" i="15"/>
  <c r="AD25" i="15"/>
  <c r="V25" i="15"/>
  <c r="N25" i="15"/>
  <c r="F25" i="15"/>
  <c r="AC25" i="15"/>
  <c r="U25" i="15"/>
  <c r="M25" i="15"/>
  <c r="E25" i="15"/>
  <c r="AB25" i="15"/>
  <c r="T25" i="15"/>
  <c r="L25" i="15"/>
  <c r="D25" i="15"/>
  <c r="I25" i="15"/>
  <c r="AA25" i="15"/>
  <c r="S25" i="15"/>
  <c r="K25" i="15"/>
  <c r="C25" i="15"/>
  <c r="Z25" i="15"/>
  <c r="R25" i="15"/>
  <c r="J25" i="15"/>
  <c r="Y25" i="15"/>
  <c r="B3" i="5"/>
  <c r="E10" i="15"/>
  <c r="G10" i="15"/>
  <c r="F10" i="15"/>
  <c r="C10" i="15"/>
  <c r="B10" i="15"/>
  <c r="D10" i="15"/>
  <c r="T19" i="15"/>
  <c r="J19" i="15"/>
  <c r="AD19" i="15"/>
  <c r="P19" i="15"/>
  <c r="L19" i="15"/>
  <c r="AF19" i="15"/>
  <c r="R19" i="15"/>
  <c r="D19" i="15"/>
  <c r="N19" i="15"/>
  <c r="F19" i="15"/>
  <c r="G19" i="15"/>
  <c r="M19" i="15"/>
  <c r="W19" i="15"/>
  <c r="V19" i="15"/>
  <c r="Z19" i="15"/>
  <c r="AC19" i="15"/>
  <c r="E19" i="15"/>
  <c r="AB19" i="15"/>
  <c r="Y19" i="15"/>
  <c r="K19" i="15"/>
  <c r="AE19" i="15"/>
  <c r="C19" i="15"/>
  <c r="U19" i="15"/>
  <c r="X19" i="15"/>
  <c r="I19" i="15"/>
  <c r="O19" i="15"/>
  <c r="S19" i="15"/>
  <c r="Q19" i="15"/>
  <c r="H19" i="15"/>
  <c r="AA19" i="15"/>
  <c r="D33" i="15"/>
  <c r="AB33" i="15"/>
  <c r="C36" i="15"/>
  <c r="O36" i="15"/>
  <c r="AA36" i="15"/>
  <c r="Q33" i="15"/>
  <c r="AC33" i="15"/>
  <c r="P36" i="15"/>
  <c r="AB36" i="15"/>
  <c r="F33" i="15"/>
  <c r="R33" i="15"/>
  <c r="AD33" i="15"/>
  <c r="E36" i="15"/>
  <c r="Q36" i="15"/>
  <c r="AC36" i="15"/>
  <c r="G33" i="15"/>
  <c r="S33" i="15"/>
  <c r="AE33" i="15"/>
  <c r="F36" i="15"/>
  <c r="R36" i="15"/>
  <c r="AD36" i="15"/>
  <c r="H33" i="15"/>
  <c r="T33" i="15"/>
  <c r="AF33" i="15"/>
  <c r="G36" i="15"/>
  <c r="S36" i="15"/>
  <c r="AE36" i="15"/>
  <c r="I33" i="15"/>
  <c r="U33" i="15"/>
  <c r="AG33" i="15"/>
  <c r="H36" i="15"/>
  <c r="T36" i="15"/>
  <c r="AF36" i="15"/>
  <c r="J33" i="15"/>
  <c r="V33" i="15"/>
  <c r="AH33" i="15"/>
  <c r="I36" i="15"/>
  <c r="U36" i="15"/>
  <c r="AG36" i="15"/>
  <c r="K33" i="15"/>
  <c r="W33" i="15"/>
  <c r="AI33" i="15"/>
  <c r="J36" i="15"/>
  <c r="V36" i="15"/>
  <c r="AH36" i="15"/>
  <c r="L33" i="15"/>
  <c r="X33" i="15"/>
  <c r="W36" i="15"/>
  <c r="AI36" i="15"/>
  <c r="M33" i="15"/>
  <c r="Y33" i="15"/>
  <c r="L36" i="15"/>
  <c r="N33" i="15"/>
  <c r="Z33" i="15"/>
  <c r="M36" i="15"/>
  <c r="Y36" i="15"/>
  <c r="C33" i="15"/>
  <c r="O33" i="15"/>
  <c r="N36" i="15"/>
  <c r="Z36" i="15"/>
  <c r="AM19" i="16"/>
  <c r="AH29" i="16"/>
  <c r="AH30" i="16" s="1"/>
  <c r="Z29" i="16"/>
  <c r="Z30" i="16" s="1"/>
  <c r="R29" i="16"/>
  <c r="R30" i="16" s="1"/>
  <c r="J29" i="16"/>
  <c r="J30" i="16" s="1"/>
  <c r="AH26" i="16"/>
  <c r="AH27" i="16" s="1"/>
  <c r="Z26" i="16"/>
  <c r="Z27" i="16" s="1"/>
  <c r="P26" i="16"/>
  <c r="P27" i="16" s="1"/>
  <c r="H26" i="16"/>
  <c r="H27" i="16" s="1"/>
  <c r="AD18" i="16"/>
  <c r="AD19" i="16" s="1"/>
  <c r="N18" i="16"/>
  <c r="N19" i="16" s="1"/>
  <c r="F18" i="16"/>
  <c r="Z15" i="16"/>
  <c r="Z16" i="16" s="1"/>
  <c r="R15" i="16"/>
  <c r="R16" i="16" s="1"/>
  <c r="J15" i="16"/>
  <c r="J16" i="16" s="1"/>
  <c r="AN19" i="16"/>
  <c r="AG29" i="16"/>
  <c r="AG30" i="16" s="1"/>
  <c r="Y29" i="16"/>
  <c r="Y30" i="16" s="1"/>
  <c r="Q29" i="16"/>
  <c r="Q30" i="16" s="1"/>
  <c r="I29" i="16"/>
  <c r="I30" i="16" s="1"/>
  <c r="AG26" i="16"/>
  <c r="AG27" i="16" s="1"/>
  <c r="Y26" i="16"/>
  <c r="Y27" i="16" s="1"/>
  <c r="O26" i="16"/>
  <c r="O27" i="16" s="1"/>
  <c r="G26" i="16"/>
  <c r="G27" i="16" s="1"/>
  <c r="AC18" i="16"/>
  <c r="AC19" i="16" s="1"/>
  <c r="U18" i="16"/>
  <c r="U19" i="16" s="1"/>
  <c r="E18" i="16"/>
  <c r="Y15" i="16"/>
  <c r="Y16" i="16" s="1"/>
  <c r="Q15" i="16"/>
  <c r="Q16" i="16" s="1"/>
  <c r="I15" i="16"/>
  <c r="I16" i="16" s="1"/>
  <c r="D7" i="16"/>
  <c r="D8" i="16" s="1"/>
  <c r="T26" i="16"/>
  <c r="T27" i="16" s="1"/>
  <c r="AF29" i="16"/>
  <c r="AF30" i="16" s="1"/>
  <c r="X29" i="16"/>
  <c r="X30" i="16" s="1"/>
  <c r="P29" i="16"/>
  <c r="P30" i="16" s="1"/>
  <c r="H29" i="16"/>
  <c r="H30" i="16" s="1"/>
  <c r="AF26" i="16"/>
  <c r="AF27" i="16" s="1"/>
  <c r="X26" i="16"/>
  <c r="X27" i="16" s="1"/>
  <c r="N26" i="16"/>
  <c r="N27" i="16" s="1"/>
  <c r="F26" i="16"/>
  <c r="F27" i="16" s="1"/>
  <c r="T18" i="16"/>
  <c r="T19" i="16" s="1"/>
  <c r="L18" i="16"/>
  <c r="L19" i="16" s="1"/>
  <c r="AF15" i="16"/>
  <c r="AF16" i="16" s="1"/>
  <c r="X15" i="16"/>
  <c r="X16" i="16" s="1"/>
  <c r="P15" i="16"/>
  <c r="P16" i="16" s="1"/>
  <c r="H15" i="16"/>
  <c r="H16" i="16" s="1"/>
  <c r="C7" i="16"/>
  <c r="C8" i="16" s="1"/>
  <c r="C29" i="16"/>
  <c r="AE29" i="16"/>
  <c r="AE30" i="16" s="1"/>
  <c r="W29" i="16"/>
  <c r="W30" i="16" s="1"/>
  <c r="O29" i="16"/>
  <c r="O30" i="16" s="1"/>
  <c r="G29" i="16"/>
  <c r="G30" i="16" s="1"/>
  <c r="AE26" i="16"/>
  <c r="AE27" i="16" s="1"/>
  <c r="W26" i="16"/>
  <c r="W27" i="16" s="1"/>
  <c r="M26" i="16"/>
  <c r="M27" i="16" s="1"/>
  <c r="E26" i="16"/>
  <c r="AA18" i="16"/>
  <c r="AA19" i="16" s="1"/>
  <c r="K18" i="16"/>
  <c r="K19" i="16" s="1"/>
  <c r="C18" i="16"/>
  <c r="C19" i="16" s="1"/>
  <c r="AE15" i="16"/>
  <c r="AE16" i="16" s="1"/>
  <c r="W15" i="16"/>
  <c r="W16" i="16" s="1"/>
  <c r="O15" i="16"/>
  <c r="O16" i="16" s="1"/>
  <c r="G15" i="16"/>
  <c r="G16" i="16" s="1"/>
  <c r="B7" i="16"/>
  <c r="B8" i="16" s="1"/>
  <c r="AD29" i="16"/>
  <c r="AD30" i="16" s="1"/>
  <c r="V29" i="16"/>
  <c r="V30" i="16" s="1"/>
  <c r="N29" i="16"/>
  <c r="N30" i="16" s="1"/>
  <c r="F29" i="16"/>
  <c r="F30" i="16" s="1"/>
  <c r="AD26" i="16"/>
  <c r="AD27" i="16" s="1"/>
  <c r="V26" i="16"/>
  <c r="V27" i="16" s="1"/>
  <c r="L26" i="16"/>
  <c r="L27" i="16" s="1"/>
  <c r="D26" i="16"/>
  <c r="Z18" i="16"/>
  <c r="Z19" i="16" s="1"/>
  <c r="R18" i="16"/>
  <c r="R19" i="16" s="1"/>
  <c r="AD15" i="16"/>
  <c r="AD16" i="16" s="1"/>
  <c r="V15" i="16"/>
  <c r="V16" i="16" s="1"/>
  <c r="N15" i="16"/>
  <c r="N16" i="16" s="1"/>
  <c r="F15" i="16"/>
  <c r="F16" i="16" s="1"/>
  <c r="AC29" i="16"/>
  <c r="AC30" i="16" s="1"/>
  <c r="U29" i="16"/>
  <c r="U30" i="16" s="1"/>
  <c r="M29" i="16"/>
  <c r="M30" i="16" s="1"/>
  <c r="E29" i="16"/>
  <c r="AC26" i="16"/>
  <c r="AC27" i="16" s="1"/>
  <c r="U26" i="16"/>
  <c r="U27" i="16" s="1"/>
  <c r="K26" i="16"/>
  <c r="K27" i="16" s="1"/>
  <c r="C26" i="16"/>
  <c r="Q18" i="16"/>
  <c r="Q19" i="16" s="1"/>
  <c r="I18" i="16"/>
  <c r="I19" i="16" s="1"/>
  <c r="AC15" i="16"/>
  <c r="AC16" i="16" s="1"/>
  <c r="U15" i="16"/>
  <c r="U16" i="16" s="1"/>
  <c r="M15" i="16"/>
  <c r="M16" i="16" s="1"/>
  <c r="E15" i="16"/>
  <c r="F7" i="16"/>
  <c r="F8" i="16" s="1"/>
  <c r="Q26" i="16"/>
  <c r="Q27" i="16" s="1"/>
  <c r="AB29" i="16"/>
  <c r="AB30" i="16" s="1"/>
  <c r="T29" i="16"/>
  <c r="T30" i="16" s="1"/>
  <c r="L29" i="16"/>
  <c r="L30" i="16" s="1"/>
  <c r="D29" i="16"/>
  <c r="AB26" i="16"/>
  <c r="AB27" i="16" s="1"/>
  <c r="S26" i="16"/>
  <c r="S27" i="16" s="1"/>
  <c r="J26" i="16"/>
  <c r="J27" i="16" s="1"/>
  <c r="AF18" i="16"/>
  <c r="AF19" i="16" s="1"/>
  <c r="X18" i="16"/>
  <c r="X19" i="16" s="1"/>
  <c r="H18" i="16"/>
  <c r="H19" i="16" s="1"/>
  <c r="AB15" i="16"/>
  <c r="AB16" i="16" s="1"/>
  <c r="T15" i="16"/>
  <c r="T16" i="16" s="1"/>
  <c r="L15" i="16"/>
  <c r="L16" i="16" s="1"/>
  <c r="D15" i="16"/>
  <c r="G7" i="16"/>
  <c r="G8" i="16" s="1"/>
  <c r="E7" i="16"/>
  <c r="E8" i="16" s="1"/>
  <c r="AI29" i="16"/>
  <c r="AI30" i="16" s="1"/>
  <c r="AA29" i="16"/>
  <c r="AA30" i="16" s="1"/>
  <c r="S29" i="16"/>
  <c r="S30" i="16" s="1"/>
  <c r="K29" i="16"/>
  <c r="K30" i="16" s="1"/>
  <c r="AI26" i="16"/>
  <c r="AI27" i="16" s="1"/>
  <c r="AA26" i="16"/>
  <c r="AA27" i="16" s="1"/>
  <c r="R26" i="16"/>
  <c r="R27" i="16" s="1"/>
  <c r="I26" i="16"/>
  <c r="I27" i="16" s="1"/>
  <c r="W18" i="16"/>
  <c r="W19" i="16" s="1"/>
  <c r="O18" i="16"/>
  <c r="O19" i="16" s="1"/>
  <c r="AA15" i="16"/>
  <c r="AA16" i="16" s="1"/>
  <c r="S15" i="16"/>
  <c r="S16" i="16" s="1"/>
  <c r="K15" i="16"/>
  <c r="K16" i="16" s="1"/>
  <c r="C15" i="16"/>
  <c r="AG29" i="14"/>
  <c r="AG30" i="14" s="1"/>
  <c r="AB29" i="9"/>
  <c r="AB30" i="9" s="1"/>
  <c r="T29" i="9"/>
  <c r="T30" i="9" s="1"/>
  <c r="L29" i="9"/>
  <c r="L30" i="9" s="1"/>
  <c r="D29" i="9"/>
  <c r="AD26" i="9"/>
  <c r="AD27" i="9" s="1"/>
  <c r="V26" i="9"/>
  <c r="V27" i="9" s="1"/>
  <c r="N26" i="9"/>
  <c r="N27" i="9" s="1"/>
  <c r="F26" i="9"/>
  <c r="F27" i="9" s="1"/>
  <c r="AC18" i="9"/>
  <c r="AC19" i="9" s="1"/>
  <c r="U18" i="9"/>
  <c r="U19" i="9" s="1"/>
  <c r="M18" i="9"/>
  <c r="M19" i="9" s="1"/>
  <c r="E18" i="9"/>
  <c r="Y15" i="9"/>
  <c r="Y16" i="9" s="1"/>
  <c r="Q15" i="9"/>
  <c r="Q16" i="9" s="1"/>
  <c r="I15" i="9"/>
  <c r="I16" i="9" s="1"/>
  <c r="D7" i="9"/>
  <c r="D8" i="9" s="1"/>
  <c r="AI29" i="9"/>
  <c r="AI30" i="9" s="1"/>
  <c r="AA29" i="9"/>
  <c r="AA30" i="9" s="1"/>
  <c r="S29" i="9"/>
  <c r="S30" i="9" s="1"/>
  <c r="K29" i="9"/>
  <c r="K30" i="9" s="1"/>
  <c r="C29" i="9"/>
  <c r="AC26" i="9"/>
  <c r="AC27" i="9" s="1"/>
  <c r="U26" i="9"/>
  <c r="U27" i="9" s="1"/>
  <c r="M26" i="9"/>
  <c r="M27" i="9" s="1"/>
  <c r="E26" i="9"/>
  <c r="AB18" i="9"/>
  <c r="AB19" i="9" s="1"/>
  <c r="T18" i="9"/>
  <c r="T19" i="9" s="1"/>
  <c r="L18" i="9"/>
  <c r="L19" i="9" s="1"/>
  <c r="D18" i="9"/>
  <c r="AF15" i="9"/>
  <c r="AF16" i="9" s="1"/>
  <c r="X15" i="9"/>
  <c r="X16" i="9" s="1"/>
  <c r="P15" i="9"/>
  <c r="P16" i="9" s="1"/>
  <c r="H15" i="9"/>
  <c r="H16" i="9" s="1"/>
  <c r="C7" i="9"/>
  <c r="C8" i="9" s="1"/>
  <c r="AH29" i="9"/>
  <c r="AH30" i="9" s="1"/>
  <c r="Z29" i="9"/>
  <c r="Z30" i="9" s="1"/>
  <c r="R29" i="9"/>
  <c r="R30" i="9" s="1"/>
  <c r="J29" i="9"/>
  <c r="J30" i="9" s="1"/>
  <c r="AB26" i="9"/>
  <c r="AB27" i="9" s="1"/>
  <c r="T26" i="9"/>
  <c r="T27" i="9" s="1"/>
  <c r="L26" i="9"/>
  <c r="L27" i="9" s="1"/>
  <c r="D26" i="9"/>
  <c r="AA18" i="9"/>
  <c r="AA19" i="9" s="1"/>
  <c r="S18" i="9"/>
  <c r="S19" i="9" s="1"/>
  <c r="K18" i="9"/>
  <c r="K19" i="9" s="1"/>
  <c r="C18" i="9"/>
  <c r="AE15" i="9"/>
  <c r="AE16" i="9" s="1"/>
  <c r="W15" i="9"/>
  <c r="W16" i="9" s="1"/>
  <c r="O15" i="9"/>
  <c r="O16" i="9" s="1"/>
  <c r="G15" i="9"/>
  <c r="G16" i="9" s="1"/>
  <c r="B7" i="9"/>
  <c r="B8" i="9" s="1"/>
  <c r="AG29" i="9"/>
  <c r="AG30" i="9" s="1"/>
  <c r="Y29" i="9"/>
  <c r="Y30" i="9" s="1"/>
  <c r="Q29" i="9"/>
  <c r="Q30" i="9" s="1"/>
  <c r="I29" i="9"/>
  <c r="I30" i="9" s="1"/>
  <c r="AI26" i="9"/>
  <c r="AI27" i="9" s="1"/>
  <c r="AA26" i="9"/>
  <c r="AA27" i="9" s="1"/>
  <c r="S26" i="9"/>
  <c r="S27" i="9" s="1"/>
  <c r="K26" i="9"/>
  <c r="K27" i="9" s="1"/>
  <c r="C26" i="9"/>
  <c r="Z18" i="9"/>
  <c r="Z19" i="9" s="1"/>
  <c r="R18" i="9"/>
  <c r="R19" i="9" s="1"/>
  <c r="J18" i="9"/>
  <c r="J19" i="9" s="1"/>
  <c r="AD15" i="9"/>
  <c r="AD16" i="9" s="1"/>
  <c r="V15" i="9"/>
  <c r="V16" i="9" s="1"/>
  <c r="N15" i="9"/>
  <c r="N16" i="9" s="1"/>
  <c r="F15" i="9"/>
  <c r="F16" i="9" s="1"/>
  <c r="AF29" i="9"/>
  <c r="AF30" i="9" s="1"/>
  <c r="X29" i="9"/>
  <c r="X30" i="9" s="1"/>
  <c r="P29" i="9"/>
  <c r="P30" i="9" s="1"/>
  <c r="H29" i="9"/>
  <c r="H30" i="9" s="1"/>
  <c r="AH26" i="9"/>
  <c r="AH27" i="9" s="1"/>
  <c r="Z26" i="9"/>
  <c r="Z27" i="9" s="1"/>
  <c r="R26" i="9"/>
  <c r="R27" i="9" s="1"/>
  <c r="J26" i="9"/>
  <c r="J27" i="9" s="1"/>
  <c r="Y18" i="9"/>
  <c r="Y19" i="9" s="1"/>
  <c r="Q18" i="9"/>
  <c r="Q19" i="9" s="1"/>
  <c r="I18" i="9"/>
  <c r="I19" i="9" s="1"/>
  <c r="AC15" i="9"/>
  <c r="AC16" i="9" s="1"/>
  <c r="U15" i="9"/>
  <c r="U16" i="9" s="1"/>
  <c r="M15" i="9"/>
  <c r="M16" i="9" s="1"/>
  <c r="E15" i="9"/>
  <c r="AE29" i="9"/>
  <c r="AE30" i="9" s="1"/>
  <c r="W29" i="9"/>
  <c r="W30" i="9" s="1"/>
  <c r="O29" i="9"/>
  <c r="O30" i="9" s="1"/>
  <c r="G29" i="9"/>
  <c r="G30" i="9" s="1"/>
  <c r="AG26" i="9"/>
  <c r="AG27" i="9" s="1"/>
  <c r="Y26" i="9"/>
  <c r="Y27" i="9" s="1"/>
  <c r="Q26" i="9"/>
  <c r="Q27" i="9" s="1"/>
  <c r="I26" i="9"/>
  <c r="I27" i="9" s="1"/>
  <c r="AF18" i="9"/>
  <c r="AF19" i="9" s="1"/>
  <c r="X18" i="9"/>
  <c r="X19" i="9" s="1"/>
  <c r="P18" i="9"/>
  <c r="P19" i="9" s="1"/>
  <c r="H18" i="9"/>
  <c r="H19" i="9" s="1"/>
  <c r="AB15" i="9"/>
  <c r="AB16" i="9" s="1"/>
  <c r="T15" i="9"/>
  <c r="T16" i="9" s="1"/>
  <c r="L15" i="9"/>
  <c r="L16" i="9" s="1"/>
  <c r="D15" i="9"/>
  <c r="G7" i="9"/>
  <c r="G8" i="9" s="1"/>
  <c r="AD29" i="9"/>
  <c r="AD30" i="9" s="1"/>
  <c r="V29" i="9"/>
  <c r="V30" i="9" s="1"/>
  <c r="N29" i="9"/>
  <c r="N30" i="9" s="1"/>
  <c r="F29" i="9"/>
  <c r="F30" i="9" s="1"/>
  <c r="AF26" i="9"/>
  <c r="AF27" i="9" s="1"/>
  <c r="X26" i="9"/>
  <c r="X27" i="9" s="1"/>
  <c r="P26" i="9"/>
  <c r="P27" i="9" s="1"/>
  <c r="H26" i="9"/>
  <c r="H27" i="9" s="1"/>
  <c r="AE18" i="9"/>
  <c r="AE19" i="9" s="1"/>
  <c r="W18" i="9"/>
  <c r="W19" i="9" s="1"/>
  <c r="O18" i="9"/>
  <c r="O19" i="9" s="1"/>
  <c r="G18" i="9"/>
  <c r="G19" i="9" s="1"/>
  <c r="AA15" i="9"/>
  <c r="AA16" i="9" s="1"/>
  <c r="S15" i="9"/>
  <c r="S16" i="9" s="1"/>
  <c r="K15" i="9"/>
  <c r="K16" i="9" s="1"/>
  <c r="C15" i="9"/>
  <c r="F7" i="9"/>
  <c r="F8" i="9" s="1"/>
  <c r="AC29" i="9"/>
  <c r="AC30" i="9" s="1"/>
  <c r="U29" i="9"/>
  <c r="U30" i="9" s="1"/>
  <c r="M29" i="9"/>
  <c r="M30" i="9" s="1"/>
  <c r="E29" i="9"/>
  <c r="AE26" i="9"/>
  <c r="AE27" i="9" s="1"/>
  <c r="W26" i="9"/>
  <c r="W27" i="9" s="1"/>
  <c r="O26" i="9"/>
  <c r="O27" i="9" s="1"/>
  <c r="G26" i="9"/>
  <c r="G27" i="9" s="1"/>
  <c r="AD18" i="9"/>
  <c r="AD19" i="9" s="1"/>
  <c r="V18" i="9"/>
  <c r="V19" i="9" s="1"/>
  <c r="N18" i="9"/>
  <c r="N19" i="9" s="1"/>
  <c r="F18" i="9"/>
  <c r="F19" i="9" s="1"/>
  <c r="Z15" i="9"/>
  <c r="Z16" i="9" s="1"/>
  <c r="R15" i="9"/>
  <c r="R16" i="9" s="1"/>
  <c r="J15" i="9"/>
  <c r="J16" i="9" s="1"/>
  <c r="E7" i="9"/>
  <c r="E8" i="9" s="1"/>
  <c r="I26" i="14"/>
  <c r="I27" i="14" s="1"/>
  <c r="Q26" i="14"/>
  <c r="Q27" i="14" s="1"/>
  <c r="Y26" i="14"/>
  <c r="Y27" i="14" s="1"/>
  <c r="AG26" i="14"/>
  <c r="AG27" i="14" s="1"/>
  <c r="I29" i="14"/>
  <c r="I30" i="14" s="1"/>
  <c r="Q29" i="14"/>
  <c r="Q30" i="14" s="1"/>
  <c r="Y29" i="14"/>
  <c r="Y30" i="14" s="1"/>
  <c r="C15" i="14"/>
  <c r="C16" i="14" s="1"/>
  <c r="K15" i="14"/>
  <c r="K16" i="14" s="1"/>
  <c r="I18" i="14"/>
  <c r="I19" i="14" s="1"/>
  <c r="Q18" i="14"/>
  <c r="Q19" i="14" s="1"/>
  <c r="T18" i="14"/>
  <c r="T19" i="14" s="1"/>
  <c r="AB18" i="14"/>
  <c r="AB19" i="14" s="1"/>
  <c r="AE18" i="14"/>
  <c r="AE19" i="14" s="1"/>
  <c r="Y18" i="14"/>
  <c r="Y19" i="14" s="1"/>
  <c r="AD15" i="14"/>
  <c r="AD16" i="14" s="1"/>
  <c r="AF18" i="14"/>
  <c r="AF19" i="14" s="1"/>
  <c r="J26" i="14"/>
  <c r="J27" i="14" s="1"/>
  <c r="R26" i="14"/>
  <c r="R27" i="14" s="1"/>
  <c r="Z26" i="14"/>
  <c r="Z27" i="14" s="1"/>
  <c r="AH26" i="14"/>
  <c r="AH27" i="14" s="1"/>
  <c r="J29" i="14"/>
  <c r="J30" i="14" s="1"/>
  <c r="R29" i="14"/>
  <c r="R30" i="14" s="1"/>
  <c r="Z29" i="14"/>
  <c r="Z30" i="14" s="1"/>
  <c r="AH29" i="14"/>
  <c r="AH30" i="14" s="1"/>
  <c r="D15" i="14"/>
  <c r="D16" i="14" s="1"/>
  <c r="L15" i="14"/>
  <c r="L16" i="14" s="1"/>
  <c r="J18" i="14"/>
  <c r="J19" i="14" s="1"/>
  <c r="V18" i="14"/>
  <c r="V19" i="14" s="1"/>
  <c r="C26" i="14"/>
  <c r="K26" i="14"/>
  <c r="K27" i="14" s="1"/>
  <c r="S26" i="14"/>
  <c r="S27" i="14" s="1"/>
  <c r="AA26" i="14"/>
  <c r="AA27" i="14" s="1"/>
  <c r="AI26" i="14"/>
  <c r="AI27" i="14" s="1"/>
  <c r="C29" i="14"/>
  <c r="K29" i="14"/>
  <c r="K30" i="14" s="1"/>
  <c r="S29" i="14"/>
  <c r="S30" i="14" s="1"/>
  <c r="AA29" i="14"/>
  <c r="AA30" i="14" s="1"/>
  <c r="AI29" i="14"/>
  <c r="AI30" i="14" s="1"/>
  <c r="E15" i="14"/>
  <c r="E16" i="14" s="1"/>
  <c r="M15" i="14"/>
  <c r="M16" i="14" s="1"/>
  <c r="C18" i="14"/>
  <c r="C19" i="14" s="1"/>
  <c r="K18" i="14"/>
  <c r="K19" i="14" s="1"/>
  <c r="V15" i="14"/>
  <c r="V16" i="14" s="1"/>
  <c r="AD18" i="14"/>
  <c r="AD19" i="14" s="1"/>
  <c r="X18" i="14"/>
  <c r="X19" i="14" s="1"/>
  <c r="D26" i="14"/>
  <c r="L26" i="14"/>
  <c r="L27" i="14" s="1"/>
  <c r="T26" i="14"/>
  <c r="T27" i="14" s="1"/>
  <c r="AB26" i="14"/>
  <c r="AB27" i="14" s="1"/>
  <c r="D29" i="14"/>
  <c r="L29" i="14"/>
  <c r="L30" i="14" s="1"/>
  <c r="T29" i="14"/>
  <c r="AB29" i="14"/>
  <c r="AB30" i="14" s="1"/>
  <c r="F15" i="14"/>
  <c r="F16" i="14" s="1"/>
  <c r="N15" i="14"/>
  <c r="N16" i="14" s="1"/>
  <c r="D18" i="14"/>
  <c r="D19" i="14" s="1"/>
  <c r="L18" i="14"/>
  <c r="L19" i="14" s="1"/>
  <c r="W15" i="14"/>
  <c r="W16" i="14" s="1"/>
  <c r="E26" i="14"/>
  <c r="M26" i="14"/>
  <c r="M27" i="14" s="1"/>
  <c r="U26" i="14"/>
  <c r="U27" i="14" s="1"/>
  <c r="AC26" i="14"/>
  <c r="AC27" i="14" s="1"/>
  <c r="E29" i="14"/>
  <c r="M29" i="14"/>
  <c r="M30" i="14" s="1"/>
  <c r="U29" i="14"/>
  <c r="U30" i="14" s="1"/>
  <c r="AC29" i="14"/>
  <c r="AC30" i="14" s="1"/>
  <c r="G15" i="14"/>
  <c r="G16" i="14" s="1"/>
  <c r="O15" i="14"/>
  <c r="O16" i="14" s="1"/>
  <c r="E18" i="14"/>
  <c r="E19" i="14" s="1"/>
  <c r="M18" i="14"/>
  <c r="M19" i="14" s="1"/>
  <c r="X15" i="14"/>
  <c r="X16" i="14" s="1"/>
  <c r="F26" i="14"/>
  <c r="F27" i="14" s="1"/>
  <c r="N26" i="14"/>
  <c r="N27" i="14" s="1"/>
  <c r="V26" i="14"/>
  <c r="V27" i="14" s="1"/>
  <c r="AD26" i="14"/>
  <c r="AD27" i="14" s="1"/>
  <c r="F29" i="14"/>
  <c r="F30" i="14" s="1"/>
  <c r="N29" i="14"/>
  <c r="N30" i="14" s="1"/>
  <c r="V29" i="14"/>
  <c r="V30" i="14" s="1"/>
  <c r="AD29" i="14"/>
  <c r="AD30" i="14" s="1"/>
  <c r="H15" i="14"/>
  <c r="H16" i="14" s="1"/>
  <c r="P15" i="14"/>
  <c r="P16" i="14" s="1"/>
  <c r="F18" i="14"/>
  <c r="F19" i="14" s="1"/>
  <c r="N18" i="14"/>
  <c r="N19" i="14" s="1"/>
  <c r="Y15" i="14"/>
  <c r="Y16" i="14" s="1"/>
  <c r="G26" i="14"/>
  <c r="G27" i="14" s="1"/>
  <c r="O26" i="14"/>
  <c r="O27" i="14" s="1"/>
  <c r="W26" i="14"/>
  <c r="AE26" i="14"/>
  <c r="AE27" i="14" s="1"/>
  <c r="G29" i="14"/>
  <c r="G30" i="14" s="1"/>
  <c r="O29" i="14"/>
  <c r="O30" i="14" s="1"/>
  <c r="W29" i="14"/>
  <c r="W30" i="14" s="1"/>
  <c r="AE29" i="14"/>
  <c r="AE30" i="14" s="1"/>
  <c r="I15" i="14"/>
  <c r="I16" i="14" s="1"/>
  <c r="Q15" i="14"/>
  <c r="Q16" i="14" s="1"/>
  <c r="G18" i="14"/>
  <c r="G19" i="14" s="1"/>
  <c r="O18" i="14"/>
  <c r="O19" i="14" s="1"/>
  <c r="R15" i="14"/>
  <c r="R16" i="14" s="1"/>
  <c r="Z15" i="14"/>
  <c r="Z16" i="14" s="1"/>
  <c r="R18" i="14"/>
  <c r="R19" i="14" s="1"/>
  <c r="Z18" i="14"/>
  <c r="Z19" i="14" s="1"/>
  <c r="AE15" i="14"/>
  <c r="AE16" i="14" s="1"/>
  <c r="S18" i="14"/>
  <c r="S19" i="14" s="1"/>
  <c r="AA18" i="14"/>
  <c r="AA19" i="14" s="1"/>
  <c r="AF15" i="14"/>
  <c r="AF16" i="14" s="1"/>
  <c r="T15" i="14"/>
  <c r="T16" i="14" s="1"/>
  <c r="AB15" i="14"/>
  <c r="AB16" i="14" s="1"/>
  <c r="U18" i="14"/>
  <c r="U19" i="14" s="1"/>
  <c r="AC18" i="14"/>
  <c r="AC19" i="14" s="1"/>
  <c r="W18" i="14"/>
  <c r="W19" i="14" s="1"/>
  <c r="H26" i="14"/>
  <c r="H27" i="14" s="1"/>
  <c r="P26" i="14"/>
  <c r="P27" i="14" s="1"/>
  <c r="X26" i="14"/>
  <c r="X27" i="14" s="1"/>
  <c r="AF26" i="14"/>
  <c r="AF27" i="14" s="1"/>
  <c r="H29" i="14"/>
  <c r="H30" i="14" s="1"/>
  <c r="P29" i="14"/>
  <c r="P30" i="14" s="1"/>
  <c r="X29" i="14"/>
  <c r="X30" i="14" s="1"/>
  <c r="AF29" i="14"/>
  <c r="AF30" i="14" s="1"/>
  <c r="J15" i="14"/>
  <c r="J16" i="14" s="1"/>
  <c r="H18" i="14"/>
  <c r="H19" i="14" s="1"/>
  <c r="P18" i="14"/>
  <c r="P19" i="14" s="1"/>
  <c r="S15" i="14"/>
  <c r="S16" i="14" s="1"/>
  <c r="AA15" i="14"/>
  <c r="AA16" i="14" s="1"/>
  <c r="U15" i="14"/>
  <c r="U16" i="14" s="1"/>
  <c r="AC15" i="14"/>
  <c r="AC16" i="14" s="1"/>
  <c r="V7" i="14"/>
  <c r="U7" i="14"/>
  <c r="W7" i="14"/>
  <c r="W4" i="14"/>
  <c r="V4" i="14"/>
  <c r="B7" i="14"/>
  <c r="G7" i="14"/>
  <c r="F7" i="14"/>
  <c r="D7" i="14"/>
  <c r="C7" i="14"/>
  <c r="E7" i="14"/>
  <c r="R4" i="14"/>
  <c r="Q4" i="14"/>
  <c r="U4" i="14"/>
  <c r="S4" i="14"/>
  <c r="R7" i="14"/>
  <c r="Q7" i="14"/>
  <c r="H18" i="15"/>
  <c r="P18" i="15"/>
  <c r="X18" i="15"/>
  <c r="AF18" i="15"/>
  <c r="O18" i="15"/>
  <c r="I18" i="15"/>
  <c r="Q18" i="15"/>
  <c r="Y18" i="15"/>
  <c r="J18" i="15"/>
  <c r="R18" i="15"/>
  <c r="Z18" i="15"/>
  <c r="W18" i="15"/>
  <c r="C18" i="15"/>
  <c r="K18" i="15"/>
  <c r="S18" i="15"/>
  <c r="AA18" i="15"/>
  <c r="G18" i="15"/>
  <c r="D18" i="15"/>
  <c r="L18" i="15"/>
  <c r="T18" i="15"/>
  <c r="AB18" i="15"/>
  <c r="E18" i="15"/>
  <c r="M18" i="15"/>
  <c r="U18" i="15"/>
  <c r="AC18" i="15"/>
  <c r="AE18" i="15"/>
  <c r="F18" i="15"/>
  <c r="N18" i="15"/>
  <c r="V18" i="15"/>
  <c r="AD18" i="15"/>
  <c r="AK25" i="15" l="1"/>
  <c r="AK19" i="15"/>
  <c r="AJ19" i="15"/>
  <c r="AJ25" i="15"/>
  <c r="AL25" i="15"/>
  <c r="AL19" i="15"/>
  <c r="AK18" i="15"/>
  <c r="AL18" i="15"/>
  <c r="AJ18" i="15"/>
  <c r="AD20" i="15"/>
  <c r="V20" i="15"/>
  <c r="N20" i="15"/>
  <c r="F20" i="15"/>
  <c r="AE20" i="15"/>
  <c r="AC20" i="15"/>
  <c r="U20" i="15"/>
  <c r="M20" i="15"/>
  <c r="E20" i="15"/>
  <c r="AB20" i="15"/>
  <c r="T20" i="15"/>
  <c r="L20" i="15"/>
  <c r="D20" i="15"/>
  <c r="G20" i="15"/>
  <c r="AA20" i="15"/>
  <c r="S20" i="15"/>
  <c r="K20" i="15"/>
  <c r="C20" i="15"/>
  <c r="W20" i="15"/>
  <c r="Z20" i="15"/>
  <c r="R20" i="15"/>
  <c r="J20" i="15"/>
  <c r="Y20" i="15"/>
  <c r="Q20" i="15"/>
  <c r="I20" i="15"/>
  <c r="O20" i="15"/>
  <c r="AF20" i="15"/>
  <c r="X20" i="15"/>
  <c r="P20" i="15"/>
  <c r="H20" i="15"/>
  <c r="C3" i="5"/>
  <c r="AJ32" i="15"/>
  <c r="AA33" i="15"/>
  <c r="AJ35" i="15"/>
  <c r="X36" i="15"/>
  <c r="AL35" i="15"/>
  <c r="K36" i="15"/>
  <c r="AK35" i="15"/>
  <c r="D36" i="15"/>
  <c r="E33" i="15"/>
  <c r="AL32" i="15"/>
  <c r="AK32" i="15"/>
  <c r="P33" i="15"/>
  <c r="C16" i="16"/>
  <c r="AG16" i="16" s="1"/>
  <c r="AG15" i="16"/>
  <c r="AH15" i="16"/>
  <c r="D16" i="16"/>
  <c r="AH16" i="16" s="1"/>
  <c r="AK29" i="16"/>
  <c r="D30" i="16"/>
  <c r="AK30" i="16" s="1"/>
  <c r="AI15" i="16"/>
  <c r="E16" i="16"/>
  <c r="AI16" i="16" s="1"/>
  <c r="AJ26" i="16"/>
  <c r="C27" i="16"/>
  <c r="AJ27" i="16" s="1"/>
  <c r="AL29" i="16"/>
  <c r="E30" i="16"/>
  <c r="AL30" i="16" s="1"/>
  <c r="AK26" i="16"/>
  <c r="D27" i="16"/>
  <c r="AK27" i="16" s="1"/>
  <c r="E27" i="16"/>
  <c r="AL27" i="16" s="1"/>
  <c r="AL26" i="16"/>
  <c r="AJ29" i="16"/>
  <c r="C30" i="16"/>
  <c r="AJ30" i="16" s="1"/>
  <c r="AI18" i="16"/>
  <c r="E19" i="16"/>
  <c r="AI19" i="16" s="1"/>
  <c r="AG18" i="16"/>
  <c r="F19" i="16"/>
  <c r="AG19" i="16" s="1"/>
  <c r="AG18" i="9"/>
  <c r="C19" i="9"/>
  <c r="AG19" i="9" s="1"/>
  <c r="E30" i="14"/>
  <c r="AL29" i="14"/>
  <c r="O8" i="14" s="1"/>
  <c r="AH18" i="9"/>
  <c r="D19" i="9"/>
  <c r="AH19" i="9" s="1"/>
  <c r="AJ29" i="9"/>
  <c r="C30" i="9"/>
  <c r="AJ30" i="9" s="1"/>
  <c r="AK26" i="14"/>
  <c r="N5" i="14" s="1"/>
  <c r="AJ26" i="9"/>
  <c r="C27" i="9"/>
  <c r="AJ27" i="9" s="1"/>
  <c r="E19" i="9"/>
  <c r="AI19" i="9" s="1"/>
  <c r="AI18" i="9"/>
  <c r="AK29" i="9"/>
  <c r="D30" i="9"/>
  <c r="AK30" i="9" s="1"/>
  <c r="AJ26" i="14"/>
  <c r="M5" i="14" s="1"/>
  <c r="AG15" i="9"/>
  <c r="C16" i="9"/>
  <c r="AG16" i="9" s="1"/>
  <c r="AH15" i="9"/>
  <c r="D16" i="9"/>
  <c r="AH16" i="9" s="1"/>
  <c r="E16" i="9"/>
  <c r="AI16" i="9" s="1"/>
  <c r="AI15" i="9"/>
  <c r="AK26" i="9"/>
  <c r="D27" i="9"/>
  <c r="AK27" i="9" s="1"/>
  <c r="E27" i="14"/>
  <c r="AL26" i="14"/>
  <c r="O5" i="14" s="1"/>
  <c r="AL26" i="9"/>
  <c r="E27" i="9"/>
  <c r="AL27" i="9" s="1"/>
  <c r="AK29" i="14"/>
  <c r="N8" i="14" s="1"/>
  <c r="AL29" i="9"/>
  <c r="E30" i="9"/>
  <c r="AL30" i="9" s="1"/>
  <c r="AJ29" i="14"/>
  <c r="M8" i="14" s="1"/>
  <c r="D27" i="14"/>
  <c r="AK27" i="14" s="1"/>
  <c r="N6" i="14" s="1"/>
  <c r="C27" i="14"/>
  <c r="AJ27" i="14" s="1"/>
  <c r="M6" i="14" s="1"/>
  <c r="T30" i="14"/>
  <c r="D30" i="14"/>
  <c r="C30" i="14"/>
  <c r="AJ30" i="14" s="1"/>
  <c r="M9" i="14" s="1"/>
  <c r="W27" i="14"/>
  <c r="AI18" i="14"/>
  <c r="K8" i="14" s="1"/>
  <c r="R8" i="14" s="1"/>
  <c r="AI19" i="14"/>
  <c r="K9" i="14" s="1"/>
  <c r="AG18" i="14"/>
  <c r="I8" i="14" s="1"/>
  <c r="S8" i="14" s="1"/>
  <c r="AG19" i="14"/>
  <c r="I9" i="14" s="1"/>
  <c r="E8" i="14"/>
  <c r="C8" i="14"/>
  <c r="D8" i="14"/>
  <c r="AI15" i="14"/>
  <c r="K5" i="14" s="1"/>
  <c r="AI16" i="14"/>
  <c r="K6" i="14" s="1"/>
  <c r="AG15" i="14"/>
  <c r="I5" i="14" s="1"/>
  <c r="S5" i="14" s="1"/>
  <c r="AG16" i="14"/>
  <c r="I6" i="14" s="1"/>
  <c r="F8" i="14"/>
  <c r="G8" i="14"/>
  <c r="B8" i="14"/>
  <c r="AH18" i="14"/>
  <c r="J8" i="14" s="1"/>
  <c r="AH19" i="14"/>
  <c r="J9" i="14" s="1"/>
  <c r="AH15" i="14"/>
  <c r="J5" i="14" s="1"/>
  <c r="Q5" i="14" s="1"/>
  <c r="AH16" i="14"/>
  <c r="J6" i="14" s="1"/>
  <c r="AL20" i="15" l="1"/>
  <c r="AK20" i="15"/>
  <c r="AJ20" i="15"/>
  <c r="AJ36" i="15"/>
  <c r="AL36" i="15"/>
  <c r="AK33" i="15"/>
  <c r="AJ33" i="15"/>
  <c r="AK36" i="15"/>
  <c r="AL33" i="15"/>
  <c r="AL30" i="14"/>
  <c r="O9" i="14" s="1"/>
  <c r="V9" i="14" s="1"/>
  <c r="AL27" i="14"/>
  <c r="O6" i="14" s="1"/>
  <c r="V6" i="14" s="1"/>
  <c r="AK30" i="14"/>
  <c r="N9" i="14" s="1"/>
  <c r="U9" i="14" s="1"/>
  <c r="R9" i="14"/>
  <c r="U8" i="14"/>
  <c r="Q6" i="14"/>
  <c r="W9" i="14"/>
  <c r="Q9" i="14"/>
  <c r="Q8" i="14"/>
  <c r="W6" i="14"/>
  <c r="S9" i="14"/>
  <c r="W5" i="14"/>
  <c r="U6" i="14"/>
  <c r="S6" i="14"/>
  <c r="V5" i="14"/>
  <c r="W8" i="14"/>
  <c r="U5" i="14"/>
  <c r="R5" i="14"/>
  <c r="R6" i="14"/>
  <c r="V8" i="14"/>
  <c r="G26" i="11" l="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6" i="11" l="1"/>
  <c r="H26" i="11"/>
  <c r="H23" i="11"/>
  <c r="L13" i="11"/>
  <c r="C1" i="5" l="1"/>
  <c r="G27" i="11" l="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L14" i="11" l="1"/>
  <c r="C15" i="11"/>
  <c r="L15" i="11" s="1"/>
  <c r="L17" i="11"/>
  <c r="C18" i="11"/>
  <c r="L18" i="11" s="1"/>
  <c r="C25" i="11"/>
  <c r="H25" i="11" s="1"/>
  <c r="H24" i="11"/>
  <c r="H27" i="11"/>
  <c r="C28" i="11"/>
  <c r="H28" i="11" s="1"/>
</calcChain>
</file>

<file path=xl/sharedStrings.xml><?xml version="1.0" encoding="utf-8"?>
<sst xmlns="http://schemas.openxmlformats.org/spreadsheetml/2006/main" count="49897" uniqueCount="4848">
  <si>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</si>
  <si>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</si>
  <si>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</si>
  <si>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</si>
  <si>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</si>
  <si>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</si>
  <si>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</si>
  <si>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</si>
  <si>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</si>
  <si>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</si>
  <si>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</si>
  <si>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</si>
  <si>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</si>
  <si>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</si>
  <si>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</si>
  <si>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</si>
  <si>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</si>
  <si>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</si>
  <si>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</si>
  <si>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</si>
  <si>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</si>
  <si>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</si>
  <si>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</si>
  <si>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</si>
  <si>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</si>
  <si>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</si>
  <si>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</si>
  <si>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</si>
  <si>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</si>
  <si>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</si>
  <si>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</si>
  <si>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</si>
  <si>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</si>
  <si>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</si>
  <si>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</si>
  <si>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</si>
  <si>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</si>
  <si>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</si>
  <si>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</si>
  <si>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</si>
  <si>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</si>
  <si>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</si>
  <si>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</si>
  <si>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</si>
  <si>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</si>
  <si>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</si>
  <si>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</si>
  <si>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</si>
  <si>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</si>
  <si>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</si>
  <si>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</si>
  <si>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</si>
  <si>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</si>
  <si>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</si>
  <si>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</si>
  <si>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</si>
  <si>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</si>
  <si>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</si>
  <si>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</si>
  <si>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</si>
  <si>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</si>
  <si>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</si>
  <si>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</si>
  <si>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</si>
  <si>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</si>
  <si>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</si>
  <si>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</si>
  <si>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</si>
  <si>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</si>
  <si>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</si>
  <si>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</si>
  <si>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</si>
  <si>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</si>
  <si>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</si>
  <si>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</si>
  <si>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</si>
  <si>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</si>
  <si>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</si>
  <si>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</si>
  <si>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</si>
  <si>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</si>
  <si>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</si>
  <si>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</si>
  <si>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</si>
  <si>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</si>
  <si>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</si>
  <si>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</si>
  <si>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</si>
  <si>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</si>
  <si>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</si>
  <si>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</si>
  <si>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</si>
  <si>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</si>
  <si>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</si>
  <si>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</si>
  <si>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</si>
  <si>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</si>
  <si>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</si>
  <si>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</si>
  <si>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</si>
  <si>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</si>
  <si>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</si>
  <si>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</si>
  <si>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</si>
  <si>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</si>
  <si>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</si>
  <si>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</si>
  <si>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</si>
  <si>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</si>
  <si>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</si>
  <si>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</si>
  <si>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</si>
  <si>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</si>
  <si>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</si>
  <si>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</si>
  <si>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</si>
  <si>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</si>
  <si>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</si>
  <si>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</si>
  <si>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</si>
  <si>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</si>
  <si>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</si>
  <si>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</si>
  <si>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</si>
  <si>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</si>
  <si>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</si>
  <si>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</si>
  <si>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</si>
  <si>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</si>
  <si>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</si>
  <si>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</si>
  <si>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</si>
  <si>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</si>
  <si>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</si>
  <si>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</si>
  <si>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</si>
  <si>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</si>
  <si>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</si>
  <si>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</si>
  <si>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</si>
  <si>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</si>
  <si>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</si>
  <si>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</si>
  <si>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</si>
  <si>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</si>
  <si>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</si>
  <si>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</si>
  <si>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</si>
  <si>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</si>
  <si>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</si>
  <si>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</si>
  <si>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</si>
  <si>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</si>
  <si>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</si>
  <si>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</si>
  <si>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</si>
  <si>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</si>
  <si>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</si>
  <si>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</si>
  <si>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</si>
  <si>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</si>
  <si>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</si>
  <si>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</si>
  <si>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</si>
  <si>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</si>
  <si>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</si>
  <si>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</si>
  <si>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</si>
  <si>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</si>
  <si>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</si>
  <si>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</si>
  <si>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</si>
  <si>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</si>
  <si>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</si>
  <si>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</si>
  <si>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</si>
  <si>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</si>
  <si>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</si>
  <si>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</si>
  <si>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</si>
  <si>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</si>
  <si>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</si>
  <si>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</si>
  <si>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</si>
  <si>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</si>
  <si>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</si>
  <si>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</si>
  <si>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</si>
  <si>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</si>
  <si>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</si>
  <si>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</si>
  <si>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</si>
  <si>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</si>
  <si>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</si>
  <si>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</si>
  <si>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</si>
  <si>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</si>
  <si>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</si>
  <si>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</si>
  <si>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</si>
  <si>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</si>
  <si>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</si>
  <si>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</si>
  <si>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</si>
  <si>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</si>
  <si>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</si>
  <si>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</si>
  <si>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</si>
  <si>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</si>
  <si>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</si>
  <si>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</si>
  <si>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</si>
  <si>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</si>
  <si>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</si>
  <si>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</si>
  <si>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</si>
  <si>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</si>
  <si>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</si>
  <si>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</si>
  <si>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</si>
  <si>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</si>
  <si>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</si>
  <si>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</si>
  <si>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</si>
  <si>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</si>
  <si>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</si>
  <si>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</si>
  <si>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</si>
  <si>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</si>
  <si>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</si>
  <si>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</si>
  <si>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</si>
  <si>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</si>
  <si>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</si>
  <si>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</si>
  <si>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</si>
  <si>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</si>
  <si>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</si>
  <si>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</si>
  <si>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</si>
  <si>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</si>
  <si>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</si>
  <si>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</si>
  <si>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</si>
  <si>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</si>
  <si>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</si>
  <si>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</si>
  <si>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</si>
  <si>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</si>
  <si>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</si>
  <si>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</si>
  <si>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</si>
  <si>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</si>
  <si>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</si>
  <si>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</si>
  <si>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</si>
  <si>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</si>
  <si>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</si>
  <si>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</si>
  <si>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</si>
  <si>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</si>
  <si>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</si>
  <si>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</si>
  <si>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</si>
  <si>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</si>
  <si>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</si>
  <si>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</si>
  <si>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</si>
  <si>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</si>
  <si>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</si>
  <si>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</si>
  <si>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</si>
  <si>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</si>
  <si>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</si>
  <si>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</si>
  <si>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</si>
  <si>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</si>
  <si>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</si>
  <si>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</si>
  <si>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</si>
  <si>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</si>
  <si>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</si>
  <si>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</si>
  <si>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</si>
  <si>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</si>
  <si>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</si>
  <si>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</si>
  <si>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</si>
  <si>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</si>
  <si>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</si>
  <si>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</si>
  <si>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</si>
  <si>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</si>
  <si>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</si>
  <si>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</si>
  <si>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</si>
  <si>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</si>
  <si>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</si>
  <si>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</si>
  <si>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</si>
  <si>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</si>
  <si>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</si>
  <si>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</si>
  <si>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</si>
  <si>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</si>
  <si>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</si>
  <si>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</si>
  <si>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</si>
  <si>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</si>
  <si>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</si>
  <si>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</si>
  <si>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</si>
  <si>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</si>
  <si>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</si>
  <si>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</si>
  <si>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</si>
  <si>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</si>
  <si>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</si>
  <si>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</si>
  <si>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</si>
  <si>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</si>
  <si>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</si>
  <si>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</si>
  <si>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</si>
  <si>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</si>
  <si>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</si>
  <si>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</si>
  <si>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</si>
  <si>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</si>
  <si>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</si>
  <si>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</si>
  <si>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</si>
  <si>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</si>
  <si>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</si>
  <si>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</si>
  <si>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</si>
  <si>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</si>
  <si>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</si>
  <si>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</si>
  <si>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</si>
  <si>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</si>
  <si>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</si>
  <si>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</si>
  <si>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</si>
  <si>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</si>
  <si>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</si>
  <si>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</si>
  <si>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</si>
  <si>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</si>
  <si>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</si>
  <si>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</si>
  <si>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</si>
  <si>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</si>
  <si>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</si>
  <si>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</si>
  <si>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</si>
  <si>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</si>
  <si>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</si>
  <si>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</si>
  <si>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</si>
  <si>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</si>
  <si>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</si>
  <si>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</si>
  <si>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</si>
  <si>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</si>
  <si>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</si>
  <si>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</si>
  <si>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</si>
  <si>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</si>
  <si>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</si>
  <si>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</si>
  <si>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</si>
  <si>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</si>
  <si>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</si>
  <si>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</si>
  <si>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</si>
  <si>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</si>
  <si>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</si>
  <si>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</si>
  <si>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</si>
  <si>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</si>
  <si>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</si>
  <si>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</si>
  <si>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</si>
  <si>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</si>
  <si>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</si>
  <si>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</si>
  <si>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</si>
  <si>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</si>
  <si>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</si>
  <si>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</si>
  <si>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</si>
  <si>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</si>
  <si>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</si>
  <si>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</si>
  <si>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</si>
  <si>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</si>
  <si>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</si>
  <si>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</si>
  <si>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</si>
  <si>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</si>
  <si>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</si>
  <si>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</si>
  <si>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</si>
  <si>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</si>
  <si>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</si>
  <si>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</si>
  <si>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</si>
  <si>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</si>
  <si>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</si>
  <si>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</si>
  <si>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</si>
  <si>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</si>
  <si>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</si>
  <si>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</si>
  <si>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</si>
  <si>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</si>
  <si>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</si>
  <si>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</si>
  <si>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</si>
  <si>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</si>
  <si>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</si>
  <si>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</si>
  <si>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</si>
  <si>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</si>
  <si>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</si>
  <si>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</si>
  <si>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</si>
  <si>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</si>
  <si>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</si>
  <si>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</si>
  <si>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</si>
  <si>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</si>
  <si>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</si>
  <si>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</si>
  <si>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</si>
  <si>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</si>
  <si>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</si>
  <si>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</si>
  <si>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</si>
  <si>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</si>
  <si>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</si>
  <si>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</si>
  <si>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</si>
  <si>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</si>
  <si>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</si>
  <si>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</si>
  <si>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</si>
  <si>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</si>
  <si>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</si>
  <si>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</si>
  <si>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</si>
  <si>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</si>
  <si>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</si>
  <si>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</si>
  <si>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</si>
  <si>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</si>
  <si>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</si>
  <si>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</si>
  <si>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</si>
  <si>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</si>
  <si>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</si>
  <si>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</si>
  <si>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</si>
  <si>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</si>
  <si>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</si>
  <si>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</si>
  <si>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</si>
  <si>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</si>
  <si>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</si>
  <si>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</si>
  <si>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</si>
  <si>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</si>
  <si>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</si>
  <si>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</si>
  <si>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</si>
  <si>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</si>
  <si>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</si>
  <si>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</si>
  <si>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</si>
  <si>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</si>
  <si>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</si>
  <si>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</si>
  <si>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</si>
  <si>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</si>
  <si>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</si>
  <si>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</si>
  <si>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</si>
  <si>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</si>
  <si>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</si>
  <si>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</si>
  <si>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</si>
  <si>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</si>
  <si>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</si>
  <si>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</si>
  <si>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</si>
  <si>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</si>
  <si>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</si>
  <si>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</si>
  <si>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</si>
  <si>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</si>
  <si>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</si>
  <si>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</si>
  <si>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</si>
  <si>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</si>
  <si>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</si>
  <si>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</si>
  <si>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</si>
  <si>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</si>
  <si>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</si>
  <si>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</si>
  <si>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</si>
  <si>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</si>
  <si>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</si>
  <si>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</si>
  <si>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</si>
  <si>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</si>
  <si>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</si>
  <si>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</si>
  <si>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</si>
  <si>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</si>
  <si>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</si>
  <si>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</si>
  <si>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</si>
  <si>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</si>
  <si>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</si>
  <si>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</si>
  <si>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</si>
  <si>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</si>
  <si>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</si>
  <si>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</si>
  <si>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</si>
  <si>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</si>
  <si>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</si>
  <si>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</si>
  <si>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</si>
  <si>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</si>
  <si>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</si>
  <si>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</si>
  <si>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</si>
  <si>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</si>
  <si>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</si>
  <si>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</si>
  <si>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</si>
  <si>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</si>
  <si>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</si>
  <si>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</si>
  <si>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</si>
  <si>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</si>
  <si>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</si>
  <si>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</si>
  <si>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</si>
  <si>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</si>
  <si>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</si>
  <si>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</si>
  <si>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</si>
  <si>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</si>
  <si>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</si>
  <si>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</si>
  <si>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</si>
  <si>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</si>
  <si>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</si>
  <si>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</si>
  <si>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</si>
  <si>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</si>
  <si>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</si>
  <si>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</si>
  <si>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</si>
  <si>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</si>
  <si>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</si>
  <si>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</si>
  <si>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</si>
  <si>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</si>
  <si>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</si>
  <si>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</si>
  <si>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</si>
  <si>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</si>
  <si>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</si>
  <si>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</si>
  <si>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</si>
  <si>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</si>
  <si>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</si>
  <si>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</si>
  <si>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</si>
  <si>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</si>
  <si>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</si>
  <si>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</si>
  <si>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</si>
  <si>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</si>
  <si>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</si>
  <si>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</si>
  <si>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</si>
  <si>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</si>
  <si>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</si>
  <si>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</si>
  <si>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</si>
  <si>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</si>
  <si>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</si>
  <si>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</si>
  <si>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</si>
  <si>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</si>
  <si>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</si>
  <si>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</si>
  <si>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</si>
  <si>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</si>
  <si>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</si>
  <si>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</si>
  <si>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</si>
  <si>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</si>
  <si>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</si>
  <si>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</si>
  <si>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</si>
  <si>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</si>
  <si>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</si>
  <si>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</si>
  <si>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</si>
  <si>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</si>
  <si>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</si>
  <si>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</si>
  <si>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</si>
  <si>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</si>
  <si>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</si>
  <si>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</si>
  <si>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</si>
  <si>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</si>
  <si>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</si>
  <si>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</si>
  <si>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</si>
  <si>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</si>
  <si>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</si>
  <si>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</si>
  <si>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</si>
  <si>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</si>
  <si>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</si>
  <si>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</si>
  <si>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</si>
  <si>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</si>
  <si>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</si>
  <si>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</si>
  <si>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</si>
  <si>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</si>
  <si>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</si>
  <si>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</si>
  <si>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</si>
  <si>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</si>
  <si>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</si>
  <si>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</si>
  <si>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</si>
  <si>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</si>
  <si>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</si>
  <si>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</si>
  <si>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</si>
  <si>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</si>
  <si>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</si>
  <si>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</si>
  <si>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</si>
  <si>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</si>
  <si>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</si>
  <si>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</si>
  <si>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</si>
  <si>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</si>
  <si>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</si>
  <si>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</si>
  <si>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</si>
  <si>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</si>
  <si>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</si>
  <si>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</si>
  <si>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</si>
  <si>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</si>
  <si>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</si>
  <si>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</si>
  <si>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</si>
  <si>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</si>
  <si>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</si>
  <si>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</si>
  <si>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</si>
  <si>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</si>
  <si>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</si>
  <si>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</si>
  <si>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</si>
  <si>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</si>
  <si>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</si>
  <si>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</si>
  <si>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</si>
  <si>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</si>
  <si>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</si>
  <si>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</si>
  <si>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</si>
  <si>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</si>
  <si>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</si>
  <si>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</si>
  <si>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</si>
  <si>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</si>
  <si>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</si>
  <si>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</si>
  <si>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</si>
  <si>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</si>
  <si>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</si>
  <si>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</si>
  <si>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</si>
  <si>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</si>
  <si>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</si>
  <si>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</si>
  <si>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</si>
  <si>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</si>
  <si>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</si>
  <si>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</si>
  <si>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</si>
  <si>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</si>
  <si>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</si>
  <si>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</si>
  <si>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</si>
  <si>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</si>
  <si>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</si>
  <si>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</si>
  <si>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</si>
  <si>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</si>
  <si>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</si>
  <si>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</si>
  <si>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</si>
  <si>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</si>
  <si>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</si>
  <si>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</si>
  <si>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</si>
  <si>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</si>
  <si>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</si>
  <si>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</si>
  <si>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</si>
  <si>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</si>
  <si>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</si>
  <si>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</si>
  <si>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</si>
  <si>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</si>
  <si>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</si>
  <si>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</si>
  <si>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</si>
  <si>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</si>
  <si>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</si>
  <si>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</si>
  <si>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</si>
  <si>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</si>
  <si>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</si>
  <si>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</si>
  <si>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</si>
  <si>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</si>
  <si>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</si>
  <si>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</si>
  <si>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</si>
  <si>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</si>
  <si>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</si>
  <si>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</si>
  <si>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</si>
  <si>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</si>
  <si>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</si>
  <si>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</si>
  <si>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</si>
  <si>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</si>
  <si>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</si>
  <si>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</si>
  <si>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</si>
  <si>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</si>
  <si>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</si>
  <si>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</si>
  <si>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</si>
  <si>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</si>
  <si>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</si>
  <si>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</si>
  <si>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</si>
  <si>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</si>
  <si>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</si>
  <si>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</si>
  <si>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</si>
  <si>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</si>
  <si>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</si>
  <si>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</si>
  <si>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</si>
  <si>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</si>
  <si>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</si>
  <si>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</si>
  <si>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</si>
  <si>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</si>
  <si>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</si>
  <si>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</si>
  <si>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</si>
  <si>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</si>
  <si>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</si>
  <si>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</si>
  <si>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</si>
  <si>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</si>
  <si>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</si>
  <si>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</si>
  <si>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</si>
  <si>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</si>
  <si>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</si>
  <si>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</si>
  <si>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</si>
  <si>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</si>
  <si>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</si>
  <si>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</si>
  <si>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</si>
  <si>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</si>
  <si>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</si>
  <si>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</si>
  <si>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</si>
  <si>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</si>
  <si>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</si>
  <si>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</si>
  <si>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</si>
  <si>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</si>
  <si>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</si>
  <si>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</si>
  <si>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</si>
  <si>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</si>
  <si>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</si>
  <si>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</si>
  <si>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</si>
  <si>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</si>
  <si>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</si>
  <si>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</si>
  <si>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</si>
  <si>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</si>
  <si>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</si>
  <si>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</si>
  <si>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</si>
  <si>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</si>
  <si>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</si>
  <si>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</si>
  <si>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</si>
  <si>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</si>
  <si>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</si>
  <si>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</si>
  <si>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</si>
  <si>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</si>
  <si>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</si>
  <si>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</si>
  <si>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</si>
  <si>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</si>
  <si>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</si>
  <si>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</si>
  <si>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</si>
  <si>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</si>
  <si>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</si>
  <si>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</si>
  <si>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</si>
  <si>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</si>
  <si>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</si>
  <si>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</si>
  <si>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</si>
  <si>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</si>
  <si>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</si>
  <si>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</si>
  <si>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</si>
  <si>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</si>
  <si>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</si>
  <si>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</si>
  <si>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</si>
  <si>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</si>
  <si>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</si>
  <si>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</si>
  <si>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</si>
  <si>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</si>
  <si>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</si>
  <si>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</si>
  <si>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</si>
  <si>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</si>
  <si>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</si>
  <si>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</si>
  <si>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</si>
  <si>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</si>
  <si>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</si>
  <si>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</si>
  <si>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</si>
  <si>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</si>
  <si>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</si>
  <si>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</si>
  <si>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</si>
  <si>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</si>
  <si>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</si>
  <si>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</si>
  <si>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</si>
  <si>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</si>
  <si>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</si>
  <si>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</si>
  <si>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</si>
  <si>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</si>
  <si>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</si>
  <si>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</si>
  <si>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</si>
  <si>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</si>
  <si>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</si>
  <si>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</si>
  <si>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</si>
  <si>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</si>
  <si>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</si>
  <si>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</si>
  <si>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</si>
  <si>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</si>
  <si>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</si>
  <si>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</si>
  <si>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</si>
  <si>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</si>
  <si>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</si>
  <si>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</si>
  <si>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</si>
  <si>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</si>
  <si>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</si>
  <si>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</si>
  <si>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</si>
  <si>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</si>
  <si>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</si>
  <si>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</si>
  <si>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</si>
  <si>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</si>
  <si>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</si>
  <si>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</si>
  <si>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</si>
  <si>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</si>
  <si>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</si>
  <si>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</si>
  <si>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</si>
  <si>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</si>
  <si>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</si>
  <si>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</si>
  <si>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</si>
  <si>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</si>
  <si>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</si>
  <si>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</si>
  <si>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</si>
  <si>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</si>
  <si>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</si>
  <si>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</si>
  <si>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</si>
  <si>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</si>
  <si>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</si>
  <si>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</si>
  <si>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</si>
  <si>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</si>
  <si>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</si>
  <si>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</si>
  <si>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</si>
  <si>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</si>
  <si>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</si>
  <si>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</si>
  <si>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</si>
  <si>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</si>
  <si>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</si>
  <si>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</si>
  <si>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</si>
  <si>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</si>
  <si>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</si>
  <si>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</si>
  <si>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</si>
  <si>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</si>
  <si>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</si>
  <si>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</si>
  <si>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</si>
  <si>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</si>
  <si>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</si>
  <si>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</si>
  <si>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</si>
  <si>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</si>
  <si>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</si>
  <si>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</si>
  <si>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</si>
  <si>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</si>
  <si>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</si>
  <si>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</si>
  <si>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</si>
  <si>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</si>
  <si>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</si>
  <si>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</si>
  <si>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</si>
  <si>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</si>
  <si>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</si>
  <si>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</si>
  <si>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</si>
  <si>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</si>
  <si>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</si>
  <si>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</si>
  <si>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</si>
  <si>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</si>
  <si>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</si>
  <si>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</si>
  <si>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</si>
  <si>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</si>
  <si>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</si>
  <si>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</si>
  <si>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</si>
  <si>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</si>
  <si>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</si>
  <si>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</si>
  <si>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</si>
  <si>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</si>
  <si>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</si>
  <si>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</si>
  <si>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</si>
  <si>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</si>
  <si>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</si>
  <si>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</si>
  <si>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</si>
  <si>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</si>
  <si>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</si>
  <si>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</si>
  <si>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</si>
  <si>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</si>
  <si>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</si>
  <si>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</si>
  <si>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</si>
  <si>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</si>
  <si>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</si>
  <si>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</si>
  <si>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</si>
  <si>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</si>
  <si>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</si>
  <si>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</si>
  <si>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</si>
  <si>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</si>
  <si>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</si>
  <si>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</si>
  <si>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</si>
  <si>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</si>
  <si>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</si>
  <si>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</si>
  <si>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</si>
  <si>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</si>
  <si>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</si>
  <si>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</si>
  <si>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</si>
  <si>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</si>
  <si>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</si>
  <si>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</si>
  <si>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</si>
  <si>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</si>
  <si>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</si>
  <si>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</si>
  <si>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</si>
  <si>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</si>
  <si>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</si>
  <si>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</si>
  <si>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</si>
  <si>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</si>
  <si>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</si>
  <si>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</si>
  <si>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</si>
  <si>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</si>
  <si>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</si>
  <si>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</si>
  <si>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</si>
  <si>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</si>
  <si>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</si>
  <si>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</si>
  <si>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</si>
  <si>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</si>
  <si>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</si>
  <si>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</si>
  <si>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</si>
  <si>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</si>
  <si>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</si>
  <si>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</si>
  <si>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</si>
  <si>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</si>
  <si>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</si>
  <si>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</si>
  <si>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</si>
  <si>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</si>
  <si>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</si>
  <si>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</si>
  <si>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</si>
  <si>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</si>
  <si>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</si>
  <si>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</si>
  <si>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</si>
  <si>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</si>
  <si>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</si>
  <si>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</si>
  <si>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</si>
  <si>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</si>
  <si>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</si>
  <si>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</si>
  <si>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</si>
  <si>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</si>
  <si>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</si>
  <si>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</si>
  <si>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</si>
  <si>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</si>
  <si>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</si>
  <si>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</si>
  <si>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</si>
  <si>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</si>
  <si>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</si>
  <si>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</si>
  <si>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</si>
  <si>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</si>
  <si>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</si>
  <si>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</si>
  <si>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</si>
  <si>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</si>
  <si>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</si>
  <si>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</si>
  <si>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</si>
  <si>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</si>
  <si>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</si>
  <si>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</si>
  <si>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</si>
  <si>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</si>
  <si>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</si>
  <si>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</si>
  <si>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</si>
  <si>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</si>
  <si>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</si>
  <si>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</si>
  <si>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</si>
  <si>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</si>
  <si>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</si>
  <si>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</si>
  <si>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</si>
  <si>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</si>
  <si>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</si>
  <si>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</si>
  <si>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</si>
  <si>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</si>
  <si>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</si>
  <si>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</si>
  <si>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</si>
  <si>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</si>
  <si>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</si>
  <si>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</si>
  <si>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</si>
  <si>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</si>
  <si>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</si>
  <si>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</si>
  <si>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</si>
  <si>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</si>
  <si>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</si>
  <si>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</si>
  <si>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</si>
  <si>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</si>
  <si>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</si>
  <si>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</si>
  <si>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</si>
  <si>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</si>
  <si>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</si>
  <si>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</si>
  <si>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</si>
  <si>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</si>
  <si>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</si>
  <si>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</si>
  <si>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</si>
  <si>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</si>
  <si>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</si>
  <si>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</si>
  <si>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</si>
  <si>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</si>
  <si>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</si>
  <si>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</si>
  <si>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</si>
  <si>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</si>
  <si>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</si>
  <si>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</si>
  <si>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</si>
  <si>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</si>
  <si>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</si>
  <si>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</si>
  <si>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</si>
  <si>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</si>
  <si>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</si>
  <si>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</si>
  <si>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</si>
  <si>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</si>
  <si>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</si>
  <si>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</si>
  <si>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</si>
  <si>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</si>
  <si>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</si>
  <si>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</si>
  <si>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</si>
  <si>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</si>
  <si>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</si>
  <si>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</si>
  <si>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</si>
  <si>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</si>
  <si>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</si>
  <si>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</si>
  <si>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</si>
  <si>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</si>
  <si>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</si>
  <si>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</si>
  <si>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</si>
  <si>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</si>
  <si>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</si>
  <si>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</si>
  <si>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</si>
  <si>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</si>
  <si>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</si>
  <si>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</si>
  <si>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</si>
  <si>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</si>
  <si>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</si>
  <si>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</si>
  <si>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</si>
  <si>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</si>
  <si>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</si>
  <si>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</si>
  <si>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</si>
  <si>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</si>
  <si>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</si>
  <si>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</si>
  <si>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</si>
  <si>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</si>
  <si>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</si>
  <si>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</si>
  <si>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</si>
  <si>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</si>
  <si>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</si>
  <si>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</si>
  <si>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</si>
  <si>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</si>
  <si>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</si>
  <si>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</si>
  <si>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</si>
  <si>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</si>
  <si>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</si>
  <si>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</si>
  <si>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</si>
  <si>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</si>
  <si>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</si>
  <si>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</si>
  <si>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</si>
  <si>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</si>
  <si>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</si>
  <si>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</si>
  <si>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</si>
  <si>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</si>
  <si>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</si>
  <si>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</si>
  <si>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</si>
  <si>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</si>
  <si>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</si>
  <si>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</si>
  <si>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</si>
  <si>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</si>
  <si>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</si>
  <si>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</si>
  <si>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</si>
  <si>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</si>
  <si>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</si>
  <si>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</si>
  <si>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</si>
  <si>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</si>
  <si>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</si>
  <si>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</si>
  <si>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</si>
  <si>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</si>
  <si>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</si>
  <si>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</si>
  <si>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</si>
  <si>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</si>
  <si>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</si>
  <si>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</si>
  <si>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</si>
  <si>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</si>
  <si>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</si>
  <si>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</si>
  <si>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</si>
  <si>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</si>
  <si>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</si>
  <si>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</si>
  <si>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</si>
  <si>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</si>
  <si>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</si>
  <si>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</si>
  <si>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</si>
  <si>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</si>
  <si>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</si>
  <si>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</si>
  <si>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</si>
  <si>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</si>
  <si>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</si>
  <si>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</si>
  <si>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</si>
  <si>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</si>
  <si>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</si>
  <si>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</si>
  <si>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</si>
  <si>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</si>
  <si>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</si>
  <si>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</si>
  <si>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</si>
  <si>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</si>
  <si>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</si>
  <si>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</si>
  <si>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</si>
  <si>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</si>
  <si>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</si>
  <si>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</si>
  <si>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</si>
  <si>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</si>
  <si>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</si>
  <si>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</si>
  <si>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</si>
  <si>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</si>
  <si>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</si>
  <si>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</si>
  <si>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</si>
  <si>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</si>
  <si>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</si>
  <si>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</si>
  <si>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</si>
  <si>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</si>
  <si>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</si>
  <si>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</si>
  <si>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</si>
  <si>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</si>
  <si>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</si>
  <si>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</si>
  <si>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</si>
  <si>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</si>
  <si>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</si>
  <si>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</si>
  <si>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</si>
  <si>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</si>
  <si>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</si>
  <si>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</si>
  <si>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</si>
  <si>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</si>
  <si>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</si>
  <si>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</si>
  <si>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</si>
  <si>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</si>
  <si>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</si>
  <si>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</si>
  <si>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07_131_ビジ姫路校</t>
    <phoneticPr fontId="2"/>
  </si>
  <si>
    <t>05_057_神戸校</t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</si>
  <si>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</si>
  <si>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</si>
  <si>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</si>
  <si>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</si>
  <si>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</si>
  <si>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</si>
  <si>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</si>
  <si>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</si>
  <si>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</si>
  <si>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</si>
  <si>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</si>
  <si>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</si>
  <si>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</si>
  <si>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</si>
  <si>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</si>
  <si>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</si>
  <si>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</si>
  <si>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</si>
  <si>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</si>
  <si>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</si>
  <si>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</si>
  <si>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</si>
  <si>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</si>
  <si>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</si>
  <si>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</si>
  <si>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651-0071</t>
  </si>
  <si>
    <t>和歌山県</t>
  </si>
  <si>
    <t>655-0041</t>
  </si>
  <si>
    <t>675-0021</t>
  </si>
  <si>
    <t>671-2572</t>
  </si>
  <si>
    <t>676-0082</t>
  </si>
  <si>
    <t>9月</t>
    <phoneticPr fontId="2"/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</si>
  <si>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</si>
  <si>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</si>
  <si>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</si>
  <si>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</si>
  <si>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</si>
  <si>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</si>
  <si>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</si>
  <si>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</si>
  <si>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</si>
  <si>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</si>
  <si>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</si>
  <si>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</si>
  <si>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</si>
  <si>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</si>
  <si>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</si>
  <si>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</si>
  <si>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</si>
  <si>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</si>
  <si>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</si>
  <si>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</si>
  <si>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</si>
  <si>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</si>
  <si>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</si>
  <si>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</si>
  <si>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</si>
  <si>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</si>
  <si>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</si>
  <si>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</si>
  <si>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</si>
  <si>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</si>
  <si>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</si>
  <si>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</si>
  <si>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</si>
  <si>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</si>
  <si>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</si>
  <si>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</si>
  <si>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</si>
  <si>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</si>
  <si>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</si>
  <si>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</si>
  <si>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</si>
  <si>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</si>
  <si>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</si>
  <si>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</si>
  <si>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</si>
  <si>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</si>
  <si>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</si>
  <si>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</si>
  <si>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</si>
  <si>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</si>
  <si>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</si>
  <si>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</si>
  <si>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</si>
  <si>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 xml:space="preserve">県立        </t>
  </si>
  <si>
    <t xml:space="preserve">龍野北　　　　　　　　　　　　　　　　　                    </t>
  </si>
  <si>
    <t xml:space="preserve">和歌山    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</si>
  <si>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</si>
  <si>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</si>
  <si>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</si>
  <si>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</si>
  <si>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 xml:space="preserve">網干　　　　　　　　　　　　　　　　　　                    </t>
  </si>
  <si>
    <t xml:space="preserve">鹿島朝日（通信制）                               </t>
  </si>
  <si>
    <t xml:space="preserve">岡山      </t>
  </si>
  <si>
    <t xml:space="preserve">明石西　　　　　　　　　　　　　　　　　                    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</si>
  <si>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</si>
  <si>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</si>
  <si>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</si>
  <si>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</si>
  <si>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</si>
  <si>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神崎　　　　　　　　　　　　　　　　　　                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</si>
  <si>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</si>
  <si>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</si>
  <si>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</si>
  <si>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</si>
  <si>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</si>
  <si>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西脇北（定時制）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</si>
  <si>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</si>
  <si>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</si>
  <si>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</si>
  <si>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小野工業　　　　　　　　　　　　　　　　                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</si>
  <si>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</si>
  <si>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</si>
  <si>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</si>
  <si>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</si>
  <si>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飾磨工業（多部制定時制）                            </t>
  </si>
  <si>
    <t xml:space="preserve">相生学院　相生本校（通信制）                          </t>
  </si>
  <si>
    <t xml:space="preserve">相生　　　　　　　　　　　　　　　　　　                    </t>
  </si>
  <si>
    <t xml:space="preserve">姫路女学院                                   </t>
  </si>
  <si>
    <t xml:space="preserve">淡路　　　　　　　　　　　　　　　　　　                    </t>
  </si>
  <si>
    <t xml:space="preserve">錦城（定時制）　　　　　　　　　　　　　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</si>
  <si>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</si>
  <si>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</si>
  <si>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播磨西高等学院             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</si>
  <si>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</si>
  <si>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</si>
  <si>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</si>
  <si>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 xml:space="preserve">徳島県 </t>
  </si>
  <si>
    <t>17_医療姫路校</t>
  </si>
  <si>
    <t xml:space="preserve">消防官コース　　　　　　　　　     </t>
  </si>
  <si>
    <t>公務員</t>
  </si>
  <si>
    <t>田中　芳</t>
  </si>
  <si>
    <t>ﾀﾅｶ ｶｵﾘ</t>
  </si>
  <si>
    <t>700-0864</t>
  </si>
  <si>
    <t xml:space="preserve">岡山県 </t>
  </si>
  <si>
    <t xml:space="preserve">スポーツ・警察、消防官コース      </t>
  </si>
  <si>
    <t>スポーツ系</t>
  </si>
  <si>
    <t xml:space="preserve">岡山後楽館　　　　　　　　　　　　　　　                    </t>
  </si>
  <si>
    <t xml:space="preserve">公務員公安総合コース          </t>
  </si>
  <si>
    <t>K</t>
  </si>
  <si>
    <t xml:space="preserve">市役所・町役場等初級レベル       </t>
  </si>
  <si>
    <t xml:space="preserve">山崎　　　　　　　　　　　　　　　　　　                    </t>
  </si>
  <si>
    <t xml:space="preserve">事務・経理職専攻コース         </t>
  </si>
  <si>
    <t>ビジネス系</t>
  </si>
  <si>
    <t xml:space="preserve">北条　　　　　　　　　　　　　　　　　　                    </t>
  </si>
  <si>
    <t xml:space="preserve">警察官コース　　　　　　　　　     </t>
  </si>
  <si>
    <t xml:space="preserve">多可　　　　　　　　　　　　　　　　　　                    </t>
  </si>
  <si>
    <t xml:space="preserve">府庁・県庁等初級レベルコース      </t>
  </si>
  <si>
    <t xml:space="preserve">龍野　　　　　　　　　　　　　　　　　　                    </t>
  </si>
  <si>
    <t xml:space="preserve">明石商業　　　　　　　　　　　　　　　　                    </t>
  </si>
  <si>
    <t xml:space="preserve">松陽　　　　　　　　　　　　　　　　　　                    </t>
  </si>
  <si>
    <t xml:space="preserve">鳥取県 </t>
  </si>
  <si>
    <t xml:space="preserve">鳥取城北　　　　　　　　　　　　　　　　                    </t>
  </si>
  <si>
    <t xml:space="preserve">鳥取      </t>
  </si>
  <si>
    <t xml:space="preserve">滝川第二　　　　　　　　　　　　　　　　                    </t>
  </si>
  <si>
    <t xml:space="preserve">２年制保育士・幼稚園教諭コース     </t>
  </si>
  <si>
    <t>保育系</t>
  </si>
  <si>
    <t xml:space="preserve">学校事務・警察事務職員コース      </t>
  </si>
  <si>
    <t>専攻科</t>
  </si>
  <si>
    <t xml:space="preserve">科学技術　　　　　　　　　　　　　　　　                    </t>
  </si>
  <si>
    <t xml:space="preserve">裁判所・検察庁・税務署職員       </t>
  </si>
  <si>
    <t>669-6808</t>
  </si>
  <si>
    <t xml:space="preserve">公務員総合コース　　　　　　　     </t>
  </si>
  <si>
    <t xml:space="preserve">姫路別所　　　　　　　　　　　　　　　　                    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</si>
  <si>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</si>
  <si>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</si>
  <si>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</si>
  <si>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</si>
  <si>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</si>
  <si>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</si>
  <si>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</si>
  <si>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</si>
  <si>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</si>
  <si>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</si>
  <si>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小児クラークコース　　　　　　     </t>
  </si>
  <si>
    <t xml:space="preserve">メディカルトレーナーコース　　     </t>
  </si>
  <si>
    <t xml:space="preserve">播磨農業　　　　　　　　　　　　　　　　                    </t>
  </si>
  <si>
    <t xml:space="preserve">京都府 </t>
  </si>
  <si>
    <t xml:space="preserve">府立        </t>
  </si>
  <si>
    <t xml:space="preserve">東舞鶴　　　　　　　　　　　　　　　　　                    </t>
  </si>
  <si>
    <t xml:space="preserve">京都      </t>
  </si>
  <si>
    <t xml:space="preserve">こころ未来（通信制）                              </t>
  </si>
  <si>
    <t xml:space="preserve">長崎      </t>
  </si>
  <si>
    <t xml:space="preserve">豊岡総合　　　　　　　　　　　　　　　　              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</si>
  <si>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</si>
  <si>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</si>
  <si>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</si>
  <si>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第一学院高等学校養父本校                            </t>
  </si>
  <si>
    <t xml:space="preserve">スポーツインストラクターコース     </t>
  </si>
  <si>
    <t xml:space="preserve">姫路北（定時制）　　　　　　　　　　　　                    </t>
  </si>
  <si>
    <t xml:space="preserve">レスキュー・災害救助隊員コース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</si>
  <si>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</si>
  <si>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</si>
  <si>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</si>
  <si>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鹿島学園（通信制）                               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</si>
  <si>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</si>
  <si>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</si>
  <si>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</si>
  <si>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東播磨　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</si>
  <si>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</si>
  <si>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</si>
  <si>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</si>
  <si>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</si>
  <si>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海上保安官コース　　　　　　　     </t>
  </si>
  <si>
    <t xml:space="preserve">家島　　　　　　　　　　　　　　　　　　                    </t>
  </si>
  <si>
    <t xml:space="preserve">香住　　　　　　　　　　　　　　　　　　                    </t>
  </si>
  <si>
    <t xml:space="preserve">富山県 </t>
  </si>
  <si>
    <t xml:space="preserve">雄峰（定時制）　　　　　　　　　　　　　                    </t>
  </si>
  <si>
    <t xml:space="preserve">富山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</si>
  <si>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</si>
  <si>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</si>
  <si>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</si>
  <si>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</si>
  <si>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</si>
  <si>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</si>
  <si>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ボディメイク専攻            </t>
  </si>
  <si>
    <t xml:space="preserve">兵庫大学附属須磨ノ浦                              </t>
  </si>
  <si>
    <t>11_神戸校</t>
  </si>
  <si>
    <t>4.神戸校</t>
  </si>
  <si>
    <t xml:space="preserve">公認会計士スタンダードコース　     </t>
  </si>
  <si>
    <t xml:space="preserve">三木北　　　　　　　　　　　　　　　　　                    </t>
  </si>
  <si>
    <t xml:space="preserve">医療ＩＴコース             </t>
  </si>
  <si>
    <t xml:space="preserve">伊川谷　　　　　　　　　　　　　　　　　                    </t>
  </si>
  <si>
    <t xml:space="preserve">公認会計士チャレンジコース　　     </t>
  </si>
  <si>
    <t>675-0038</t>
  </si>
  <si>
    <t xml:space="preserve">明石　　　　　　　　　　　　　　　　　　                    </t>
  </si>
  <si>
    <t xml:space="preserve">愛媛県 </t>
  </si>
  <si>
    <t xml:space="preserve">福井県 </t>
  </si>
  <si>
    <t xml:space="preserve">税理士チャレンジコース　　　　     </t>
  </si>
  <si>
    <t xml:space="preserve">福井      </t>
  </si>
  <si>
    <t>井上　颯太</t>
  </si>
  <si>
    <t>ｲﾉｳｴ ｿｳﾀ</t>
  </si>
  <si>
    <t xml:space="preserve">神戸商業　　　　　　　　　　　　　　　　                    </t>
  </si>
  <si>
    <t xml:space="preserve">淡路三原　　　　　　　　　　　　　　　　                    </t>
  </si>
  <si>
    <t>651-1131</t>
  </si>
  <si>
    <t xml:space="preserve">島根県 </t>
  </si>
  <si>
    <t xml:space="preserve">島根      </t>
  </si>
  <si>
    <t xml:space="preserve">三田松聖　　　　　　　　　　　　　　　　                    </t>
  </si>
  <si>
    <t xml:space="preserve">神港橘                                     </t>
  </si>
  <si>
    <t xml:space="preserve">香川      </t>
  </si>
  <si>
    <t>671-0234</t>
  </si>
  <si>
    <t>651-2135</t>
  </si>
  <si>
    <t xml:space="preserve">明石南　　　　　　　　　　　　　　　　　                    </t>
  </si>
  <si>
    <t>653-0843</t>
  </si>
  <si>
    <t xml:space="preserve">神戸学院大学附属　　　　　　　　　　　　                    </t>
  </si>
  <si>
    <t xml:space="preserve">摩耶兵庫（定時制）　　　　　　　　　　　                    </t>
  </si>
  <si>
    <t xml:space="preserve">ビジネス資格・公務員コース       </t>
  </si>
  <si>
    <t xml:space="preserve">大阪      </t>
  </si>
  <si>
    <t xml:space="preserve">ＩＴビジネス専攻コース         </t>
  </si>
  <si>
    <t xml:space="preserve">舞子　　　　　　　　　　　　　　　　　　                    </t>
  </si>
  <si>
    <t xml:space="preserve">宮城      </t>
  </si>
  <si>
    <t>655-0038</t>
  </si>
  <si>
    <t xml:space="preserve">須磨翔風（単位制）　　　　　　　　　　　                    </t>
  </si>
  <si>
    <t xml:space="preserve">販売・営業サービス専攻コース      </t>
  </si>
  <si>
    <t xml:space="preserve">奈良県 </t>
  </si>
  <si>
    <t xml:space="preserve">奈良      </t>
  </si>
  <si>
    <t xml:space="preserve">大阪府 </t>
  </si>
  <si>
    <t>653-0805</t>
  </si>
  <si>
    <t>657-0835</t>
  </si>
  <si>
    <t xml:space="preserve">三木東　　　　　　　　　　　　　　　　　                    </t>
  </si>
  <si>
    <t xml:space="preserve">鹿島学園高等学校 神戸三宮キャンパス                      </t>
  </si>
  <si>
    <t xml:space="preserve">宇和島東　　　　　　　　　　　　　　　　                    </t>
  </si>
  <si>
    <t xml:space="preserve">愛媛      </t>
  </si>
  <si>
    <t xml:space="preserve">西宮南　　　　　　　　　　　　　　　　　                    </t>
  </si>
  <si>
    <t xml:space="preserve">西宮香風                              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</si>
  <si>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</si>
  <si>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</si>
  <si>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</si>
  <si>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富岡東　　　　　　　　　　　　　　　　　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</si>
  <si>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</si>
  <si>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</si>
  <si>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</si>
  <si>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高松商業　　　　　　　　　　　　　　　　                    </t>
  </si>
  <si>
    <t xml:space="preserve">神戸甲北　　　　　　　　　　　　　　　　                    </t>
  </si>
  <si>
    <t xml:space="preserve">東海大学付属大阪仰星　　　　　　　　　　　　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</si>
  <si>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</si>
  <si>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</si>
  <si>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飛鳥未来きずな（通信制）                            </t>
  </si>
  <si>
    <t xml:space="preserve">医療事務・ビジネスコース        </t>
  </si>
  <si>
    <t xml:space="preserve">北須磨（単位制）　　　　　　　　　　　　　　　　　               </t>
  </si>
  <si>
    <t xml:space="preserve">鳥取湖陵　　　　　　　　　　　　　　　　                    </t>
  </si>
  <si>
    <t xml:space="preserve">鳴門渦潮                                    </t>
  </si>
  <si>
    <t xml:space="preserve">神戸弘陵学園　　　　　　　　　　　　　　                    </t>
  </si>
  <si>
    <t xml:space="preserve">伊川谷北　　　　　　　　　　　　　　　　                    </t>
  </si>
  <si>
    <t xml:space="preserve">刑務官・入国警備官・皇宮護衛官     </t>
  </si>
  <si>
    <t xml:space="preserve">神戸高塚　　　　　　　　　　　　　　　　                    </t>
  </si>
  <si>
    <t xml:space="preserve">洲本実業　　　　　　　　　　　　　　　　                    </t>
  </si>
  <si>
    <t xml:space="preserve">六甲アイランド　　　　　　　　　　　                      </t>
  </si>
  <si>
    <t xml:space="preserve">親和女子　　　　　　　　　　　　　　　　                    </t>
  </si>
  <si>
    <t xml:space="preserve">芦屋学園　　　　　　　　　　　　　　　　                    </t>
  </si>
  <si>
    <t xml:space="preserve">兵庫工業　　　　　　　　　　　　　　　　                    </t>
  </si>
  <si>
    <t xml:space="preserve">武田　　　　　　　　　　　　　　　　　　                    </t>
  </si>
  <si>
    <t xml:space="preserve">三田西陵　　　　　　　　　　　　　　　　                    </t>
  </si>
  <si>
    <t xml:space="preserve">洲本　　　　　　　　　　　　　　　　　　                    </t>
  </si>
  <si>
    <t xml:space="preserve">有馬　　　　　　　　　　　　　　　　　　                    </t>
  </si>
  <si>
    <t xml:space="preserve">高知県 </t>
  </si>
  <si>
    <t xml:space="preserve">岡豊　　　　　　　　　　　　　　　　　　                    </t>
  </si>
  <si>
    <t xml:space="preserve">高知      </t>
  </si>
  <si>
    <t xml:space="preserve">創志学園                                    </t>
  </si>
  <si>
    <t xml:space="preserve">小豆島中央                                   </t>
  </si>
  <si>
    <t xml:space="preserve">三木　　　　　　　　　　　　　　　　　　                    </t>
  </si>
  <si>
    <t xml:space="preserve">甲南女子　　　　　　　　　　　　　　　　                    </t>
  </si>
  <si>
    <t xml:space="preserve">宮城県 </t>
  </si>
  <si>
    <t xml:space="preserve">常盤木学園　　　　　　　　　　　　　　　                    </t>
  </si>
  <si>
    <t xml:space="preserve">おおぞら高等学院神戸キャンパス　　　　                     </t>
  </si>
  <si>
    <t xml:space="preserve">福知山成美　　　　　　　　　　　　　　　                    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</si>
  <si>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</si>
  <si>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</si>
  <si>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</si>
  <si>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</si>
  <si>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</si>
  <si>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01_25</t>
  </si>
  <si>
    <t>私立 吉備高原学園</t>
  </si>
  <si>
    <t>大谷　海斗</t>
  </si>
  <si>
    <t>ｵｵﾀﾆ ｶｲﾄ</t>
  </si>
  <si>
    <t>中村　宇響</t>
  </si>
  <si>
    <t>ﾅｶﾑﾗ ｳｷｮｳ</t>
  </si>
  <si>
    <t>656-0501</t>
  </si>
  <si>
    <t>上仮屋　聖奈</t>
  </si>
  <si>
    <t>ｶﾐｶﾘﾔ ｾﾅ</t>
  </si>
  <si>
    <t>市立 神戸工科（定時制）</t>
  </si>
  <si>
    <t>西原　和巳</t>
  </si>
  <si>
    <t>ﾆｼﾊﾗ ｶｽﾞﾐ</t>
  </si>
  <si>
    <t>673-0866</t>
  </si>
  <si>
    <t>私立 仁川学院</t>
  </si>
  <si>
    <t>浜崎　智葉</t>
  </si>
  <si>
    <t>ﾊﾏｻｷ ﾄﾓﾊ</t>
  </si>
  <si>
    <t>665-0862</t>
  </si>
  <si>
    <t>埴原　美優</t>
  </si>
  <si>
    <t>ﾊｲﾊﾞﾗ ﾐﾕｳ</t>
  </si>
  <si>
    <t>652-0852</t>
  </si>
  <si>
    <t>市立 須磨翔風（単位制）</t>
  </si>
  <si>
    <t>北島　奈幸</t>
  </si>
  <si>
    <t>ｷﾀｼﾞﾏ ﾅﾕｷ</t>
  </si>
  <si>
    <t>庄野　夏凜</t>
  </si>
  <si>
    <t>ｼｮｳﾉ ｶﾘﾝ</t>
  </si>
  <si>
    <t>655-0017</t>
  </si>
  <si>
    <t>私立 甲子園学院</t>
  </si>
  <si>
    <t>西野　心喜</t>
  </si>
  <si>
    <t>ﾆｼﾉ ﾐｷ</t>
  </si>
  <si>
    <t>662-0862</t>
  </si>
  <si>
    <t>成枝　桜</t>
  </si>
  <si>
    <t>ﾅﾘｴﾀﾞ ｻｸﾗ</t>
  </si>
  <si>
    <t>651-2401</t>
  </si>
  <si>
    <t>マーケティングビジネス専攻</t>
  </si>
  <si>
    <t>サプコタ　プラビン</t>
  </si>
  <si>
    <t>ｻﾌﾟｺﾀ ﾌﾟﾗﾋﾞﾝ</t>
  </si>
  <si>
    <t>651-1113</t>
  </si>
  <si>
    <t>私立 鹿島朝日高等学校 姫路キャンパス</t>
  </si>
  <si>
    <t>西郷　和弥</t>
  </si>
  <si>
    <t>ｻｲｺﾞｳ ｶｽﾞﾔ</t>
  </si>
  <si>
    <t>670-0844</t>
  </si>
  <si>
    <t>私立 昇陽</t>
  </si>
  <si>
    <t>植田　真吉</t>
  </si>
  <si>
    <t>ｳｴﾀﾞ ｼﾝｷﾁ</t>
  </si>
  <si>
    <t>660-0075</t>
  </si>
  <si>
    <t>丸居　彩花</t>
  </si>
  <si>
    <t>ﾏﾙｲ ｻﾔｶ</t>
  </si>
  <si>
    <t>松本　楓華</t>
  </si>
  <si>
    <t>ﾏﾂﾓﾄ ﾌｳｶ</t>
  </si>
  <si>
    <t>近藤　亜美</t>
  </si>
  <si>
    <t>ｺﾝﾄﾞｳ ｱﾐ</t>
  </si>
  <si>
    <t>坂本　海晶</t>
  </si>
  <si>
    <t>ｻｶﾓﾄ ｶｲﾗ</t>
  </si>
  <si>
    <t>654-0041</t>
  </si>
  <si>
    <t>寺井　陽香</t>
  </si>
  <si>
    <t>ﾃﾗｲ ﾊﾙｶ</t>
  </si>
  <si>
    <t>私立 おおぞら高等学院姫路キャンパス</t>
  </si>
  <si>
    <t>星野　琉海</t>
  </si>
  <si>
    <t>ﾎｼﾉ ﾙﾐ</t>
  </si>
  <si>
    <t>671-0222</t>
  </si>
  <si>
    <t>北川　大葵</t>
  </si>
  <si>
    <t>ｷﾀｶﾞﾜ ﾀﾞｲｷ</t>
  </si>
  <si>
    <t>655-0004</t>
  </si>
  <si>
    <t>柴田　司</t>
  </si>
  <si>
    <t>ｼﾊﾞﾀ ﾂｶｻ</t>
  </si>
  <si>
    <t>651-1515</t>
  </si>
  <si>
    <t>田村　渉</t>
  </si>
  <si>
    <t>ﾀﾑﾗ ﾜﾀﾙ</t>
  </si>
  <si>
    <t>675-0027</t>
  </si>
  <si>
    <t>門脇　拓己</t>
  </si>
  <si>
    <t>ｶﾄﾞﾜｷ ﾀｸﾐ</t>
  </si>
  <si>
    <t>653-0042</t>
  </si>
  <si>
    <t>パーソナルトレーナーコース</t>
  </si>
  <si>
    <t>県立 多可</t>
  </si>
  <si>
    <t>片岡　颯汰</t>
  </si>
  <si>
    <t>ｶﾀｵｶ ｿｳﾀ</t>
  </si>
  <si>
    <t>677-0033</t>
  </si>
  <si>
    <t>私立 ヒューマンキャンパスのぞみ高等学校神戸三宮学習センター</t>
  </si>
  <si>
    <t>井上　愛香</t>
  </si>
  <si>
    <t>ｲﾉｳｴ ｱｲｶ</t>
  </si>
  <si>
    <t>665-0033</t>
  </si>
  <si>
    <t>関　すずな</t>
  </si>
  <si>
    <t>ｾｷ ｽｽﾞﾅ</t>
  </si>
  <si>
    <t>横田　梨香</t>
  </si>
  <si>
    <t>ﾖｺﾀ ﾘｶ</t>
  </si>
  <si>
    <t>651-1304</t>
  </si>
  <si>
    <t>妻鳥　琴真</t>
  </si>
  <si>
    <t>ﾒﾝﾄﾞﾘ ｺﾄﾐ</t>
  </si>
  <si>
    <t>福吉　謙介</t>
  </si>
  <si>
    <t>ﾌｸﾖｼ ｹﾝｽｹ</t>
  </si>
  <si>
    <t>662-0021</t>
  </si>
  <si>
    <t>北村　拓也</t>
  </si>
  <si>
    <t>ｷﾀﾑﾗ ﾀｸﾔ</t>
  </si>
  <si>
    <t>651-2215</t>
  </si>
  <si>
    <t>藤原　昂飛</t>
  </si>
  <si>
    <t>ﾌｼﾞﾜﾗ ﾀｶﾄ</t>
  </si>
  <si>
    <t>669-2452</t>
  </si>
  <si>
    <t>森永　寛一朗</t>
  </si>
  <si>
    <t>ﾓﾘﾅｶﾞ ｶﾝｲﾁﾛｳ</t>
  </si>
  <si>
    <t>669-1547</t>
  </si>
  <si>
    <t>永山　空</t>
  </si>
  <si>
    <t>ﾅｶﾞﾔﾏ ｿﾗ</t>
  </si>
  <si>
    <t>松下　めく</t>
  </si>
  <si>
    <t>ﾏﾂｼﾀ ﾒｸ</t>
  </si>
  <si>
    <t>徳留　敦</t>
  </si>
  <si>
    <t>ﾄｸﾄﾒ ｱﾂｼ</t>
  </si>
  <si>
    <t>私立 高松中央</t>
  </si>
  <si>
    <t>堀内　海聖</t>
  </si>
  <si>
    <t>ﾎﾘｳﾁ ｶｲｾｲ</t>
  </si>
  <si>
    <t>761-8074</t>
  </si>
  <si>
    <t>藤川　侑也</t>
  </si>
  <si>
    <t>ﾌｼﾞｶﾜ ﾕｷﾔ</t>
  </si>
  <si>
    <t>653-0014</t>
  </si>
  <si>
    <t>喜多　咲衣</t>
  </si>
  <si>
    <t>ｷﾀ ｻｴ</t>
  </si>
  <si>
    <t>県立 武庫荘総合</t>
  </si>
  <si>
    <t>中井　葉蕗</t>
  </si>
  <si>
    <t>ﾅｶｲ ﾊﾛ</t>
  </si>
  <si>
    <t>661-0043</t>
  </si>
  <si>
    <t>県立 須磨友が丘</t>
  </si>
  <si>
    <t>谷井　誉</t>
  </si>
  <si>
    <t>ﾀﾆｲ ﾎﾏﾚ</t>
  </si>
  <si>
    <t>654-0143</t>
  </si>
  <si>
    <t>寺平　ランス優雅</t>
  </si>
  <si>
    <t>ﾃﾗﾋﾗ ﾗﾝｽﾕｳｶﾞ</t>
  </si>
  <si>
    <t>池田　倖輝</t>
  </si>
  <si>
    <t>ｲｹﾀﾞ ｺｳｷ</t>
  </si>
  <si>
    <t>県立 伊丹</t>
  </si>
  <si>
    <t>大前　優音</t>
  </si>
  <si>
    <t>ｵｵﾏｴ ﾕﾉﾝ</t>
  </si>
  <si>
    <t>662-0867</t>
  </si>
  <si>
    <t>廣澤　琉空</t>
  </si>
  <si>
    <t>ﾋﾛｻﾜ ﾙｸ</t>
  </si>
  <si>
    <t>654-0102</t>
  </si>
  <si>
    <t>矢野　佑羽</t>
  </si>
  <si>
    <t>ﾔﾉ ﾕｳﾊ</t>
  </si>
  <si>
    <t>福永　愛凰</t>
  </si>
  <si>
    <t>ﾌｸﾅｶﾞ ﾒﾉｳ</t>
  </si>
  <si>
    <t>651-2111</t>
  </si>
  <si>
    <t>久保田　裕介</t>
  </si>
  <si>
    <t>ｸﾎﾞﾀ ﾕｳｽｹ</t>
  </si>
  <si>
    <t>673-0037</t>
  </si>
  <si>
    <t>南　海希</t>
  </si>
  <si>
    <t>ﾐﾅﾐ ﾋﾛｷ</t>
  </si>
  <si>
    <t>654-0039</t>
  </si>
  <si>
    <t>深田　稜太</t>
  </si>
  <si>
    <t>ﾌｶﾀﾞ ﾘｮｳﾀ</t>
  </si>
  <si>
    <t>652-0872</t>
  </si>
  <si>
    <t>宮本　千南帆</t>
  </si>
  <si>
    <t>ﾐﾔﾓﾄ ﾁﾅﾎ</t>
  </si>
  <si>
    <t>川崎　琳都</t>
  </si>
  <si>
    <t>ｶﾜｻｷ ﾘﾂ</t>
  </si>
  <si>
    <t>673-0433</t>
  </si>
  <si>
    <t>加登　博翔</t>
  </si>
  <si>
    <t>ｶﾄｳ ﾊｸﾄ</t>
  </si>
  <si>
    <t>651-1202</t>
  </si>
  <si>
    <t>兵頭　翔空</t>
  </si>
  <si>
    <t>ﾋｮｳﾄﾞｳ ﾄｱ</t>
  </si>
  <si>
    <t>656-0514</t>
  </si>
  <si>
    <t>原　修一朗</t>
  </si>
  <si>
    <t>ﾊﾗ ｼｭｳｲﾁﾛｳ</t>
  </si>
  <si>
    <t>県立 安来</t>
  </si>
  <si>
    <t>澤田　涼</t>
  </si>
  <si>
    <t>ｻﾜﾀﾞ ｽｽﾞ</t>
  </si>
  <si>
    <t>692-0011</t>
  </si>
  <si>
    <t>私立 明徳義塾</t>
  </si>
  <si>
    <t>向井　大輝</t>
  </si>
  <si>
    <t>ﾑｶｲ ﾀｲｷ</t>
  </si>
  <si>
    <t>785-0195</t>
  </si>
  <si>
    <t>皆木　稟斗</t>
  </si>
  <si>
    <t>ﾐﾅｷﾞ ﾘﾝﾄ</t>
  </si>
  <si>
    <t>669-1337</t>
  </si>
  <si>
    <t>坂口　昂生</t>
  </si>
  <si>
    <t>ｻｶｸﾞﾁ ｺﾊﾙ</t>
  </si>
  <si>
    <t>653-0814</t>
  </si>
  <si>
    <t>スポーツ・公務員・警察・消防官</t>
  </si>
  <si>
    <t>永井　逸斗</t>
  </si>
  <si>
    <t>ﾅｶﾞｲ ﾊﾔﾄ</t>
  </si>
  <si>
    <t>655-0885</t>
  </si>
  <si>
    <t>堀谷　心愛</t>
  </si>
  <si>
    <t>ﾎﾘﾀﾆ ｺｺｱ</t>
  </si>
  <si>
    <t>675-0163</t>
  </si>
  <si>
    <t>齋藤　妃那</t>
  </si>
  <si>
    <t>ｻｲﾄｳ ﾋﾅ</t>
  </si>
  <si>
    <t>679-0211</t>
  </si>
  <si>
    <t>礒部　奏良</t>
  </si>
  <si>
    <t>ｲｿﾍﾞ ｿﾗ</t>
  </si>
  <si>
    <t>渡邉　希</t>
  </si>
  <si>
    <t>ﾜﾀﾅﾍﾞ ﾉｿﾞﾐ</t>
  </si>
  <si>
    <t>651-2146</t>
  </si>
  <si>
    <t>浅井　悠之介</t>
  </si>
  <si>
    <t>ｱｻｲ ﾕｳﾉｽｹ</t>
  </si>
  <si>
    <t>676-0008</t>
  </si>
  <si>
    <t>県立 伊丹北</t>
  </si>
  <si>
    <t>髙橋　映美</t>
  </si>
  <si>
    <t>ﾀｶﾊｼ ｴﾐ</t>
  </si>
  <si>
    <t>664-0899</t>
  </si>
  <si>
    <t>大島　康平</t>
  </si>
  <si>
    <t>ｵｵｼﾏ ｺｳﾍｲ</t>
  </si>
  <si>
    <t>651-1301</t>
  </si>
  <si>
    <t>柴崎　優斗</t>
  </si>
  <si>
    <t>ｼﾊﾞｻｷ ﾕｳﾄ</t>
  </si>
  <si>
    <t>私立 福知山成美</t>
  </si>
  <si>
    <t>永井　拓翔</t>
  </si>
  <si>
    <t>ﾅｶﾞｲ ﾀｸﾄ</t>
  </si>
  <si>
    <t>668-0321</t>
  </si>
  <si>
    <t>山口　竜弥</t>
  </si>
  <si>
    <t>ﾔﾏｸﾞﾁ ﾘｭｳﾔ</t>
  </si>
  <si>
    <t>652-0813</t>
  </si>
  <si>
    <t>漆嶋　康太</t>
  </si>
  <si>
    <t>ｳﾙｼﾏ ｺｳﾀ</t>
  </si>
  <si>
    <t>石原　魁人</t>
  </si>
  <si>
    <t>ｲｼﾊﾗ ｶｲﾄ</t>
  </si>
  <si>
    <t>651-2142</t>
  </si>
  <si>
    <t>矢田　日乃佳</t>
  </si>
  <si>
    <t>ﾔﾀﾞ ﾋﾉｶ</t>
  </si>
  <si>
    <t>655-0863</t>
  </si>
  <si>
    <t>山元　未依真</t>
  </si>
  <si>
    <t>ﾔﾏﾓﾄ ﾐｲﾏ</t>
  </si>
  <si>
    <t>655-0002</t>
  </si>
  <si>
    <t>県立 伊丹西</t>
  </si>
  <si>
    <t>中井　大勢</t>
  </si>
  <si>
    <t>ﾅｶｲ ｵｵｾ</t>
  </si>
  <si>
    <t>664-0004</t>
  </si>
  <si>
    <t>石原　芹夏</t>
  </si>
  <si>
    <t>ｲｼﾊﾗ ｾﾘﾅ</t>
  </si>
  <si>
    <t>医療ＩＴコース</t>
  </si>
  <si>
    <t>北山　栞</t>
  </si>
  <si>
    <t>ｷﾀﾔﾏ ｼｵﾘ</t>
  </si>
  <si>
    <t>三浦　みすず</t>
  </si>
  <si>
    <t>ﾐｳﾗ ﾐｽｽﾞ</t>
  </si>
  <si>
    <t>661-0033</t>
  </si>
  <si>
    <t>坂口　時羽</t>
  </si>
  <si>
    <t>ｻｶｸﾞﾁ ﾄｷﾜ</t>
  </si>
  <si>
    <t>山屋　娃瑠</t>
  </si>
  <si>
    <t>ﾔﾏﾔ ｱｲﾙ</t>
  </si>
  <si>
    <t>平松　志穏</t>
  </si>
  <si>
    <t>ﾋﾗﾏﾂ ｼｵﾝ</t>
  </si>
  <si>
    <t>654-0151</t>
  </si>
  <si>
    <t>大園　晃平</t>
  </si>
  <si>
    <t>ｵｵｿﾞﾉ ｺｳﾍｲ</t>
  </si>
  <si>
    <t>651-1321</t>
  </si>
  <si>
    <t>市立 摩耶兵庫（定時制）</t>
  </si>
  <si>
    <t>田中　美羽</t>
  </si>
  <si>
    <t>ﾀﾅｶ ﾐｳ</t>
  </si>
  <si>
    <t>私立 愛徳学園</t>
  </si>
  <si>
    <t>後藤　美侑</t>
  </si>
  <si>
    <t>ｺﾞﾄｳ ﾐﾕ</t>
  </si>
  <si>
    <t>651-2112</t>
  </si>
  <si>
    <t>浅井　康誠</t>
  </si>
  <si>
    <t>ｱｻｲ ｺｳｾｲ</t>
  </si>
  <si>
    <t>654-0162</t>
  </si>
  <si>
    <t>30:和歌山</t>
  </si>
  <si>
    <t>私立 和歌山信愛</t>
  </si>
  <si>
    <t>大網　咲弥花</t>
  </si>
  <si>
    <t>ｵｵｱﾐ ｻﾔｶ</t>
  </si>
  <si>
    <t>647-0006</t>
  </si>
  <si>
    <t>渡部　隼</t>
  </si>
  <si>
    <t>ﾜﾀﾅﾍﾞ ﾊﾔﾄ</t>
  </si>
  <si>
    <t>651-2216</t>
  </si>
  <si>
    <t>高比良　隼</t>
  </si>
  <si>
    <t>ﾀｶﾋﾗ ﾊﾔﾄ</t>
  </si>
  <si>
    <t>比嘉　愛夏</t>
  </si>
  <si>
    <t>ﾋｶ ﾏﾅｶ</t>
  </si>
  <si>
    <t>657-0833</t>
  </si>
  <si>
    <t>岡本　一磨</t>
  </si>
  <si>
    <t>ｵｶﾓﾄ ｶｽﾞﾏ</t>
  </si>
  <si>
    <t>柿ケ原　優</t>
  </si>
  <si>
    <t>ｶｷｶﾞﾊﾗ ﾕｳ</t>
  </si>
  <si>
    <t>689-1201</t>
  </si>
  <si>
    <t>田中　彩花</t>
  </si>
  <si>
    <t>ﾀﾅｶ ｲﾛﾊ</t>
  </si>
  <si>
    <t>671-2245</t>
  </si>
  <si>
    <t>塩見　蓮太朗</t>
  </si>
  <si>
    <t>ｼｵﾐ ﾚﾝﾀﾛｳ</t>
  </si>
  <si>
    <t>675-1334</t>
  </si>
  <si>
    <t>19:山梨</t>
  </si>
  <si>
    <t>私立 駿台甲府（通信制）</t>
  </si>
  <si>
    <t>岡本　凜音</t>
  </si>
  <si>
    <t>ｵｶﾓﾄ ﾘﾝﾄ</t>
  </si>
  <si>
    <t>中村　大雅</t>
  </si>
  <si>
    <t>ﾅｶﾑﾗ ﾀｲｶﾞ</t>
  </si>
  <si>
    <t>杉浦　悠斗</t>
  </si>
  <si>
    <t>ｽｷﾞｳﾗ ﾊﾙﾄ</t>
  </si>
  <si>
    <t>658-0084</t>
  </si>
  <si>
    <t>私立 京都共栄学園</t>
  </si>
  <si>
    <t>井上　暖乃</t>
  </si>
  <si>
    <t>ｲﾉｳｴ ﾉﾉ</t>
  </si>
  <si>
    <t>673-1431</t>
  </si>
  <si>
    <t>門野　隼斗</t>
  </si>
  <si>
    <t>ｶﾄﾞﾉ ﾊﾔﾄ</t>
  </si>
  <si>
    <t>676-0025</t>
  </si>
  <si>
    <t>森本　光輝</t>
  </si>
  <si>
    <t>ﾓﾘﾓﾄ ｺｳｷ</t>
  </si>
  <si>
    <t>県立 鳴尾</t>
  </si>
  <si>
    <t>工藤　綾音</t>
  </si>
  <si>
    <t>ｸﾄﾞｳ ｱﾔﾈ</t>
  </si>
  <si>
    <t>663-8143</t>
  </si>
  <si>
    <t>松岡　一真</t>
  </si>
  <si>
    <t>ﾏﾂｵｶ ｶｽﾞﾏ</t>
  </si>
  <si>
    <t>久保田　倭臣</t>
  </si>
  <si>
    <t>ｸﾎﾞﾀ ﾔﾏﾄ</t>
  </si>
  <si>
    <t>656-0516</t>
  </si>
  <si>
    <t>小濵　帆乃佳</t>
  </si>
  <si>
    <t>ｺﾊﾏ ﾎﾉｶ</t>
  </si>
  <si>
    <t>榮　姫らら</t>
  </si>
  <si>
    <t>ｻｶｴ ｷﾗﾗ</t>
  </si>
  <si>
    <t>654-0141</t>
  </si>
  <si>
    <t>県立 神戸鈴蘭台</t>
  </si>
  <si>
    <t>渋谷　優斗</t>
  </si>
  <si>
    <t>ｼﾌﾞﾔ ﾕｳﾄ</t>
  </si>
  <si>
    <t>古谷　晴輝</t>
  </si>
  <si>
    <t>ﾌﾙﾔ ﾊﾙｷ</t>
  </si>
  <si>
    <t>塚本　翔太</t>
  </si>
  <si>
    <t>ﾂｶﾓﾄ ｼｮｳﾀ</t>
  </si>
  <si>
    <t>651-0092</t>
  </si>
  <si>
    <t>安藝　広汰</t>
  </si>
  <si>
    <t>ｱｷ ｺｳﾀ</t>
  </si>
  <si>
    <t>青山　涼太朗</t>
  </si>
  <si>
    <t>ｱｵﾔﾏ ﾘｮｳﾀﾛｳ</t>
  </si>
  <si>
    <t>675-1113</t>
  </si>
  <si>
    <t>山内　琉以</t>
  </si>
  <si>
    <t>ﾔﾏｳﾁ ﾙｲ</t>
  </si>
  <si>
    <t>667-0101</t>
  </si>
  <si>
    <t>私立 飛鳥未来きずな高等学校神戸キャンパス</t>
  </si>
  <si>
    <t>武田　優斗</t>
  </si>
  <si>
    <t>ﾀｹﾀﾞ ﾏｻﾄ</t>
  </si>
  <si>
    <t>石井　心優</t>
  </si>
  <si>
    <t>ｲｼｲ ﾐﾕ</t>
  </si>
  <si>
    <t>651-1121</t>
  </si>
  <si>
    <t>菱田　琥太郎</t>
  </si>
  <si>
    <t>ﾋｼﾀﾞ ｺﾀﾛｳ</t>
  </si>
  <si>
    <t>655-0012</t>
  </si>
  <si>
    <t>北本　昊</t>
  </si>
  <si>
    <t>ｷﾀﾓﾄ ｿﾗ</t>
  </si>
  <si>
    <t>656-0543</t>
  </si>
  <si>
    <t>県立 津名</t>
  </si>
  <si>
    <t>金山　誠歩</t>
  </si>
  <si>
    <t>ｶﾅﾔﾏ ｾｲﾎ</t>
  </si>
  <si>
    <t>656-2131</t>
  </si>
  <si>
    <t>県立 西脇</t>
  </si>
  <si>
    <t>中野　憲心</t>
  </si>
  <si>
    <t>ﾅｶﾉ ｹﾝｼﾝ</t>
  </si>
  <si>
    <t>675-2242</t>
  </si>
  <si>
    <t>坂本　嗣歩</t>
  </si>
  <si>
    <t>ｻｶﾓﾄ ﾂｸﾞﾎ</t>
  </si>
  <si>
    <t>657-0832</t>
  </si>
  <si>
    <t>梅田　陸</t>
  </si>
  <si>
    <t>ｳﾒﾀﾞ ﾘｸ</t>
  </si>
  <si>
    <t>654-0054</t>
  </si>
  <si>
    <t>病院受付コース</t>
  </si>
  <si>
    <t>原　愛美</t>
  </si>
  <si>
    <t>ﾊﾗ ﾏﾅﾐ</t>
  </si>
  <si>
    <t>濵田　照瑛</t>
  </si>
  <si>
    <t>ﾊﾏﾀﾞ ｼｮｳｴｲ</t>
  </si>
  <si>
    <t>岸本　海月</t>
  </si>
  <si>
    <t>ｷｼﾓﾄ ﾐﾂﾞｷ</t>
  </si>
  <si>
    <t>武藤　快成</t>
  </si>
  <si>
    <t>ﾑﾄｳ ｶｲｾｲ</t>
  </si>
  <si>
    <t>田中　大智</t>
  </si>
  <si>
    <t>ﾀﾅｶ ﾀﾞｲﾁ</t>
  </si>
  <si>
    <t>651-1334</t>
  </si>
  <si>
    <t>井筒　輝宜</t>
  </si>
  <si>
    <t>ｲﾂﾞﾂ ﾃﾙﾖｼ</t>
  </si>
  <si>
    <t>656-2305</t>
  </si>
  <si>
    <t>県立 明石城西</t>
  </si>
  <si>
    <t>奥　秀海</t>
  </si>
  <si>
    <t>ｵｸ ｼｭｳﾏ</t>
  </si>
  <si>
    <t>私立 向陽台高等学校三田キャンパス</t>
  </si>
  <si>
    <t>伊藤　悠乃</t>
  </si>
  <si>
    <t>ｲﾄｳ ﾕｳﾀﾞｲ</t>
  </si>
  <si>
    <t>651-1306</t>
  </si>
  <si>
    <t>県立 佐用</t>
  </si>
  <si>
    <t>中西　美雄</t>
  </si>
  <si>
    <t>ﾅｶﾆｼ ﾖｼｵ</t>
  </si>
  <si>
    <t>679-5332</t>
  </si>
  <si>
    <t>立花　和貴</t>
  </si>
  <si>
    <t>ﾀﾁﾊﾞﾅ ｶｽﾞｷ</t>
  </si>
  <si>
    <t>671-2505</t>
  </si>
  <si>
    <t>私立 東大阪大学柏原</t>
  </si>
  <si>
    <t>山脊　晴斗</t>
  </si>
  <si>
    <t>ﾔﾏｾ ﾊﾙﾄ</t>
  </si>
  <si>
    <t>県立 須磨東</t>
  </si>
  <si>
    <t>善光　菜央</t>
  </si>
  <si>
    <t>ｾﾞﾝｺｳ ﾅｵ</t>
  </si>
  <si>
    <t>651-2102</t>
  </si>
  <si>
    <t>私立 松山聖陵</t>
  </si>
  <si>
    <t>岡田　楓汰</t>
  </si>
  <si>
    <t>ｵｶﾀﾞ ﾌｳﾀ</t>
  </si>
  <si>
    <t>洗川　翔英</t>
  </si>
  <si>
    <t>ｱﾗｲｶﾜ ｼｮｳｴｲ</t>
  </si>
  <si>
    <t>角田　樹生</t>
  </si>
  <si>
    <t>ｽﾐﾀ ｲﾂｷ</t>
  </si>
  <si>
    <t>私立 神戸野田</t>
  </si>
  <si>
    <t>堀井　亜依</t>
  </si>
  <si>
    <t>ﾎﾘｲ ｱｲ</t>
  </si>
  <si>
    <t>村上　夏帆</t>
  </si>
  <si>
    <t>ﾑﾗｶﾐ ﾅﾂﾎ</t>
  </si>
  <si>
    <t>654-0023</t>
  </si>
  <si>
    <t>県立 明石北</t>
  </si>
  <si>
    <t>松本　心々望</t>
  </si>
  <si>
    <t>ﾏﾂﾓﾄ ｺｺﾐ</t>
  </si>
  <si>
    <t>651-2137</t>
  </si>
  <si>
    <t>板東　愛海</t>
  </si>
  <si>
    <t>ﾊﾞﾝﾄﾞｳ ﾏﾅﾐ</t>
  </si>
  <si>
    <t>655-0046</t>
  </si>
  <si>
    <t>井上　周聖</t>
  </si>
  <si>
    <t>ｲﾉｳｴ ｼｭｳﾏ</t>
  </si>
  <si>
    <t>652-0895</t>
  </si>
  <si>
    <t>進藤　斗真</t>
  </si>
  <si>
    <t>ｼﾝﾄﾞｳ ﾄｳﾏ</t>
  </si>
  <si>
    <t>656-0331</t>
  </si>
  <si>
    <t>里深　令那</t>
  </si>
  <si>
    <t>ｻﾄﾌｶ ﾚｲﾅ</t>
  </si>
  <si>
    <t>656-0422</t>
  </si>
  <si>
    <t>私立 相生学院　明石校（通信制）</t>
  </si>
  <si>
    <t>池内　元一</t>
  </si>
  <si>
    <t>ｲｹｳﾁ ﾊｼﾞﾒ</t>
  </si>
  <si>
    <t>小田　涼介</t>
  </si>
  <si>
    <t>ｵﾀﾞ ﾘｮｳｽｹ</t>
  </si>
  <si>
    <t>674-0074</t>
  </si>
  <si>
    <t>増田　悠羽</t>
  </si>
  <si>
    <t>ﾏｽﾀﾞ ﾕｳﾊ</t>
  </si>
  <si>
    <t>横田　翔</t>
  </si>
  <si>
    <t>ﾖｺﾀ ｶｹﾙ</t>
  </si>
  <si>
    <t>押部　煌</t>
  </si>
  <si>
    <t>ｵｼﾍﾞ ﾋｶﾙ</t>
  </si>
  <si>
    <t>山廣　瑳亮</t>
  </si>
  <si>
    <t>ﾔﾏﾋﾛ ｻｽｹ</t>
  </si>
  <si>
    <t>651-1331</t>
  </si>
  <si>
    <t>私立 神戸学院大学附属</t>
  </si>
  <si>
    <t>浦　良太</t>
  </si>
  <si>
    <t>ｳﾗ ﾘｮｳﾀ</t>
  </si>
  <si>
    <t>福井　拓実</t>
  </si>
  <si>
    <t>ﾌｸｲ ﾀｸﾐ</t>
  </si>
  <si>
    <t>651-2275</t>
  </si>
  <si>
    <t>私立 夙川</t>
  </si>
  <si>
    <t>間井谷　誠人</t>
  </si>
  <si>
    <t>ﾏｲﾀﾆ ﾏｺﾄ</t>
  </si>
  <si>
    <t>瀧原　蓮</t>
  </si>
  <si>
    <t>ﾀｷﾊﾗ ﾚﾝ</t>
  </si>
  <si>
    <t>私立 N高等学校　神戸キャンパス</t>
  </si>
  <si>
    <t>樋口　碧</t>
  </si>
  <si>
    <t>ﾋｸﾞﾁ ｱｵｲ</t>
  </si>
  <si>
    <t>655-0035</t>
  </si>
  <si>
    <t>櫻井　零</t>
  </si>
  <si>
    <t>ｻｸﾗｲ ﾚｲ</t>
  </si>
  <si>
    <t>669-1324</t>
  </si>
  <si>
    <t>西畑　翔喜</t>
  </si>
  <si>
    <t>ﾆｼﾊﾀ ｼｮｳｷ</t>
  </si>
  <si>
    <t>大源　大晴</t>
  </si>
  <si>
    <t>ﾀﾞｲｹﾞﾝ ﾀｲｾｲ</t>
  </si>
  <si>
    <t>瀧川　桃華</t>
  </si>
  <si>
    <t>ﾀｷｶﾞﾜ ﾓﾓｶ</t>
  </si>
  <si>
    <t>651-1212</t>
  </si>
  <si>
    <t>県立 日高</t>
  </si>
  <si>
    <t>山口　真奈</t>
  </si>
  <si>
    <t>ﾔﾏｸﾞﾁ ﾏﾅ</t>
  </si>
  <si>
    <t>669-5305</t>
  </si>
  <si>
    <t>山崎　健斗</t>
  </si>
  <si>
    <t>ﾔﾏｻｷ ｹﾝﾄ</t>
  </si>
  <si>
    <t>673-0511</t>
  </si>
  <si>
    <t>稲継　友菜</t>
  </si>
  <si>
    <t>ｲﾅﾂｷﾞ ﾕｳﾅ</t>
  </si>
  <si>
    <t>私立 日本ウェルネス（通信制）</t>
  </si>
  <si>
    <t>宮平　佳奈</t>
  </si>
  <si>
    <t>ﾐﾔﾋﾗ ｶﾅ</t>
  </si>
  <si>
    <t>904-1103</t>
  </si>
  <si>
    <t>沖縄県</t>
  </si>
  <si>
    <t>18:福井</t>
  </si>
  <si>
    <t>県立 若狭東</t>
  </si>
  <si>
    <t>高田　栄</t>
  </si>
  <si>
    <t>ﾀｶﾀﾞ ｻｴ</t>
  </si>
  <si>
    <t>917-0041</t>
  </si>
  <si>
    <t>福井県</t>
  </si>
  <si>
    <t>市立 楠</t>
  </si>
  <si>
    <t>富山　未来</t>
  </si>
  <si>
    <t>ﾄﾐﾔﾏ ﾐﾗｲ</t>
  </si>
  <si>
    <t>五反田　昌希</t>
  </si>
  <si>
    <t>ｺﾞﾀﾝﾀﾞ ﾏｻｷ</t>
  </si>
  <si>
    <t>髙取　正吾</t>
  </si>
  <si>
    <t>ﾀｶﾄﾘ ｼｮｳｺﾞ</t>
  </si>
  <si>
    <t>小林　空雅</t>
  </si>
  <si>
    <t>ｺﾊﾞﾔｼ ｸｳｶﾞ</t>
  </si>
  <si>
    <t>下村　飛勇雅</t>
  </si>
  <si>
    <t>ｼﾓﾑﾗ ﾋｭｳｶﾞ</t>
  </si>
  <si>
    <t>德中　直生</t>
  </si>
  <si>
    <t>ﾄｸﾅｶ ﾅｵｷ</t>
  </si>
  <si>
    <t>680-0005</t>
  </si>
  <si>
    <t>私立 日ノ本学園</t>
  </si>
  <si>
    <t>濱　ジェレミマヌルン</t>
  </si>
  <si>
    <t>ﾊﾏ ｼﾞｪﾚﾐﾏﾇﾙﾝ</t>
  </si>
  <si>
    <t>橋尾　柊斗</t>
  </si>
  <si>
    <t>ﾊｼｵ ｼｭｳﾄ</t>
  </si>
  <si>
    <t>岡田　玲奈</t>
  </si>
  <si>
    <t>ｵｶﾀﾞ ﾚｲﾅ</t>
  </si>
  <si>
    <t>三輪　あおい</t>
  </si>
  <si>
    <t>ﾐﾜ ｱｵｲ</t>
  </si>
  <si>
    <t>676-0013</t>
  </si>
  <si>
    <t>山下　蓮太郎</t>
  </si>
  <si>
    <t>ﾔﾏｼﾀ ﾚﾝﾀﾛｳ</t>
  </si>
  <si>
    <t>岡本　志也</t>
  </si>
  <si>
    <t>ｵｶﾓﾄ ﾕｷﾔ</t>
  </si>
  <si>
    <t>679-5301</t>
  </si>
  <si>
    <t>矢野　一雄</t>
  </si>
  <si>
    <t>ﾔﾉ ｲｵ</t>
  </si>
  <si>
    <t>岡田　彩音</t>
  </si>
  <si>
    <t>ｵｶﾀﾞ ｱﾔﾈ</t>
  </si>
  <si>
    <t>670-0073</t>
  </si>
  <si>
    <t>芝　美咲</t>
  </si>
  <si>
    <t>ｼﾊﾞ ﾐｻｷ</t>
  </si>
  <si>
    <t>675-2223</t>
  </si>
  <si>
    <t>小野　琥太郎</t>
  </si>
  <si>
    <t>ｵﾉ ｺﾀﾛｳ</t>
  </si>
  <si>
    <t>中村　嘉輝</t>
  </si>
  <si>
    <t>ﾅｶﾑﾗ ﾖｼｷ</t>
  </si>
  <si>
    <t>670-0992</t>
  </si>
  <si>
    <t>爲延　魁仁</t>
  </si>
  <si>
    <t>ﾀﾒﾉﾌﾞ ｶｲﾄ</t>
  </si>
  <si>
    <t>田中　涼生</t>
  </si>
  <si>
    <t>ﾀﾅｶ ﾘｮｳｾｲ</t>
  </si>
  <si>
    <t>私立 S高等学校　茨城つくば本校（通信制）</t>
  </si>
  <si>
    <t>森　一真</t>
  </si>
  <si>
    <t>ﾓﾘ ｶｽﾞﾏ</t>
  </si>
  <si>
    <t>675-0115</t>
  </si>
  <si>
    <t>池淵　悠真</t>
  </si>
  <si>
    <t>ｲｹﾌﾞﾁ ﾕｳﾏ</t>
  </si>
  <si>
    <t>671-1221</t>
  </si>
  <si>
    <t>廣瀬　友斗</t>
  </si>
  <si>
    <t>ﾋﾛｾ ﾕｳﾄ</t>
  </si>
  <si>
    <t>679-0301</t>
  </si>
  <si>
    <t>松崎　玲音</t>
  </si>
  <si>
    <t>ﾏﾂｻﾞｷ ﾚｵﾝ</t>
  </si>
  <si>
    <t>669-5302</t>
  </si>
  <si>
    <t>県立 氷上</t>
  </si>
  <si>
    <t>細見　佑貴</t>
  </si>
  <si>
    <t>ﾎｿﾐ ﾕｳｷ</t>
  </si>
  <si>
    <t>669-4273</t>
  </si>
  <si>
    <t>藤本　裕也</t>
  </si>
  <si>
    <t>ﾌｼﾞﾓﾄ ﾕｳﾔ</t>
  </si>
  <si>
    <t>679-2321</t>
  </si>
  <si>
    <t>私立 平田調理専門学校　高等課程</t>
  </si>
  <si>
    <t>田路　幸生</t>
  </si>
  <si>
    <t>ﾀｼﾞ ｺｳｾｲ</t>
  </si>
  <si>
    <t>671-2242</t>
  </si>
  <si>
    <t>籏谷　光</t>
  </si>
  <si>
    <t>ﾊﾀﾔ ﾋｶﾙ</t>
  </si>
  <si>
    <t>668-0235</t>
  </si>
  <si>
    <t>島田　治</t>
  </si>
  <si>
    <t>ｼﾏﾀﾞ ｵｻﾑ</t>
  </si>
  <si>
    <t>669-6544</t>
  </si>
  <si>
    <t>山下　倖毅</t>
  </si>
  <si>
    <t>ﾔﾏｼﾀ ｺｳｷ</t>
  </si>
  <si>
    <t>679-5305</t>
  </si>
  <si>
    <t>買田　陸人</t>
  </si>
  <si>
    <t>ｶｲﾀﾞ ﾘｸﾄ</t>
  </si>
  <si>
    <t>675-0122</t>
  </si>
  <si>
    <t>和泉　一葵</t>
  </si>
  <si>
    <t>ｲｽﾞﾐ ｶｽﾞｷ</t>
  </si>
  <si>
    <t>670-0843</t>
  </si>
  <si>
    <t>大森　成貴</t>
  </si>
  <si>
    <t>ｵｵﾓﾘ ﾅﾙｷ</t>
  </si>
  <si>
    <t>669-6814</t>
  </si>
  <si>
    <t>長谷川　裕汰</t>
  </si>
  <si>
    <t>ﾊｾｶﾞﾜ ﾕｳﾀ</t>
  </si>
  <si>
    <t>677-0054</t>
  </si>
  <si>
    <t>門口　夢斗</t>
  </si>
  <si>
    <t>ﾓﾝｸﾞﾁ ﾕﾒﾄ</t>
  </si>
  <si>
    <t>671-1502</t>
  </si>
  <si>
    <t>田中　雅隼</t>
  </si>
  <si>
    <t>ﾀﾅｶ ﾏｻﾄ</t>
  </si>
  <si>
    <t>675-1201</t>
  </si>
  <si>
    <t>吉田　陽太</t>
  </si>
  <si>
    <t>ﾖｼﾀﾞ ﾊﾙﾀ</t>
  </si>
  <si>
    <t>安原　拓望</t>
  </si>
  <si>
    <t>ﾔｽﾊﾗ ﾀｸﾐ</t>
  </si>
  <si>
    <t>678-0162</t>
  </si>
  <si>
    <t>私立 滋慶学園（通信制）</t>
  </si>
  <si>
    <t>竹内　睦堵</t>
  </si>
  <si>
    <t>ﾀｹｳﾁ ﾘｸﾄ</t>
  </si>
  <si>
    <t>671-1107</t>
  </si>
  <si>
    <t>金澤　悠星</t>
  </si>
  <si>
    <t>ｶﾅｻﾞﾜ ﾕｳｾｲ</t>
  </si>
  <si>
    <t>656-0046</t>
  </si>
  <si>
    <t>吉永　春綺</t>
  </si>
  <si>
    <t>ﾖｼﾅｶﾞ ﾊﾙｷ</t>
  </si>
  <si>
    <t>県立 青雲（通信制）</t>
  </si>
  <si>
    <t>島　侑希</t>
  </si>
  <si>
    <t>ｼﾏ ﾕｳｷ</t>
  </si>
  <si>
    <t>675-1372</t>
  </si>
  <si>
    <t>金澤　悠希</t>
  </si>
  <si>
    <t>ｶﾅｻﾞﾜ ﾕｳｷ</t>
  </si>
  <si>
    <t>670-0033</t>
  </si>
  <si>
    <t>松浦　翼</t>
  </si>
  <si>
    <t>ﾏﾂｳﾗ ﾂﾊﾞｻ</t>
  </si>
  <si>
    <t>南　旺樹</t>
  </si>
  <si>
    <t>ﾐﾅﾐ ｵｳｷ</t>
  </si>
  <si>
    <t>671-2502</t>
  </si>
  <si>
    <t>川崎　なな花</t>
  </si>
  <si>
    <t>ｶﾜｻｷ ﾅﾅｶ</t>
  </si>
  <si>
    <t>668-0064</t>
  </si>
  <si>
    <t>横田　勝陽</t>
  </si>
  <si>
    <t>ﾖｺﾀ ｶﾂﾋﾛ</t>
  </si>
  <si>
    <t>小原　ののか</t>
  </si>
  <si>
    <t>ｵﾊﾗ ﾉﾉｶ</t>
  </si>
  <si>
    <t>私立 須磨学園</t>
  </si>
  <si>
    <t>中下　陽翔</t>
  </si>
  <si>
    <t>ﾅｶｼﾓ ﾊﾙﾄ</t>
  </si>
  <si>
    <t>柴田　煌誠</t>
  </si>
  <si>
    <t>ｼﾊﾞﾀ ｺｳｾｲ</t>
  </si>
  <si>
    <t>後藤　大翔</t>
  </si>
  <si>
    <t>ｺﾞﾄｳ ﾊﾙﾄ</t>
  </si>
  <si>
    <t>山本　俊輔</t>
  </si>
  <si>
    <t>ﾔﾏﾓﾄ ｼｭﾝｽｹ</t>
  </si>
  <si>
    <t>676-0072</t>
  </si>
  <si>
    <t>29:奈良</t>
  </si>
  <si>
    <t>県立 国際</t>
  </si>
  <si>
    <t>大村　祐華</t>
  </si>
  <si>
    <t>ｵｵﾑﾗ ﾕｳｶ</t>
  </si>
  <si>
    <t>630-8137</t>
  </si>
  <si>
    <t>奈良県</t>
  </si>
  <si>
    <t>辻井　優成</t>
  </si>
  <si>
    <t>ﾂｼﾞｲ ﾕｳｾｲ</t>
  </si>
  <si>
    <t>670-0053</t>
  </si>
  <si>
    <t>有方　千尋</t>
  </si>
  <si>
    <t>ｱﾘｶﾀ ﾁﾋﾛ</t>
  </si>
  <si>
    <t>吉田　陸人</t>
  </si>
  <si>
    <t>ﾖｼﾀﾞ ﾘｸﾄ</t>
  </si>
  <si>
    <t>672-8001</t>
  </si>
  <si>
    <t>棚田　凜香</t>
  </si>
  <si>
    <t>ﾀﾅﾀﾞ ﾘﾝｶ</t>
  </si>
  <si>
    <t>672-8070</t>
  </si>
  <si>
    <t>大庭　菫</t>
  </si>
  <si>
    <t>ｵｵﾊﾞ ｽﾐﾚ</t>
  </si>
  <si>
    <t>675-0015</t>
  </si>
  <si>
    <t>笹倉　彩花</t>
  </si>
  <si>
    <t>ｻｻｸﾗ ｱﾔｶ</t>
  </si>
  <si>
    <t>677-0014</t>
  </si>
  <si>
    <t>大村　光里</t>
  </si>
  <si>
    <t>ｵｵﾑﾗ ﾋｶﾘ</t>
  </si>
  <si>
    <t>671-1227</t>
  </si>
  <si>
    <t>山本　祐菜</t>
  </si>
  <si>
    <t>ﾔﾏﾓﾄ ﾕﾅ</t>
  </si>
  <si>
    <t>671-1241</t>
  </si>
  <si>
    <t>小橋　奈々</t>
  </si>
  <si>
    <t>ｺﾊﾞｼ ﾅﾅ</t>
  </si>
  <si>
    <t>２年制こども保育士コース</t>
  </si>
  <si>
    <t>藤本　夢叶</t>
  </si>
  <si>
    <t>ﾌｼﾞﾓﾄ ﾕｲｶ</t>
  </si>
  <si>
    <t>672-8043</t>
  </si>
  <si>
    <t>金澤　大貴</t>
  </si>
  <si>
    <t>ｶﾅｻﾞﾜ ﾀﾞｲｷ</t>
  </si>
  <si>
    <t>672-8031</t>
  </si>
  <si>
    <t>県立 農業（定時制）</t>
  </si>
  <si>
    <t>チュクエメカ　チェタンナ</t>
  </si>
  <si>
    <t>ﾁｭｸｴﾒｶ ﾁｪﾀﾝﾅ</t>
  </si>
  <si>
    <t>675-0022</t>
  </si>
  <si>
    <t>友藤　ちはる</t>
  </si>
  <si>
    <t>ﾄﾓﾌｼﾞ ﾁﾊﾙ</t>
  </si>
  <si>
    <t>藤本　耀也</t>
  </si>
  <si>
    <t>ﾌｼﾞﾓﾄ ﾃﾙﾔ</t>
  </si>
  <si>
    <t>高瀬　歩羽</t>
  </si>
  <si>
    <t>ﾀｶｾ ﾌｳ</t>
  </si>
  <si>
    <t>677-0015</t>
  </si>
  <si>
    <t>船引　晴花</t>
  </si>
  <si>
    <t>ﾌﾅﾋﾞｷ ﾊﾙｶ</t>
  </si>
  <si>
    <t>671-1131</t>
  </si>
  <si>
    <t>橘　夏音</t>
  </si>
  <si>
    <t>ﾀﾁﾊﾞﾅ ｶﾉﾝ</t>
  </si>
  <si>
    <t>672-8004</t>
  </si>
  <si>
    <t>私立 天理（定時制）</t>
  </si>
  <si>
    <t>西川　聡真</t>
  </si>
  <si>
    <t>ﾆｼｶﾜ ｿｳﾏ</t>
  </si>
  <si>
    <t>632-0012</t>
  </si>
  <si>
    <t>三野　妃菜実</t>
  </si>
  <si>
    <t>ﾐﾉ ﾋﾅﾐ</t>
  </si>
  <si>
    <t>675-0062</t>
  </si>
  <si>
    <t>西原　勇輝</t>
  </si>
  <si>
    <t>ﾆｼﾊﾗ ﾕｳｷ</t>
  </si>
  <si>
    <t>676-0005</t>
  </si>
  <si>
    <t>川崎　伶士</t>
  </si>
  <si>
    <t>ｶﾜｻｷ ﾚｲｼﾞ</t>
  </si>
  <si>
    <t>岸　美咲</t>
  </si>
  <si>
    <t>ｷｼ ﾐｻｷ</t>
  </si>
  <si>
    <t>671-1116</t>
  </si>
  <si>
    <t>米村　侑己那</t>
  </si>
  <si>
    <t>ﾖﾈﾑﾗ ﾕｷﾅ</t>
  </si>
  <si>
    <t>670-0943</t>
  </si>
  <si>
    <t>五百藏　翔陽</t>
  </si>
  <si>
    <t>ｲｵﾛｲ ｼｮｳﾔ</t>
  </si>
  <si>
    <t>横山　ヴィトル</t>
  </si>
  <si>
    <t>ﾖｺﾔﾏ ｳﾞｨﾄﾙ</t>
  </si>
  <si>
    <t>675-0016</t>
  </si>
  <si>
    <t>ドクターズクラークコース</t>
  </si>
  <si>
    <t>井村　愛望</t>
  </si>
  <si>
    <t>ｲﾑﾗ ﾏﾅﾐ</t>
  </si>
  <si>
    <t>671-1141</t>
  </si>
  <si>
    <t>三木　萌果</t>
  </si>
  <si>
    <t>ﾐｷ ﾓｴｶ</t>
  </si>
  <si>
    <t>山田　愛莉</t>
  </si>
  <si>
    <t>ﾔﾏﾀﾞ ｱｲﾘ</t>
  </si>
  <si>
    <t>678-0242</t>
  </si>
  <si>
    <t>小谷　なぎさ</t>
  </si>
  <si>
    <t>ｺﾀﾆ ﾅｷﾞｻ</t>
  </si>
  <si>
    <t>679-0322</t>
  </si>
  <si>
    <t>県立 飾磨工業</t>
  </si>
  <si>
    <t>田口　瑛臣</t>
  </si>
  <si>
    <t>ﾀｸﾞﾁ ｱｷｵﾐ</t>
  </si>
  <si>
    <t>671-0111</t>
  </si>
  <si>
    <t>中野　愛琉</t>
  </si>
  <si>
    <t>ﾅｶﾉ ｲﾙ</t>
  </si>
  <si>
    <t>673-0876</t>
  </si>
  <si>
    <t>光武　孝太郎</t>
  </si>
  <si>
    <t>ﾐﾂﾀｹ ｺｳﾀﾛｳ</t>
  </si>
  <si>
    <t>671-1223</t>
  </si>
  <si>
    <t>瀧本　健介</t>
  </si>
  <si>
    <t>ﾀｷﾓﾄ ｹﾝｽｹ</t>
  </si>
  <si>
    <t>671-3202</t>
  </si>
  <si>
    <t>中川　翼</t>
  </si>
  <si>
    <t>ﾅｶｶﾞﾜ ﾂﾊﾞｻ</t>
  </si>
  <si>
    <t>八木　麻衣子</t>
  </si>
  <si>
    <t>ﾔｷﾞ ﾏｲｺ</t>
  </si>
  <si>
    <t>井龍　聖奈</t>
  </si>
  <si>
    <t>ｲﾘｭｳ ｾﾅ</t>
  </si>
  <si>
    <t>小南　妃夕夏</t>
  </si>
  <si>
    <t>ｺﾐﾅﾐ ﾋｭｳﾅ</t>
  </si>
  <si>
    <t>県立 備前緑陽</t>
  </si>
  <si>
    <t>神﨑　慶積</t>
  </si>
  <si>
    <t>ｶﾝｻﾞｷ ﾖｼﾂﾞﾐ</t>
  </si>
  <si>
    <t>703-8215</t>
  </si>
  <si>
    <t>県立 川之江</t>
  </si>
  <si>
    <t>石川　虎誠</t>
  </si>
  <si>
    <t>ｲｼｶﾜ ｺｳｾｲ</t>
  </si>
  <si>
    <t>799-0111</t>
  </si>
  <si>
    <t>私立 岡山龍谷</t>
  </si>
  <si>
    <t>杉野原　梨沙</t>
  </si>
  <si>
    <t>ｽｷﾞﾉﾊﾗ ﾘｻ</t>
  </si>
  <si>
    <t>720-0082</t>
  </si>
  <si>
    <t>広島県</t>
  </si>
  <si>
    <t>海野　陽太</t>
  </si>
  <si>
    <t>ｳﾝﾉ ﾊﾙﾄ</t>
  </si>
  <si>
    <t>675-0025</t>
  </si>
  <si>
    <t>寺本　昇矢</t>
  </si>
  <si>
    <t>ﾃﾗﾓﾄ ｼｮｳﾔ</t>
  </si>
  <si>
    <t>675-0013</t>
  </si>
  <si>
    <t>私立 倉敷</t>
  </si>
  <si>
    <t>川嶋　詠登</t>
  </si>
  <si>
    <t>ｶﾜｼﾏ ｴｲﾄ</t>
  </si>
  <si>
    <t>710-0052</t>
  </si>
  <si>
    <t>中村　洸太</t>
  </si>
  <si>
    <t>ﾅｶﾑﾗ ｺｳﾀ</t>
  </si>
  <si>
    <t>671-1341</t>
  </si>
  <si>
    <t>井上　遥香</t>
  </si>
  <si>
    <t>ｲﾉｳｴ ﾊﾙｶ</t>
  </si>
  <si>
    <t>岡本　陸来</t>
  </si>
  <si>
    <t>ｵｶﾓﾄ ﾘｸ</t>
  </si>
  <si>
    <t>前田　慧汰</t>
  </si>
  <si>
    <t>ﾏｴﾀﾞ ｹｲﾀ</t>
  </si>
  <si>
    <t>670-0813</t>
  </si>
  <si>
    <t>有末　一輝</t>
  </si>
  <si>
    <t>ｱﾘｽｴ ｲﾂｷ</t>
  </si>
  <si>
    <t>670-0064</t>
  </si>
  <si>
    <t>石原　誇虎</t>
  </si>
  <si>
    <t>ｲｼﾊﾗ ｺﾄﾗ</t>
  </si>
  <si>
    <t>井上　優奈</t>
  </si>
  <si>
    <t>ｲﾉｳｴ ﾕﾅ</t>
  </si>
  <si>
    <t>680-0909</t>
  </si>
  <si>
    <t>八木　緋菜</t>
  </si>
  <si>
    <t>ﾔｷﾞ ﾋﾅ</t>
  </si>
  <si>
    <t>寺岡　花純</t>
  </si>
  <si>
    <t>ﾃﾗｵｶ ｶｽﾐ</t>
  </si>
  <si>
    <t>上原　優菜</t>
  </si>
  <si>
    <t>ｳｴﾊﾗ ﾕｳﾅ</t>
  </si>
  <si>
    <t>圓増　紀香</t>
  </si>
  <si>
    <t>ｴﾝｿｳ ﾉﾘｶ</t>
  </si>
  <si>
    <t>置村　さくら</t>
  </si>
  <si>
    <t>ｵｷﾑﾗ ｻｸﾗ</t>
  </si>
  <si>
    <t>671-1543</t>
  </si>
  <si>
    <t>浅尾　美玖</t>
  </si>
  <si>
    <t>ｱｻｵ ﾐｸ</t>
  </si>
  <si>
    <t>名倉　悠大</t>
  </si>
  <si>
    <t>ﾅｸﾞﾗ ﾕｳﾀﾞｲ</t>
  </si>
  <si>
    <t>671-2213</t>
  </si>
  <si>
    <t>竹中　奏音</t>
  </si>
  <si>
    <t>ﾀｹﾅｶ ｶﾉﾝ</t>
  </si>
  <si>
    <t>西村　陸玖</t>
  </si>
  <si>
    <t>ﾆｼﾑﾗ ﾘｸ</t>
  </si>
  <si>
    <t>675-0031</t>
  </si>
  <si>
    <t>大塩　一晟</t>
  </si>
  <si>
    <t>ｵｵｼｵ ｲｯｾｲ</t>
  </si>
  <si>
    <t>670-0965</t>
  </si>
  <si>
    <t>石田　さくら</t>
  </si>
  <si>
    <t>ｲｼﾀﾞ ｻｸﾗ</t>
  </si>
  <si>
    <t>久次米　桃花</t>
  </si>
  <si>
    <t>ｸｼﾞﾒ ﾓﾓｶ</t>
  </si>
  <si>
    <t>塚本　琉以</t>
  </si>
  <si>
    <t>ﾂｶﾓﾄ ﾙｲ</t>
  </si>
  <si>
    <t>671-2517</t>
  </si>
  <si>
    <t>小国　奏</t>
  </si>
  <si>
    <t>ｵｸﾞﾆ ｶﾅﾃﾞ</t>
  </si>
  <si>
    <t>679-4016</t>
  </si>
  <si>
    <t>倉住　悠斗</t>
  </si>
  <si>
    <t>ｸﾗｽﾞﾐ ﾕｳﾄ</t>
  </si>
  <si>
    <t>千本　健翔</t>
  </si>
  <si>
    <t>ﾁﾓﾄ ｹﾝｼｮｳ</t>
  </si>
  <si>
    <t>671-2542</t>
  </si>
  <si>
    <t>県立 伊和</t>
  </si>
  <si>
    <t>飯田　夏実</t>
  </si>
  <si>
    <t>ｲｲﾀﾞ ﾅﾂﾐ</t>
  </si>
  <si>
    <t>671-4122</t>
  </si>
  <si>
    <t>大谷　謙心</t>
  </si>
  <si>
    <t>ｵｵﾀﾆ ｹﾝｼﾝ</t>
  </si>
  <si>
    <t>672-8082</t>
  </si>
  <si>
    <t>石田　叶禄</t>
  </si>
  <si>
    <t>ｲｼﾀﾞ ｶﾛｸ</t>
  </si>
  <si>
    <t>671-2244</t>
  </si>
  <si>
    <t>岡本　康生</t>
  </si>
  <si>
    <t>ｵｶﾓﾄ ｺｳｾｲ</t>
  </si>
  <si>
    <t>県立 岡山南</t>
  </si>
  <si>
    <t>中川　弥音</t>
  </si>
  <si>
    <t>ﾅｶｶﾞﾜ ﾐｵﾄ</t>
  </si>
  <si>
    <t>700-0831</t>
  </si>
  <si>
    <t>伊藤　瑛那</t>
  </si>
  <si>
    <t>ｲﾄｳ ｱｷﾅ</t>
  </si>
  <si>
    <t>671-4105</t>
  </si>
  <si>
    <t>浅見　航輝</t>
  </si>
  <si>
    <t>ｱｻﾐ ｺｳｷ</t>
  </si>
  <si>
    <t>671-0101</t>
  </si>
  <si>
    <t>田淵　雄希</t>
  </si>
  <si>
    <t>ﾀﾌﾞﾁ ﾕｳｷ</t>
  </si>
  <si>
    <t>宮﨑　夏帆</t>
  </si>
  <si>
    <t>ﾐﾔｻﾞｷ ｶﾎ</t>
  </si>
  <si>
    <t>679-2414</t>
  </si>
  <si>
    <t>福本　匠真</t>
  </si>
  <si>
    <t>ﾌｸﾓﾄ ﾀｸﾏ</t>
  </si>
  <si>
    <t>672-8083</t>
  </si>
  <si>
    <t>萬谷　陸</t>
  </si>
  <si>
    <t>ﾏﾝﾀﾆ ﾘｸ</t>
  </si>
  <si>
    <t>向島　達也</t>
  </si>
  <si>
    <t>ﾑｺｳｼﾞﾏ ﾀﾂﾔ</t>
  </si>
  <si>
    <t>670-0996</t>
  </si>
  <si>
    <t>地神　和</t>
  </si>
  <si>
    <t>ﾁｶﾞﾐ ﾉﾄﾞｶ</t>
  </si>
  <si>
    <t>池田　梨生</t>
  </si>
  <si>
    <t>ｲｹﾀﾞ ﾘｵ</t>
  </si>
  <si>
    <t>県立 瀬戸南</t>
  </si>
  <si>
    <t>田淵　咲妃</t>
  </si>
  <si>
    <t>ﾀﾌﾞﾁ ｻｷ</t>
  </si>
  <si>
    <t>709-0721</t>
  </si>
  <si>
    <t>杉岡　凰太</t>
  </si>
  <si>
    <t>ｽｷﾞｵｶ ｺｳﾀ</t>
  </si>
  <si>
    <t>719-0302</t>
  </si>
  <si>
    <t>山本　翔太郎</t>
  </si>
  <si>
    <t>ﾔﾏﾓﾄ ｼｮｳﾀﾛｳ</t>
  </si>
  <si>
    <t>671-1531</t>
  </si>
  <si>
    <t>林　英汰</t>
  </si>
  <si>
    <t>ﾊﾔｼ ｴｲﾀ</t>
  </si>
  <si>
    <t>670-0947</t>
  </si>
  <si>
    <t>西元　美希</t>
  </si>
  <si>
    <t>ﾆｼﾓﾄ ﾐｷ</t>
  </si>
  <si>
    <t>670-0091</t>
  </si>
  <si>
    <t>小野　夏碧</t>
  </si>
  <si>
    <t>ｵﾉ ﾅﾂﾐ</t>
  </si>
  <si>
    <t>671-1573</t>
  </si>
  <si>
    <t>竹山　羽琉</t>
  </si>
  <si>
    <t>ﾀｹﾔﾏ ﾊﾙ</t>
  </si>
  <si>
    <t>678-0091</t>
  </si>
  <si>
    <t>平岡　圭人</t>
  </si>
  <si>
    <t>ﾋﾗｵｶ ｹｲﾄ</t>
  </si>
  <si>
    <t>679-4008</t>
  </si>
  <si>
    <t>長尾　想</t>
  </si>
  <si>
    <t>ﾅｶﾞｵ ｺｺﾛ</t>
  </si>
  <si>
    <t>吉田　真雪</t>
  </si>
  <si>
    <t>ﾖｼﾀﾞ ﾏﾕ</t>
  </si>
  <si>
    <t>梅田　智</t>
  </si>
  <si>
    <t>ｳﾒﾀﾞ ｻﾄｼ</t>
  </si>
  <si>
    <t>672-8049</t>
  </si>
  <si>
    <t>柿原　洸太</t>
  </si>
  <si>
    <t>ｶｷﾊﾗ ｺｳﾀ</t>
  </si>
  <si>
    <t>大神　煌成</t>
  </si>
  <si>
    <t>ｵｵｶﾞﾐ ｶﾅﾙ</t>
  </si>
  <si>
    <t>橋本　瞭都</t>
  </si>
  <si>
    <t>ﾊｼﾓﾄ ｱｷﾄ</t>
  </si>
  <si>
    <t>工田　龍一</t>
  </si>
  <si>
    <t>ｺｳﾀﾞ ﾘｭｳｲﾁ</t>
  </si>
  <si>
    <t>671-1108</t>
  </si>
  <si>
    <t>佐々木　莉衣</t>
  </si>
  <si>
    <t>ｻｻｷ ﾏﾘｲ</t>
  </si>
  <si>
    <t>672-8084</t>
  </si>
  <si>
    <t>山﨑　珠璃</t>
  </si>
  <si>
    <t>ﾔﾏｻｷ ｼｭﾘ</t>
  </si>
  <si>
    <t>芝岡　海莉</t>
  </si>
  <si>
    <t>ｼﾊﾞｵｶ ｶｲﾘ</t>
  </si>
  <si>
    <t>680-0872</t>
  </si>
  <si>
    <t>福岡　凜斗</t>
  </si>
  <si>
    <t>ﾌｸｵｶ ﾘﾝﾄ</t>
  </si>
  <si>
    <t>三村　莉奈</t>
  </si>
  <si>
    <t>ﾐﾑﾗ ﾘﾅ</t>
  </si>
  <si>
    <t>677-0057</t>
  </si>
  <si>
    <t>曾谷　優果</t>
  </si>
  <si>
    <t>ｿﾀﾆ ﾕｳｶ</t>
  </si>
  <si>
    <t>671-1106</t>
  </si>
  <si>
    <t>重山　晟帆</t>
  </si>
  <si>
    <t>ｼｹﾞﾔﾏ ｱｷﾎ</t>
  </si>
  <si>
    <t>679-2131</t>
  </si>
  <si>
    <t>県立 米子</t>
  </si>
  <si>
    <t>中井　かん菜</t>
  </si>
  <si>
    <t>ﾅｶｲ ｶﾝﾅ</t>
  </si>
  <si>
    <t>689-3104</t>
  </si>
  <si>
    <t>青木　陽大</t>
  </si>
  <si>
    <t>ｱｵｷ ﾊﾙﾄ</t>
  </si>
  <si>
    <t>鯨　暁斗</t>
  </si>
  <si>
    <t>ｸｼﾞﾗ ｱｷﾄ</t>
  </si>
  <si>
    <t>県立 東播工業</t>
  </si>
  <si>
    <t>西脇　嘉成</t>
  </si>
  <si>
    <t>ﾆｼﾜｷ ﾖｼﾅﾘ</t>
  </si>
  <si>
    <t>676-0071</t>
  </si>
  <si>
    <t>泉　総一郎</t>
  </si>
  <si>
    <t>ｲｽﾞﾐ ｿｳｲﾁﾛｳ</t>
  </si>
  <si>
    <t>萩原　櫂人</t>
  </si>
  <si>
    <t>ﾊｷﾞﾜﾗ ｶｲﾄ</t>
  </si>
  <si>
    <t>671-2103</t>
  </si>
  <si>
    <t>服部　翔大</t>
  </si>
  <si>
    <t>ﾊｯﾄﾘ ｼｮｳﾀ</t>
  </si>
  <si>
    <t>野田　小晴</t>
  </si>
  <si>
    <t>ﾉﾀﾞ ｺﾊﾙ</t>
  </si>
  <si>
    <t>679-2132</t>
  </si>
  <si>
    <t>前島　陸玖</t>
  </si>
  <si>
    <t>ﾏｴｼﾏ ﾘｸ</t>
  </si>
  <si>
    <t>675-0023</t>
  </si>
  <si>
    <t>澤部　駿</t>
  </si>
  <si>
    <t>ｻﾜﾍﾞ ｼｭﾝ</t>
  </si>
  <si>
    <t>671-2222</t>
  </si>
  <si>
    <t>村田　賢祐</t>
  </si>
  <si>
    <t>ﾑﾗﾀ ｹﾝｽｹ</t>
  </si>
  <si>
    <t>桑名　和弥</t>
  </si>
  <si>
    <t>ｸﾜﾅ ｶｽﾞﾔ</t>
  </si>
  <si>
    <t>花園　依吹</t>
  </si>
  <si>
    <t>ﾊﾅｿﾞﾉ ｲﾌﾞｷ</t>
  </si>
  <si>
    <t>赤松　佳祐</t>
  </si>
  <si>
    <t>ｱｶﾏﾂ ｹｲｽｹ</t>
  </si>
  <si>
    <t>670-0993</t>
  </si>
  <si>
    <t>森元　美貴</t>
  </si>
  <si>
    <t>ﾓﾘﾓﾄ ﾐｷ</t>
  </si>
  <si>
    <t>670-0086</t>
  </si>
  <si>
    <t>川村　美也</t>
  </si>
  <si>
    <t>ｶﾜﾑﾗ ﾐﾔ</t>
  </si>
  <si>
    <t>670-0806</t>
  </si>
  <si>
    <t>藤森　百彩</t>
  </si>
  <si>
    <t>ﾌｼﾞﾓﾘ ﾓｱ</t>
  </si>
  <si>
    <t>楠　慶樹</t>
  </si>
  <si>
    <t>ｸｽﾉｷ ｹｲｼﾞｭ</t>
  </si>
  <si>
    <t>672-8055</t>
  </si>
  <si>
    <t>大霜　陸駿</t>
  </si>
  <si>
    <t>ｵｵｼﾓ ﾘｳﾄ</t>
  </si>
  <si>
    <t>679-4161</t>
  </si>
  <si>
    <t>山本　孝太朗</t>
  </si>
  <si>
    <t>ﾔﾏﾓﾄ ｺｳﾀﾛｳ</t>
  </si>
  <si>
    <t>669-6543</t>
  </si>
  <si>
    <t>生駒　一馬</t>
  </si>
  <si>
    <t>ｲｺﾏ ｶｽﾞﾏ</t>
  </si>
  <si>
    <t>吉澤　勇翔</t>
  </si>
  <si>
    <t>ﾖｼｻﾞﾜ ﾕｳﾄ</t>
  </si>
  <si>
    <t>県立 池田</t>
  </si>
  <si>
    <t>真鍋　優斗</t>
  </si>
  <si>
    <t>ﾏﾅﾍﾞ ﾕｳﾄ</t>
  </si>
  <si>
    <t>宮本　颯大</t>
  </si>
  <si>
    <t>ﾐﾔﾓﾄ ｿｳﾀ</t>
  </si>
  <si>
    <t>山田　拳士朗</t>
  </si>
  <si>
    <t>ﾔﾏﾀﾞ ｹﾝｼﾛｳ</t>
  </si>
  <si>
    <t>672-8044</t>
  </si>
  <si>
    <t>田中　大貴</t>
  </si>
  <si>
    <t>ﾀﾅｶ ﾀﾞｲｷ</t>
  </si>
  <si>
    <t>前田　來人</t>
  </si>
  <si>
    <t>ﾏｴﾀﾞ ﾗｲﾄ</t>
  </si>
  <si>
    <t>671-1226</t>
  </si>
  <si>
    <t>前田　陸人</t>
  </si>
  <si>
    <t>ﾏｴﾀﾞ ﾘｸﾄ</t>
  </si>
  <si>
    <t>679-2151</t>
  </si>
  <si>
    <t>浜中　滉矢</t>
  </si>
  <si>
    <t>ﾊﾏﾅｶ ﾋﾛﾔ</t>
  </si>
  <si>
    <t>676-0805</t>
  </si>
  <si>
    <t>釘本　公愛</t>
  </si>
  <si>
    <t>ｸｷﾞﾓﾄ ｺｱ</t>
  </si>
  <si>
    <t>辻井　祇斗星</t>
  </si>
  <si>
    <t>ﾂｼﾞｲ ｷﾞﾎﾞｼ</t>
  </si>
  <si>
    <t>679-2204</t>
  </si>
  <si>
    <t>廣居　初奈</t>
  </si>
  <si>
    <t>ﾋﾛｲ ﾆｲﾅ</t>
  </si>
  <si>
    <t>671-2411</t>
  </si>
  <si>
    <t>小久保　翔</t>
  </si>
  <si>
    <t>ｺｸﾎﾞ ｶｹﾙ</t>
  </si>
  <si>
    <t>松本　歩奈美</t>
  </si>
  <si>
    <t>ﾏﾂﾓﾄ ﾎﾅﾐ</t>
  </si>
  <si>
    <t>東本　光城</t>
  </si>
  <si>
    <t>ﾄｳﾓﾄ ｺｳｾｲ</t>
  </si>
  <si>
    <t>上川　泰輝</t>
  </si>
  <si>
    <t>ｶﾐｶﾜ ﾀｲｷ</t>
  </si>
  <si>
    <t>片山　優愛</t>
  </si>
  <si>
    <t>ｶﾀﾔﾏ ﾕｳｱ</t>
  </si>
  <si>
    <t>675-2401</t>
  </si>
  <si>
    <t>井関　百萌</t>
  </si>
  <si>
    <t>ｲｾｷ ﾓﾓ</t>
  </si>
  <si>
    <t>石渡　雅也</t>
  </si>
  <si>
    <t>ｲｼﾜﾀﾘ ﾏｻﾔ</t>
  </si>
  <si>
    <t>678-0064</t>
  </si>
  <si>
    <t>髙島　瑠晟</t>
  </si>
  <si>
    <t>ﾀｶｼﾏ ﾘｭｳｾｲ</t>
  </si>
  <si>
    <t>670-0935</t>
  </si>
  <si>
    <t>塩澤　恒成</t>
  </si>
  <si>
    <t>ｼｵｻﾞﾜ ｺｳｾｲ</t>
  </si>
  <si>
    <t>672-8035</t>
  </si>
  <si>
    <t>宮川　瑠唯</t>
  </si>
  <si>
    <t>ﾐﾔｶﾞﾜ ﾙｲ</t>
  </si>
  <si>
    <t>2025年度</t>
    <rPh sb="4" eb="6">
      <t>ネンド</t>
    </rPh>
    <phoneticPr fontId="2"/>
  </si>
  <si>
    <t>2024年度</t>
    <rPh sb="4" eb="5">
      <t>ネン</t>
    </rPh>
    <rPh sb="5" eb="6">
      <t>ド</t>
    </rPh>
    <phoneticPr fontId="2"/>
  </si>
  <si>
    <t>内田　成美</t>
  </si>
  <si>
    <t>ｳﾁﾀﾞ ﾅﾙﾐ</t>
  </si>
  <si>
    <t>675-1316</t>
  </si>
  <si>
    <t>西村　友満</t>
  </si>
  <si>
    <t>ﾆｼﾑﾗ ﾕｳﾏ</t>
  </si>
  <si>
    <t>榎　真愛</t>
  </si>
  <si>
    <t>ｴﾉｷ ﾏｲ</t>
  </si>
  <si>
    <t>679-4106</t>
  </si>
  <si>
    <t>竹田　謙信</t>
  </si>
  <si>
    <t>ﾀｹﾀﾞ ｹﾝｼﾝ</t>
  </si>
  <si>
    <t>679-5343</t>
  </si>
  <si>
    <t>手古　遥奈</t>
  </si>
  <si>
    <t>ﾃｺ ﾊﾙﾅ</t>
  </si>
  <si>
    <t>671-0224</t>
  </si>
  <si>
    <t>島崎　萌</t>
  </si>
  <si>
    <t>ｼﾏｻﾞｷ ﾒｲ</t>
  </si>
  <si>
    <t>671-1224</t>
  </si>
  <si>
    <t>田村　彩陽</t>
  </si>
  <si>
    <t>ﾀﾑﾗ ｱﾔﾋ</t>
  </si>
  <si>
    <t>680-0844</t>
  </si>
  <si>
    <t>田端　聖弥</t>
  </si>
  <si>
    <t>ﾀﾊﾞﾀ ｾｲﾔ</t>
  </si>
  <si>
    <t>653-0031</t>
  </si>
  <si>
    <t>山本　竜大</t>
  </si>
  <si>
    <t>ﾔﾏﾓﾄ ﾘｭｳｷ</t>
  </si>
  <si>
    <t>678-1262</t>
  </si>
  <si>
    <t>私立 相生学院　姫路校（通信制）</t>
  </si>
  <si>
    <t>私立 向陽台高等学校三田キャンパス（通信制）</t>
  </si>
  <si>
    <t>古賀　空</t>
  </si>
  <si>
    <t>ｺｶﾞ ｿﾗ</t>
  </si>
  <si>
    <t>669-1101</t>
  </si>
  <si>
    <t>東　穂乃花</t>
  </si>
  <si>
    <t>ｱｽﾞﾏ ﾎﾉｶ</t>
  </si>
  <si>
    <t>大西　愛佳</t>
  </si>
  <si>
    <t>ｵｵﾆｼ ｱｲｶ</t>
  </si>
  <si>
    <t>中島　志温</t>
  </si>
  <si>
    <t>ﾅｶｼﾞﾏ ｼｵﾝ</t>
  </si>
  <si>
    <t>村田　真弘</t>
  </si>
  <si>
    <t>ﾑﾗﾀ ﾏﾋﾛ</t>
  </si>
  <si>
    <t>676-0806</t>
  </si>
  <si>
    <t>日髙　真優</t>
  </si>
  <si>
    <t>ﾋﾀﾞｶ ﾏﾕ</t>
  </si>
  <si>
    <t>653-0804</t>
  </si>
  <si>
    <t>矢野　冬夜</t>
  </si>
  <si>
    <t>ﾔﾉ ﾄｳﾔ</t>
  </si>
  <si>
    <t>676-0021</t>
  </si>
  <si>
    <t>県立 芦屋</t>
  </si>
  <si>
    <t>中村　零真</t>
  </si>
  <si>
    <t>ﾅｶﾑﾗ ﾚｲﾏ</t>
  </si>
  <si>
    <t>673-0873</t>
  </si>
  <si>
    <t>苧木　心愛</t>
  </si>
  <si>
    <t>ｵｷﾞ ﾐﾉﾘ</t>
  </si>
  <si>
    <t>675-0063</t>
  </si>
  <si>
    <t>東野　菜奈美</t>
  </si>
  <si>
    <t>ﾋｶﾞｼﾉ ﾅﾅﾐ</t>
  </si>
  <si>
    <t>663-8177</t>
  </si>
  <si>
    <t>万田　海斗</t>
  </si>
  <si>
    <t>ﾏﾝﾀﾞ ｶｲﾄ</t>
  </si>
  <si>
    <t>673-0033</t>
  </si>
  <si>
    <t>私立 クラーク記念国際鳥取キャンパス</t>
  </si>
  <si>
    <t>779-4802</t>
  </si>
  <si>
    <t>浅田　大貴</t>
  </si>
  <si>
    <t>ｱｻﾀﾞ ﾀｲｷ</t>
  </si>
  <si>
    <t>梶田　直玖</t>
  </si>
  <si>
    <t>ｶｼﾞﾀ ﾅｵﾋｻ</t>
  </si>
  <si>
    <t>眞鍋　莉斗</t>
  </si>
  <si>
    <t>ﾏﾅﾍﾞ ﾘﾄ</t>
  </si>
  <si>
    <t>679-4315</t>
  </si>
  <si>
    <t>私立 尽誠学園</t>
  </si>
  <si>
    <t>岩本　璃星</t>
  </si>
  <si>
    <t>ｲﾜﾓﾄ ﾘｾｲ</t>
  </si>
  <si>
    <t>阿曽　花音</t>
  </si>
  <si>
    <t>ｱｿ ｶﾉﾝ</t>
  </si>
  <si>
    <t>石丸　恵司</t>
  </si>
  <si>
    <t>ｲｼﾏﾙ ｹｲｼ</t>
  </si>
  <si>
    <t>671-1154</t>
  </si>
  <si>
    <t>中山　拳杜</t>
  </si>
  <si>
    <t>ﾅｶﾔﾏ ｹﾝﾄ</t>
  </si>
  <si>
    <t>671-2224</t>
  </si>
  <si>
    <t>県立 勝間田</t>
  </si>
  <si>
    <t>村岡　美音</t>
  </si>
  <si>
    <t>ﾑﾗｵｶ ﾐｵ</t>
  </si>
  <si>
    <t>709-4312</t>
  </si>
  <si>
    <t>村方　楓香</t>
  </si>
  <si>
    <t>ﾑﾗｶﾀ ﾌｳｶ</t>
  </si>
  <si>
    <t>三谷　宥仁</t>
  </si>
  <si>
    <t>ﾐﾀﾆ ﾕｳｼﾞﾝ</t>
  </si>
  <si>
    <t>𠮷住　祐輝</t>
  </si>
  <si>
    <t>ﾖｼｽﾞﾐ ﾕｳｷ</t>
  </si>
  <si>
    <t>651-0051</t>
  </si>
  <si>
    <t>岸野　真由</t>
  </si>
  <si>
    <t>ｷｼﾉ ﾏﾕ</t>
  </si>
  <si>
    <t>山田　大悟</t>
  </si>
  <si>
    <t>ﾔﾏﾀﾞ ﾀﾞｲｺﾞ</t>
  </si>
  <si>
    <t>676-0813</t>
  </si>
  <si>
    <t>山本　啓人</t>
  </si>
  <si>
    <t>ﾔﾏﾓﾄ ｹｲﾄ</t>
  </si>
  <si>
    <t>242-0026</t>
  </si>
  <si>
    <t>神奈川県</t>
  </si>
  <si>
    <t>671-2215</t>
  </si>
  <si>
    <t>辻村　夏海</t>
  </si>
  <si>
    <t>ﾂｼﾞﾑﾗ ﾅﾂﾐ</t>
  </si>
  <si>
    <t>梅宮　雄一朗</t>
  </si>
  <si>
    <t>ｳﾒﾐﾔ ﾕｳｲﾁﾛｳ</t>
  </si>
  <si>
    <t>蔭山　空叶</t>
  </si>
  <si>
    <t>ｶｹﾞﾔﾏ ｸｳﾄ</t>
  </si>
  <si>
    <t>673-0868</t>
  </si>
  <si>
    <t>足立　陸斗</t>
  </si>
  <si>
    <t>ｱﾀﾞﾁ ﾘｸﾄ</t>
  </si>
  <si>
    <t>田原　昇龍</t>
  </si>
  <si>
    <t>ﾀﾅﾗ ｼｮｳﾘｭｳ</t>
  </si>
  <si>
    <t>653-0853</t>
  </si>
  <si>
    <t>新井　寿祁海</t>
  </si>
  <si>
    <t>ｱﾗｲ ｼﾞｭｷｱ</t>
  </si>
  <si>
    <t>655-0031</t>
  </si>
  <si>
    <t>三上　康朗</t>
  </si>
  <si>
    <t>ﾐｶﾐ ﾔｽｱｷ</t>
  </si>
  <si>
    <t>673-0898</t>
  </si>
  <si>
    <t>田中　伊吹</t>
  </si>
  <si>
    <t>ﾀﾅｶ ｲﾌﾞｷ</t>
  </si>
  <si>
    <t>木下　心星</t>
  </si>
  <si>
    <t>ｷﾉｼﾀ ｼﾝｾｲ</t>
  </si>
  <si>
    <t>656-0305</t>
  </si>
  <si>
    <t xml:space="preserve">マーケティングビジネス専攻       </t>
  </si>
  <si>
    <t>田中　ゆら</t>
  </si>
  <si>
    <t>ﾀﾅｶ ﾕﾗ</t>
  </si>
  <si>
    <t xml:space="preserve">吉備高原学園　　　　　　　　　　　　　　                    </t>
  </si>
  <si>
    <t xml:space="preserve">神戸工科（定時制）　　　　　　　　　　　                    </t>
  </si>
  <si>
    <t xml:space="preserve">甲子園学院　　　　　　　　　　　　　　　                    </t>
  </si>
  <si>
    <t xml:space="preserve">パーソナルトレーナーコース       </t>
  </si>
  <si>
    <t xml:space="preserve">昇陽                                      </t>
  </si>
  <si>
    <t xml:space="preserve">スポーツビジネスコース　　　　     </t>
  </si>
  <si>
    <t xml:space="preserve">高松中央　　　　　　　　　　　　　　　　                    </t>
  </si>
  <si>
    <t xml:space="preserve">武庫荘総合　　　　　　　　　　　　　　　                    </t>
  </si>
  <si>
    <t xml:space="preserve">伊丹　　　　　　　　　　　　　　　　　　                    </t>
  </si>
  <si>
    <t xml:space="preserve">医療事務・公務員コース         </t>
  </si>
  <si>
    <t xml:space="preserve">安来　　　　　　　　　　　　　　　　　　                    </t>
  </si>
  <si>
    <t xml:space="preserve">明徳義塾　　　　　　　　　　　　　　　　                    </t>
  </si>
  <si>
    <t xml:space="preserve">伊丹北　　　　　　　　　　　　　　　　　                    </t>
  </si>
  <si>
    <t xml:space="preserve">　　　　　　　　　　　　　　　　　　　　                    </t>
  </si>
  <si>
    <t xml:space="preserve">駿台甲府（通信制）　　　　　　　　　　　                    </t>
  </si>
  <si>
    <t xml:space="preserve">山梨      </t>
  </si>
  <si>
    <t xml:space="preserve">スポーツ・公務員・警察・消防官     </t>
  </si>
  <si>
    <t xml:space="preserve">和歌山信愛　　　　　　　                            </t>
  </si>
  <si>
    <t xml:space="preserve">京都共栄学園　　　　　　　　　　　　　　                    </t>
  </si>
  <si>
    <t xml:space="preserve">神戸鈴蘭台　　　　　　　　　　　　　　　                    </t>
  </si>
  <si>
    <t xml:space="preserve">飛鳥未来きずな高等学校神戸キャンパス                      </t>
  </si>
  <si>
    <t xml:space="preserve">須磨友が丘　　　　　　　　　　　　　　　                    </t>
  </si>
  <si>
    <t xml:space="preserve">明石城西　　　　　　　　　　　　　　　　                    </t>
  </si>
  <si>
    <t xml:space="preserve">佐用　　　　　　　　　　　　　　　　　　                    </t>
  </si>
  <si>
    <t xml:space="preserve">東大阪大学柏原　　　　　　　　　　　　　                    </t>
  </si>
  <si>
    <t xml:space="preserve">須磨東　　　　　　　　　　　　　　　　　                    </t>
  </si>
  <si>
    <t xml:space="preserve">松山聖陵　　　　　　　　　　　　　　　　                    </t>
  </si>
  <si>
    <t xml:space="preserve">相生学院　明石校（通信制）                           </t>
  </si>
  <si>
    <t xml:space="preserve">日高　　　　　　　　　　　　　　　　　　                    </t>
  </si>
  <si>
    <t xml:space="preserve">沖縄県 </t>
  </si>
  <si>
    <t xml:space="preserve">日本ウェルネス（通信制）                            </t>
  </si>
  <si>
    <t xml:space="preserve">若狭東　　　　　　　　　　　　　　　　　                    </t>
  </si>
  <si>
    <t xml:space="preserve">楠　　　　　　　　　　　　　　　　　　　                    </t>
  </si>
  <si>
    <t xml:space="preserve">クラーク記念国際鳥取キャンパス　　　　　                    </t>
  </si>
  <si>
    <t xml:space="preserve">向陽台高等学校三田キャンパス（通信制）                     </t>
  </si>
  <si>
    <t xml:space="preserve">芦屋                                      </t>
  </si>
  <si>
    <t xml:space="preserve">神戸第一　　　　　　　　　　　　　　　　                    </t>
  </si>
  <si>
    <t xml:space="preserve">日ノ本学園　　　　　　　　　　　　　　　                    </t>
  </si>
  <si>
    <t xml:space="preserve">おおぞら高等学院姫路キャンパス　　　　                     </t>
  </si>
  <si>
    <t xml:space="preserve">S高等学校　茨城つくば本校（通信制）                      </t>
  </si>
  <si>
    <t xml:space="preserve">氷上　　　　　　　　　　　　　　　　　　                    </t>
  </si>
  <si>
    <t xml:space="preserve">平田調理専門学校　高等課程                           </t>
  </si>
  <si>
    <t xml:space="preserve">滋慶学園（通信制）                               </t>
  </si>
  <si>
    <t xml:space="preserve">青雲（通信制）　　　　　　　　　　　　　                    </t>
  </si>
  <si>
    <t xml:space="preserve">須磨学園　　　　　　　　　　　　　　　　                    </t>
  </si>
  <si>
    <t xml:space="preserve">相生学院　姫路校（通信制）                           </t>
  </si>
  <si>
    <t xml:space="preserve">勇志国際（通信制）　　　　　　　　　　　                    </t>
  </si>
  <si>
    <t xml:space="preserve">熊本      </t>
  </si>
  <si>
    <t xml:space="preserve">病院受付コース　　　　　　　　     </t>
  </si>
  <si>
    <t xml:space="preserve">２年制こども保育士コース        </t>
  </si>
  <si>
    <t xml:space="preserve">天理（定時制）                                 </t>
  </si>
  <si>
    <t xml:space="preserve">ドクターズクラークコース        </t>
  </si>
  <si>
    <t xml:space="preserve">姫路南　　　　　　　　　　　　　　　　　                    </t>
  </si>
  <si>
    <t xml:space="preserve">飾磨工業　　　　　　　　　　　　　　　　                    </t>
  </si>
  <si>
    <t xml:space="preserve">川之江　　　　　　　　　　　　　　　　　                    </t>
  </si>
  <si>
    <t xml:space="preserve">倉敷　　　　　　　　　　　　　　　　　　                    </t>
  </si>
  <si>
    <t xml:space="preserve">鹿島朝日高等学校 姫路キャンパス                        </t>
  </si>
  <si>
    <t xml:space="preserve">伊和　　　　　　　　　　　　　　　　　　                    </t>
  </si>
  <si>
    <t xml:space="preserve">岡山南　　　　　　　　　　　　　　　　　                    </t>
  </si>
  <si>
    <t xml:space="preserve">岡山龍谷　　　　　　　　　　　　　　　　                    </t>
  </si>
  <si>
    <t xml:space="preserve">米子　　　　　　　　　　　　　　　　　　                    </t>
  </si>
  <si>
    <t xml:space="preserve">池田　　　　　　　　　　　　　　　　　　                    </t>
  </si>
  <si>
    <t xml:space="preserve">西脇　　　　　　　　　　　　　　　　　　                    </t>
  </si>
  <si>
    <t xml:space="preserve">尽誠学園　　　　　　　　　　　　　　　　                    </t>
  </si>
  <si>
    <t>完了者</t>
    <rPh sb="0" eb="2">
      <t>カンリョウ</t>
    </rPh>
    <rPh sb="2" eb="3">
      <t>シャ</t>
    </rPh>
    <phoneticPr fontId="2"/>
  </si>
  <si>
    <t>完了者</t>
    <rPh sb="0" eb="3">
      <t>カンリョウシャ</t>
    </rPh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</si>
  <si>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</si>
  <si>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</si>
  <si>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</si>
  <si>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</si>
  <si>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</si>
  <si>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</si>
  <si>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合計</t>
  </si>
  <si>
    <t>合計</t>
    <phoneticPr fontId="2"/>
  </si>
  <si>
    <t>8月</t>
    <phoneticPr fontId="2"/>
  </si>
  <si>
    <t>10月</t>
    <phoneticPr fontId="2"/>
  </si>
  <si>
    <t xml:space="preserve">鳴尾　　　　　　　　　　　　　　　　　　                    </t>
  </si>
  <si>
    <t xml:space="preserve">向陽台高等学校三田キャンパス                          </t>
  </si>
  <si>
    <t xml:space="preserve">N高等学校　神戸キャンパス                           </t>
  </si>
  <si>
    <t xml:space="preserve">農業（定時制）                                 </t>
  </si>
  <si>
    <t>678-0042</t>
  </si>
  <si>
    <t xml:space="preserve">Ｎ高等学校　姫路キャンパス                           </t>
  </si>
  <si>
    <t xml:space="preserve">専修学校高等課程　　　　　　　　　　　　                    </t>
  </si>
  <si>
    <t>辞退者</t>
    <rPh sb="0" eb="3">
      <t>ジタイシャ</t>
    </rPh>
    <phoneticPr fontId="2"/>
  </si>
  <si>
    <t>除外リスト</t>
    <rPh sb="0" eb="2">
      <t>ジョガイ</t>
    </rPh>
    <phoneticPr fontId="2"/>
  </si>
  <si>
    <t xml:space="preserve">和田山　　　　　　　　　　　　　　　　　                    </t>
  </si>
  <si>
    <t>出願＆手続き完了者集計（留学生含む）</t>
    <rPh sb="0" eb="2">
      <t>シュツガン</t>
    </rPh>
    <rPh sb="3" eb="5">
      <t>テツヅ</t>
    </rPh>
    <rPh sb="6" eb="8">
      <t>カンリョウ</t>
    </rPh>
    <rPh sb="8" eb="9">
      <t>シャ</t>
    </rPh>
    <rPh sb="9" eb="11">
      <t>シュウケイ</t>
    </rPh>
    <rPh sb="12" eb="15">
      <t>リュウガクセイ</t>
    </rPh>
    <rPh sb="15" eb="16">
      <t>フク</t>
    </rPh>
    <phoneticPr fontId="2"/>
  </si>
  <si>
    <t>岩村　琥太郎</t>
  </si>
  <si>
    <t>ｲﾜﾑﾗ ｺﾀﾛｳ</t>
  </si>
  <si>
    <t>680-0451</t>
  </si>
  <si>
    <t xml:space="preserve">岩美　　　　　　　　　　　　　　　　　　                    </t>
  </si>
  <si>
    <t>森田　栄作</t>
  </si>
  <si>
    <t>ﾓﾘﾀ ｴｲｻｸ</t>
  </si>
  <si>
    <t>651-2121</t>
  </si>
  <si>
    <t>藤井　柚羽</t>
  </si>
  <si>
    <t>ﾌｼﾞｲ ﾕｽﾞﾊ</t>
  </si>
  <si>
    <t>658-0063</t>
  </si>
  <si>
    <t>中野　太嗣</t>
  </si>
  <si>
    <t>ﾅｶﾉ ﾓﾄﾂｸﾞ</t>
  </si>
  <si>
    <t>781-0270</t>
  </si>
  <si>
    <t xml:space="preserve">高知　　　　　　　　　　　　　　　　　　                    </t>
  </si>
  <si>
    <t>中谷　夢大</t>
  </si>
  <si>
    <t>ﾅｶﾀﾆ ﾕｳﾀﾞｲ</t>
  </si>
  <si>
    <t>653-0811</t>
  </si>
  <si>
    <t xml:space="preserve">神戸龍谷　　　　　　　　　　　　　　　　                    </t>
  </si>
  <si>
    <t>石田　龍之介</t>
  </si>
  <si>
    <t>ｲｼﾀﾞ ﾘｭｳﾉｽｹ</t>
  </si>
  <si>
    <t>657-0855</t>
  </si>
  <si>
    <t>野広　奏</t>
  </si>
  <si>
    <t>ﾉﾋﾛ ｶﾅﾃﾞ</t>
  </si>
  <si>
    <t>655-0009</t>
  </si>
  <si>
    <t>福井　悠二</t>
  </si>
  <si>
    <t>ﾌｸｲ ﾋｻｼ</t>
  </si>
  <si>
    <t>678-0238</t>
  </si>
  <si>
    <t>F</t>
  </si>
  <si>
    <t xml:space="preserve">岡山学芸館　　　　　　　　　　　　　　　                    </t>
  </si>
  <si>
    <t>伊藤　颯人</t>
  </si>
  <si>
    <t>ｲﾄｳ ﾊﾔﾄ</t>
  </si>
  <si>
    <t>678-0201</t>
  </si>
  <si>
    <t>小阪　杏樹</t>
  </si>
  <si>
    <t>ｺｻｶ ｱﾝｼﾞｭ</t>
  </si>
  <si>
    <t>米田　陸人</t>
  </si>
  <si>
    <t>ﾖﾈﾀﾞ ﾘｸﾄ</t>
  </si>
  <si>
    <t>577-0805</t>
  </si>
  <si>
    <t>村尾　元春</t>
  </si>
  <si>
    <t>ﾑﾗｵ ﾓﾄﾊﾙ</t>
  </si>
  <si>
    <t>669-6832</t>
  </si>
  <si>
    <t xml:space="preserve">浜坂　　　　　　　　　　　　　　　　　　                    </t>
  </si>
  <si>
    <t>大川　弥風</t>
  </si>
  <si>
    <t>ｵｵｶﾜ ﾐｶｾﾞ</t>
  </si>
  <si>
    <t>池田　珠唯</t>
  </si>
  <si>
    <t>ｲｹﾀﾞ ﾐﾕ</t>
  </si>
  <si>
    <t>651-1123</t>
  </si>
  <si>
    <t xml:space="preserve">文部科学省　　　　　　　　　　　　　　　                    </t>
  </si>
  <si>
    <t>大久保　空</t>
  </si>
  <si>
    <t>ｵｵｸﾎﾞ ｿﾗ</t>
  </si>
  <si>
    <t>徳田　翔</t>
  </si>
  <si>
    <t>ﾄｸﾀﾞ ｼｮｳ</t>
  </si>
  <si>
    <t>655-0003</t>
  </si>
  <si>
    <t>橘　幸佑</t>
  </si>
  <si>
    <t>ﾀﾁﾊﾞﾅ ｺｳｽｹ</t>
  </si>
  <si>
    <t>672-8064</t>
  </si>
  <si>
    <t>T</t>
  </si>
  <si>
    <t>石山　陽毬</t>
  </si>
  <si>
    <t>ｲｼﾔﾏ ﾋﾏﾘ</t>
  </si>
  <si>
    <t>藤木　力登</t>
  </si>
  <si>
    <t>ﾌｼﾞｷ ﾘｷﾄ</t>
  </si>
  <si>
    <t xml:space="preserve">生光学園　　　　　　　　　　　　　　　　                    </t>
  </si>
  <si>
    <t>池内　一花</t>
  </si>
  <si>
    <t>ｲｹｳﾁ ｲﾁｶ</t>
  </si>
  <si>
    <t xml:space="preserve">忠海　　　　　　　　　　　　　　　　　　                    </t>
  </si>
  <si>
    <t>野中　宏樹</t>
  </si>
  <si>
    <t>ﾉﾅｶ ｺｳｷ</t>
  </si>
  <si>
    <t>699-0822</t>
  </si>
  <si>
    <t xml:space="preserve">出雲西　　　　　　　　　　　　　　　　　                    </t>
  </si>
  <si>
    <t>西脇　和輝</t>
  </si>
  <si>
    <t>ﾆｼﾜｷ ｶｽﾞｷ</t>
  </si>
  <si>
    <t>山口　有子</t>
  </si>
  <si>
    <t>ﾔﾏｸﾞﾁ ﾕｳｺ</t>
  </si>
  <si>
    <t>飯田　理紗</t>
  </si>
  <si>
    <t>ｲｲﾀﾞ ﾘｻ</t>
  </si>
  <si>
    <t xml:space="preserve">ルネサンス（通信制）　　　　　　　　　　                    </t>
  </si>
  <si>
    <t>野添　紘士朗</t>
  </si>
  <si>
    <t>ﾉｿﾞｴ ｺｳｼﾛｳ</t>
  </si>
  <si>
    <t>663-8136</t>
  </si>
  <si>
    <t xml:space="preserve">クラーク記念国際芦屋キャンパス                         </t>
  </si>
  <si>
    <t>大塚　夏鈴</t>
  </si>
  <si>
    <t>ｵｵﾂｶ ｶﾘﾝ</t>
  </si>
  <si>
    <t>657-0843</t>
  </si>
  <si>
    <t>0D</t>
  </si>
  <si>
    <t xml:space="preserve">税理士コース　　　　　　　　　     </t>
  </si>
  <si>
    <t>R</t>
  </si>
  <si>
    <t xml:space="preserve">丸亀城西　　　　　　　　　　　　　　　　                    </t>
  </si>
  <si>
    <t>岡田　菜弓樹</t>
  </si>
  <si>
    <t>ｵｶﾀﾞ ﾅﾕｷ</t>
  </si>
  <si>
    <t>竹内　智昭</t>
  </si>
  <si>
    <t>ﾀｹｳﾁ ﾄﾓｱｷ</t>
  </si>
  <si>
    <t>658-0022</t>
  </si>
  <si>
    <t>中橋　宗駿</t>
  </si>
  <si>
    <t>ﾅｶﾊｼ ｿｳﾏ</t>
  </si>
  <si>
    <t>前田　早苗</t>
  </si>
  <si>
    <t>ﾏｴﾀﾞ ｻﾅｴ</t>
  </si>
  <si>
    <t xml:space="preserve">泉北　　　　　　　　　　　　　　　　　　                    </t>
  </si>
  <si>
    <t>村田　昌史</t>
  </si>
  <si>
    <t>ﾑﾗﾀ ｱﾂｼ</t>
  </si>
  <si>
    <t>662-0956</t>
  </si>
  <si>
    <t xml:space="preserve">立命館宇治　　　　　　　　　　　　　　　                    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</si>
  <si>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</si>
  <si>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</si>
  <si>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</si>
  <si>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</si>
  <si>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</si>
  <si>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</si>
  <si>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</si>
  <si>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</si>
  <si>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田坂　知聖</t>
  </si>
  <si>
    <t>ﾀｻｶ ﾄﾓﾏｻ</t>
  </si>
  <si>
    <t>675-1378</t>
  </si>
  <si>
    <t xml:space="preserve">小野　　　　　　　　　　　　　　　　　　                    </t>
  </si>
  <si>
    <t>橋本　涼介</t>
  </si>
  <si>
    <t>ﾊｼﾓﾄ ﾘｮｳｽｹ</t>
  </si>
  <si>
    <t>761-0323</t>
  </si>
  <si>
    <t>吉崎　希海</t>
  </si>
  <si>
    <t>ﾖｼｻﾞｷ ﾉｿﾞﾐ</t>
  </si>
  <si>
    <t>本白水　海音</t>
  </si>
  <si>
    <t>ﾓﾄｼﾛﾐｽﾞ ｶｲﾄ</t>
  </si>
  <si>
    <t>園田　翔大</t>
  </si>
  <si>
    <t>ｿﾉﾀﾞ ｼｮｳﾀ</t>
  </si>
  <si>
    <t>663-8172</t>
  </si>
  <si>
    <t>平木　咲衣</t>
  </si>
  <si>
    <t>ﾋﾗｷ ｻｴ</t>
  </si>
  <si>
    <t>673-0044</t>
  </si>
  <si>
    <t>瀬川　智世</t>
  </si>
  <si>
    <t>ｾｶﾞﾜ ﾁｾ</t>
  </si>
  <si>
    <t>水上　太佑</t>
  </si>
  <si>
    <t>ﾐｽﾞｶﾐ ﾀｲｽｹ</t>
  </si>
  <si>
    <t>658-0072</t>
  </si>
  <si>
    <t xml:space="preserve">滝川　　　　　　　　　　　　　　　　　　                    </t>
  </si>
  <si>
    <t>植月　理丘</t>
  </si>
  <si>
    <t>ｳｴﾂｷ ﾘｸ</t>
  </si>
  <si>
    <t>松岡　鈴斗</t>
  </si>
  <si>
    <t>ﾏﾂｵｶ ﾚｲﾄ</t>
  </si>
  <si>
    <t>655-0005</t>
  </si>
  <si>
    <t>吉田　桃</t>
  </si>
  <si>
    <t>ﾖｼﾀﾞ ﾓﾓ</t>
  </si>
  <si>
    <t>658-0062</t>
  </si>
  <si>
    <t xml:space="preserve">東灘　　　　　　　　　　　　　　　　　　                    </t>
  </si>
  <si>
    <t>溝口　一輝</t>
  </si>
  <si>
    <t>ﾐｿﾞｸﾞﾁ ｲﾂｷ</t>
  </si>
  <si>
    <t>653-0022</t>
  </si>
  <si>
    <t>山中　元希</t>
  </si>
  <si>
    <t>ﾔﾏﾅｶ ｹﾞﾝｷ</t>
  </si>
  <si>
    <t>663-8164</t>
  </si>
  <si>
    <t xml:space="preserve">西宮今津　　　　　　　　　　　　　　　　                    </t>
  </si>
  <si>
    <t>柏木　聡太</t>
  </si>
  <si>
    <t>ｶｼﾜｷﾞ ｿｳﾀ</t>
  </si>
  <si>
    <t>石﨑　虎汰郎</t>
  </si>
  <si>
    <t>ｲｼｻﾞｷ ｺﾀﾛｳ</t>
  </si>
  <si>
    <t>673-0867</t>
  </si>
  <si>
    <t>國頭　真央</t>
  </si>
  <si>
    <t>ｸﾆｶﾞﾐ ﾏｵ</t>
  </si>
  <si>
    <t>650-0012</t>
  </si>
  <si>
    <t xml:space="preserve">向陽　　　　　　　　　　　　　　　　　　                    </t>
  </si>
  <si>
    <t>西村　魁人</t>
  </si>
  <si>
    <t>ﾆｼﾑﾗ ｶｲﾄ</t>
  </si>
  <si>
    <t>667-1101</t>
  </si>
  <si>
    <t xml:space="preserve">八鹿　　　　　　　　　　　　　　　　　　                    </t>
  </si>
  <si>
    <t>嶌田　浬空</t>
  </si>
  <si>
    <t>ｼﾏﾀﾞ ﾘｸ</t>
  </si>
  <si>
    <t>深瀬　友宏</t>
  </si>
  <si>
    <t>ﾌｶｾ ﾄﾓﾋﾛ</t>
  </si>
  <si>
    <t>551-0031</t>
  </si>
  <si>
    <t>中垣　英太</t>
  </si>
  <si>
    <t>ﾅｶｶﾞｷ ｴｲﾀ</t>
  </si>
  <si>
    <t>555-0033</t>
  </si>
  <si>
    <t xml:space="preserve">大商学園　　　　　　　　　　　　　　　　                    </t>
  </si>
  <si>
    <t>大西　蕉弥</t>
  </si>
  <si>
    <t>ｵｵﾆｼ ｼｮｳﾔ</t>
  </si>
  <si>
    <t>吉田　豊拓</t>
  </si>
  <si>
    <t>ﾖｼﾀﾞ ｱﾂﾋﾛ</t>
  </si>
  <si>
    <t>630-0266</t>
  </si>
  <si>
    <t xml:space="preserve">一条　　　　　　　　　　　　　　　　　　                    </t>
  </si>
  <si>
    <t>髙橋　悠士</t>
  </si>
  <si>
    <t>ﾀｶﾊｼ ﾊﾙﾄ</t>
  </si>
  <si>
    <t>662-0934</t>
  </si>
  <si>
    <t>小西　広晟</t>
  </si>
  <si>
    <t>ｺﾆｼ ﾋﾛﾏｻ</t>
  </si>
  <si>
    <t>591-8031</t>
  </si>
  <si>
    <t xml:space="preserve">東百舌鳥　　　　　　　　　　　　　　　　                    </t>
  </si>
  <si>
    <t>徳原　悠真</t>
  </si>
  <si>
    <t>ﾄｸﾊﾗ ﾕｳﾏ</t>
  </si>
  <si>
    <t>651-2114</t>
  </si>
  <si>
    <t>山﨑　春暉</t>
  </si>
  <si>
    <t>ﾔﾏｻｷ ﾊﾙｷ</t>
  </si>
  <si>
    <t>669-1146</t>
  </si>
  <si>
    <t xml:space="preserve">宝塚　　　　　　　　　　　　　　　　　　                    </t>
  </si>
  <si>
    <t>532-0002</t>
  </si>
  <si>
    <t>劉　洪縁</t>
  </si>
  <si>
    <t>ﾘｭｳ ｺｳｴﾝ</t>
  </si>
  <si>
    <t>651-0096</t>
  </si>
  <si>
    <t>D</t>
  </si>
  <si>
    <t xml:space="preserve">神戸電子専門学校日本語学科                           </t>
  </si>
  <si>
    <t>カトリ　スウェタ</t>
  </si>
  <si>
    <t>ｶﾄﾘ ｽｳｪﾀ</t>
  </si>
  <si>
    <t xml:space="preserve">専門学校日本工科大学校日本語学科                        </t>
  </si>
  <si>
    <t>郭　舒琪</t>
  </si>
  <si>
    <t>ｶｸ ｼｮｷ</t>
  </si>
  <si>
    <t>650-0004</t>
  </si>
  <si>
    <t xml:space="preserve">日本学生支援機構大阪日本語教育センター                     </t>
  </si>
  <si>
    <t>入鹿　槙斗</t>
  </si>
  <si>
    <t>ｲﾘｼｶ ﾏｷﾄ</t>
  </si>
  <si>
    <t>678-0239</t>
  </si>
  <si>
    <t>長谷川　侑輝</t>
  </si>
  <si>
    <t>ﾊｾｶﾞﾜ ﾕｳｷ</t>
  </si>
  <si>
    <t>亀井　裕太</t>
  </si>
  <si>
    <t>ｶﾒｲ ﾕｳﾀ</t>
  </si>
  <si>
    <t>671-2531</t>
  </si>
  <si>
    <t>小林　奏汰</t>
  </si>
  <si>
    <t>ｺﾊﾞﾔｼ ｿｳﾀ</t>
  </si>
  <si>
    <t>橋本　佳奈</t>
  </si>
  <si>
    <t>ﾊｼﾓﾄ ｶﾅ</t>
  </si>
  <si>
    <t>小田　涼太郎</t>
  </si>
  <si>
    <t>ｵﾀﾞ ﾘｮｳﾀﾛｳ</t>
  </si>
  <si>
    <t>662-0893</t>
  </si>
  <si>
    <t xml:space="preserve">報徳学園　　　　　　　　　　　　　　　　                    </t>
  </si>
  <si>
    <t>島谷　琉生</t>
  </si>
  <si>
    <t>ｼﾏﾀﾆ ﾙｲ</t>
  </si>
  <si>
    <t>675-0131</t>
  </si>
  <si>
    <t xml:space="preserve">加古川西　　　　　　　　　　　　　　　　                    </t>
  </si>
  <si>
    <t>ＷＩＪＥＮＤＲＡ　ＰＡＴＡＢＥＤＩ　★</t>
  </si>
  <si>
    <t>ﾋﾞｼﾞｴｰﾝﾀﾞﾗ ﾊﾟﾀﾍﾞﾃﾞｨ ﾑﾊﾑﾃﾞｨﾗﾑﾗｹﾞ ｸﾘｾﾝﾀ</t>
  </si>
  <si>
    <t xml:space="preserve">海外　　　　　　　　　　　　　　　　　　                    </t>
  </si>
  <si>
    <t>ＡＲＡＣＨＣＨＩ　ＭＵＤＩＹＡＮＳＥＬ★</t>
  </si>
  <si>
    <t>ｱｰﾗｯﾁ ﾑﾃﾞｨﾔﾝｾﾗｰｹﾞ ｷｯｼｨﾘ ｸﾗﾜﾝｼｬ</t>
  </si>
  <si>
    <t>ＲＡＪＡＧＵＲＵ　ＭＵＤＩＹＡＮＳＥＬ★</t>
  </si>
  <si>
    <t>ﾗｼﾞｬｸﾞﾙ ﾑﾃﾞｨﾔﾝｾﾗｹﾞ ｽﾗｼﾞ ﾜﾙﾅ ﾊﾟﾗｻﾝﾅ ｻﾝﾄﾞﾝ</t>
  </si>
  <si>
    <t>658-0083</t>
  </si>
  <si>
    <t>ＳＵＮＮＡＴＯＶ　ＳＨＯＫＨＲＵＫＨＫ★</t>
  </si>
  <si>
    <t>ｽﾅﾄﾌ ｼｮﾌﾙﾌﾎﾝ ﾌﾞｽﾞﾙｸﾎﾝ ｳｸﾞﾘ</t>
  </si>
  <si>
    <t>657-0836</t>
  </si>
  <si>
    <t>ＨＴＥＴ　ＭＹＥＴ　ＨＥＩＮ　ＯＯ</t>
  </si>
  <si>
    <t>ﾃｯ ﾐｬｯ ﾍｲﾝ ｳｰ</t>
  </si>
  <si>
    <t>583-0014</t>
  </si>
  <si>
    <t xml:space="preserve">Ａｏｙａｍａ　Ｈｏｐｅ　Ａｃａｄｅｍｙ                     </t>
  </si>
  <si>
    <t>ＫＹＡＷ　ＮＹＡＮ　ＳＨＩＮ</t>
  </si>
  <si>
    <t>ﾁｮｰ ﾆｬﾝ ｼﾝ</t>
  </si>
  <si>
    <t>柴田　彩歩</t>
  </si>
  <si>
    <t>ｼﾊﾞﾀ ｻﾎ</t>
  </si>
  <si>
    <t>670-0983</t>
  </si>
  <si>
    <t>清水　秀人</t>
  </si>
  <si>
    <t>ｼﾐｽﾞ ｼｭｳﾄ</t>
  </si>
  <si>
    <t>678-0221</t>
  </si>
  <si>
    <t>藤原　凪汐</t>
  </si>
  <si>
    <t>ﾌｼﾞﾜﾗ ﾅｷﾞｻ</t>
  </si>
  <si>
    <t>679-1201</t>
  </si>
  <si>
    <t>北川　健生</t>
  </si>
  <si>
    <t>ｷﾀｶﾞﾜ ｹﾝｾｲ</t>
  </si>
  <si>
    <t>679-2322</t>
  </si>
  <si>
    <t>前田　和人</t>
  </si>
  <si>
    <t>ﾏｴﾀﾞ ｶｽﾞﾄ</t>
  </si>
  <si>
    <t>673-0031</t>
  </si>
  <si>
    <t>大西　彩翔</t>
  </si>
  <si>
    <t>ｵｵﾆｼ ｱｲﾄ</t>
  </si>
  <si>
    <t>669-3309</t>
  </si>
  <si>
    <t>矢野　彩星</t>
  </si>
  <si>
    <t>ﾔﾉ ｱﾔｾ</t>
  </si>
  <si>
    <t xml:space="preserve">医療秘書コース　　　　　　　　     </t>
  </si>
  <si>
    <t>山本　彩乃</t>
  </si>
  <si>
    <t>ﾔﾏﾓﾄ ｱﾔﾉ</t>
  </si>
  <si>
    <t>白川　聖</t>
  </si>
  <si>
    <t>ｼﾗｶﾜ ﾋｼﾞﾘ</t>
  </si>
  <si>
    <t>加門　陽大</t>
  </si>
  <si>
    <t>ｶﾓﾝ ﾊﾙﾄ</t>
  </si>
  <si>
    <t>井上　咲良</t>
  </si>
  <si>
    <t>ｲﾉｳｴ ｻｸﾗ</t>
  </si>
  <si>
    <t>673-0741</t>
  </si>
  <si>
    <t>陰山　瑛貴</t>
  </si>
  <si>
    <t>ｶｹﾞﾔﾏ ｴｲｷ</t>
  </si>
  <si>
    <t>675-0321</t>
  </si>
  <si>
    <t>保井　真</t>
  </si>
  <si>
    <t>ﾔｽｲ ﾏｺﾄ</t>
  </si>
  <si>
    <t>671-2552</t>
  </si>
  <si>
    <t>小深田　琴梨</t>
  </si>
  <si>
    <t>ｺﾌｶﾀ ｺﾄﾘ</t>
  </si>
  <si>
    <t>水戸川　悠羽</t>
  </si>
  <si>
    <t>ﾐﾄｶﾞﾜ ﾕｳ</t>
  </si>
  <si>
    <t>金森　愛菜</t>
  </si>
  <si>
    <t>ｶﾅﾓﾘ ﾏﾅ</t>
  </si>
  <si>
    <t>679-4021</t>
  </si>
  <si>
    <t>塩谷　尚久</t>
  </si>
  <si>
    <t>ｼｵﾀﾆ ﾅｵﾋｻ</t>
  </si>
  <si>
    <t>675-0034</t>
  </si>
  <si>
    <t>上元　柊</t>
  </si>
  <si>
    <t>ｳｴﾓﾄ ｼｭｳ</t>
  </si>
  <si>
    <t>松浦　真士</t>
  </si>
  <si>
    <t>ﾏﾂｳﾗ ｼﾝｼﾞ</t>
  </si>
  <si>
    <t>竹内　絢音</t>
  </si>
  <si>
    <t>ﾀｹｳﾁ ｱﾔﾈ</t>
  </si>
  <si>
    <t>675-2455</t>
  </si>
  <si>
    <t>宮平　大楽</t>
  </si>
  <si>
    <t>ﾐﾔﾋﾗ ｵｵﾗ</t>
  </si>
  <si>
    <t>760-0080</t>
  </si>
  <si>
    <t xml:space="preserve">高松西　　　　　　　　　　　　　　　　　                    </t>
  </si>
  <si>
    <t>四宮　空</t>
  </si>
  <si>
    <t>ｼﾉﾐﾔ ｿﾗ</t>
  </si>
  <si>
    <t>678-0232</t>
  </si>
  <si>
    <t>堀田　志穂</t>
  </si>
  <si>
    <t>ﾎﾘﾀ ｼﾎ</t>
  </si>
  <si>
    <t>當間　希望</t>
  </si>
  <si>
    <t>ﾄｳﾏ ﾉｿﾞﾐ</t>
  </si>
  <si>
    <t>小松　海仁</t>
  </si>
  <si>
    <t>ｺﾏﾂ ｶｲﾄ</t>
  </si>
  <si>
    <t>677-0052</t>
  </si>
  <si>
    <t>粟田　倫志</t>
  </si>
  <si>
    <t>ｱﾜﾀﾞ ﾋﾄｼ</t>
  </si>
  <si>
    <t>679-2316</t>
  </si>
  <si>
    <t>ＧＡＬＬＡＧＥ　ＰＡＳＩＮＤＵ★</t>
  </si>
  <si>
    <t>ｶﾞｰﾗｯｹﾞ ﾊﾟｼﾝﾄﾞ ﾃﾞｨﾙｼｬﾝ</t>
  </si>
  <si>
    <t xml:space="preserve">創智国際学院                                  </t>
  </si>
  <si>
    <t>中谷　夏菜</t>
  </si>
  <si>
    <t>ﾅｶﾀﾆ ｶﾅ</t>
  </si>
  <si>
    <t>675-0335</t>
  </si>
  <si>
    <t>髙橋　志有</t>
  </si>
  <si>
    <t>ﾀｶﾊｼ ｼｭｳ</t>
  </si>
  <si>
    <t>上野　斗真</t>
  </si>
  <si>
    <t>ｳｴﾉ ﾄｳﾏ</t>
  </si>
  <si>
    <t>671-2247</t>
  </si>
  <si>
    <t>庄坪　勇宙</t>
  </si>
  <si>
    <t>ｼｮｳﾂﾎﾞ ﾕｿﾗ</t>
  </si>
  <si>
    <t>670-0032</t>
  </si>
  <si>
    <t xml:space="preserve">福崎　　　　　　　　　　　　　　　　　　                    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</si>
  <si>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</si>
  <si>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</si>
  <si>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</si>
  <si>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</si>
  <si>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</si>
  <si>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</si>
  <si>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</si>
  <si>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</si>
  <si>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福永　悠介</t>
  </si>
  <si>
    <t>ﾌｸﾅｶﾞ ﾊﾙｷ</t>
  </si>
  <si>
    <t>西村　光平</t>
  </si>
  <si>
    <t>ﾆｼﾑﾗ ｺｳﾍｲ</t>
  </si>
  <si>
    <t>髙田　莉央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</si>
  <si>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</si>
  <si>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</si>
  <si>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</si>
  <si>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</si>
  <si>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</si>
  <si>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</si>
  <si>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</si>
  <si>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</si>
  <si>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</si>
  <si>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</si>
  <si>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</si>
  <si>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</si>
  <si>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</si>
  <si>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</si>
  <si>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</si>
  <si>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</si>
  <si>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</si>
  <si>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</si>
  <si>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</si>
  <si>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</si>
  <si>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信本　丈瑠</t>
  </si>
  <si>
    <t>ﾉﾌﾞﾓﾄ ﾀｹﾙ</t>
  </si>
  <si>
    <t>680-0811</t>
  </si>
  <si>
    <t xml:space="preserve">鳥取緑風（定時制）　　　　　　　　　　　                    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</si>
  <si>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</si>
  <si>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</si>
  <si>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</si>
  <si>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</si>
  <si>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</si>
  <si>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</si>
  <si>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</si>
  <si>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</si>
  <si>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</si>
  <si>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乃一　晃大</t>
  </si>
  <si>
    <t>ﾉｲﾁ ｺｳﾀﾞｲ</t>
  </si>
  <si>
    <t>671-0217</t>
  </si>
  <si>
    <t>一宮　壮汰</t>
  </si>
  <si>
    <t>ｲﾁﾐﾔ ｿｳﾀ</t>
  </si>
  <si>
    <t>尾﨑　優仁</t>
  </si>
  <si>
    <t>ｵｻｷ ﾕｳﾄ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</si>
  <si>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</si>
  <si>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</si>
  <si>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</si>
  <si>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</si>
  <si>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</si>
  <si>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</si>
  <si>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</si>
  <si>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髙橋　海音</t>
  </si>
  <si>
    <t>ﾀｶﾊｼ ｶｲﾄ</t>
  </si>
  <si>
    <t>大本　駿汰</t>
  </si>
  <si>
    <t>ｵｵﾓﾄ ｼｭﾝﾀ</t>
  </si>
  <si>
    <t>671-0102</t>
  </si>
  <si>
    <t>前野　聖陽</t>
  </si>
  <si>
    <t>ﾏｴﾉ ﾏｻｱｷ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</si>
  <si>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</si>
  <si>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</si>
  <si>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</si>
  <si>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</si>
  <si>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</si>
  <si>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</si>
  <si>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</si>
  <si>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</si>
  <si>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</si>
  <si>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尾上　創真</t>
  </si>
  <si>
    <t>ｵﾉｴ ｿｳﾏ</t>
  </si>
  <si>
    <t>藤戸　大輝</t>
  </si>
  <si>
    <t>ﾌｼﾞﾄ ﾋﾛｱｷ</t>
  </si>
  <si>
    <t>塚本　慶士</t>
  </si>
  <si>
    <t>ﾂｶﾓﾄ ｹｲｼ</t>
  </si>
  <si>
    <t>671-4123</t>
  </si>
  <si>
    <t>久保　美鈴</t>
  </si>
  <si>
    <t>ｸﾎﾞ ﾐｽｽﾞ</t>
  </si>
  <si>
    <t>671-4138</t>
  </si>
  <si>
    <t>大塩　香凜</t>
  </si>
  <si>
    <t>ｵｵｼｵ ｶﾘﾝ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</si>
  <si>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</si>
  <si>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</si>
  <si>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</si>
  <si>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</si>
  <si>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</si>
  <si>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</si>
  <si>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</si>
  <si>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</si>
  <si>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</si>
  <si>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</si>
  <si>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</si>
  <si>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</si>
  <si>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</si>
  <si>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</si>
  <si>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</si>
  <si>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</si>
  <si>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</si>
  <si>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</si>
  <si>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</si>
  <si>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</si>
  <si>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</si>
  <si>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</si>
  <si>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</si>
  <si>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</si>
  <si>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</si>
  <si>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</si>
  <si>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</si>
  <si>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</si>
  <si>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</si>
  <si>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</si>
  <si>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</si>
  <si>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</si>
  <si>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</si>
  <si>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</si>
  <si>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</si>
  <si>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黒木　嵩真</t>
  </si>
  <si>
    <t>ｸﾛｷﾞ ｼｭｳﾏ</t>
  </si>
  <si>
    <t>719-3144</t>
  </si>
  <si>
    <t xml:space="preserve">勝山　　　　　　　　　　　　　　　　　　                    </t>
  </si>
  <si>
    <t>松本　七虹</t>
  </si>
  <si>
    <t>ﾏﾂﾓﾄ ﾅﾅｺ</t>
  </si>
  <si>
    <t>草壁　靖太</t>
  </si>
  <si>
    <t>ｸｻｶﾍﾞ ｾｲﾀ</t>
  </si>
  <si>
    <t>679-2153</t>
  </si>
  <si>
    <t>粕谷　天翔</t>
  </si>
  <si>
    <t>ｶｽﾀﾆ ﾃﾝｼｮｳ</t>
  </si>
  <si>
    <t>671-4113</t>
  </si>
  <si>
    <t xml:space="preserve">天理　　　　　　　　　　　　　　　　　　                    </t>
  </si>
  <si>
    <t>高力　望央</t>
  </si>
  <si>
    <t>ﾀｶﾘｷ ﾐｵ</t>
  </si>
  <si>
    <t>横内　果菜</t>
  </si>
  <si>
    <t>ﾖｺｳﾁ ｶﾅ</t>
  </si>
  <si>
    <t>ＴＲＡＮ　ＨＵＹＮＨ　Ｙ　ＮＨＵ</t>
  </si>
  <si>
    <t>ﾄﾗﾝ ﾌｨﾝ ｲ ﾆｭ</t>
  </si>
  <si>
    <t>670-0822</t>
  </si>
  <si>
    <t>小椋　優利亜</t>
  </si>
  <si>
    <t>ｵｸﾞﾗ ﾕﾘｱ</t>
  </si>
  <si>
    <t>宗重　光紀</t>
  </si>
  <si>
    <t>ﾑﾈｼｹﾞ ﾐﾂｷ</t>
  </si>
  <si>
    <t>679-4304</t>
  </si>
  <si>
    <t>小沢　かれん</t>
  </si>
  <si>
    <t>ｵｻﾞﾜ ｶﾚﾝ</t>
  </si>
  <si>
    <t>673-0875</t>
  </si>
  <si>
    <t xml:space="preserve">明誠（通信制）　　　　　　　　　　　　　                    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</si>
  <si>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</si>
  <si>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</si>
  <si>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</si>
  <si>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</si>
  <si>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</si>
  <si>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</si>
  <si>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</si>
  <si>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</si>
  <si>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</si>
  <si>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</si>
  <si>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</si>
  <si>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</si>
  <si>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</si>
  <si>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</si>
  <si>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</si>
  <si>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674-0051</t>
  </si>
  <si>
    <t>加納　杏菜</t>
  </si>
  <si>
    <t>ｶﾉｳ ｱﾝﾅ</t>
  </si>
  <si>
    <t>富　未菜</t>
  </si>
  <si>
    <t>ﾄﾐ ﾐﾅ</t>
  </si>
  <si>
    <t>木村　緋菜</t>
  </si>
  <si>
    <t>ｷﾑﾗ ﾋﾅ</t>
  </si>
  <si>
    <t>679-5531</t>
  </si>
  <si>
    <t>中安　きらり</t>
  </si>
  <si>
    <t>ﾅｶﾔｽ ｷﾗﾘ</t>
  </si>
  <si>
    <t>安永　柊也</t>
  </si>
  <si>
    <t>ﾔｽﾅｶﾞ ｼｭｳﾔ</t>
  </si>
  <si>
    <t>松下　ねね</t>
  </si>
  <si>
    <t>ﾏﾂｼﾀ ﾈﾈ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</si>
  <si>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</si>
  <si>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</si>
  <si>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</si>
  <si>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</si>
  <si>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</si>
  <si>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</si>
  <si>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庭田　美愛</t>
  </si>
  <si>
    <t>ﾆﾜﾀ ﾐｲﾅ</t>
  </si>
  <si>
    <t>671-1234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</si>
  <si>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</si>
  <si>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</si>
  <si>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</si>
  <si>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</si>
  <si>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</si>
  <si>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</si>
  <si>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</si>
  <si>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</si>
  <si>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</si>
  <si>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</si>
  <si>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</si>
  <si>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</si>
  <si>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</si>
  <si>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</si>
  <si>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</si>
  <si>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</si>
  <si>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</si>
  <si>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</si>
  <si>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松野　健一朗</t>
  </si>
  <si>
    <t>ﾏﾂﾉ ｹﾝｲﾁﾛｳ</t>
  </si>
  <si>
    <t>北澤　美風</t>
  </si>
  <si>
    <t>ｷﾀｻﾞﾜ ﾐｶｾﾞ</t>
  </si>
  <si>
    <t>678-0011</t>
  </si>
  <si>
    <t>幸田　琉希</t>
  </si>
  <si>
    <t>ｺｳﾀﾞ ﾙｷ</t>
  </si>
  <si>
    <t xml:space="preserve">ＮＨＫ学園                                   </t>
  </si>
  <si>
    <t xml:space="preserve">東京      </t>
  </si>
  <si>
    <t>妻鹿　羚愛</t>
  </si>
  <si>
    <t>ﾒｶﾞ ﾚｲﾄ</t>
  </si>
  <si>
    <t>671-1255</t>
  </si>
  <si>
    <t>三村　豊和</t>
  </si>
  <si>
    <t>ﾐﾑﾗ ﾄﾖｶｽﾞ</t>
  </si>
  <si>
    <t>宮内　汰史</t>
  </si>
  <si>
    <t>ﾐﾔｳﾁ ﾀｲｼ</t>
  </si>
  <si>
    <t>山下　颯真</t>
  </si>
  <si>
    <t>ﾔﾏｼﾀ ｿｳﾏ</t>
  </si>
  <si>
    <t>橘　佑奈</t>
  </si>
  <si>
    <t>ﾀﾁﾊﾞﾅ ﾕﾅ</t>
  </si>
  <si>
    <t>梶　珀斗</t>
  </si>
  <si>
    <t>ｶｼﾞ ﾊｸﾄ</t>
  </si>
  <si>
    <t>678-0236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</si>
  <si>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</si>
  <si>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</si>
  <si>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</si>
  <si>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</si>
  <si>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</si>
  <si>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</si>
  <si>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</si>
  <si>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藤井　継豊</t>
  </si>
  <si>
    <t>ﾌｼﾞｲ ｹｲﾄ</t>
  </si>
  <si>
    <t>060-0008</t>
  </si>
  <si>
    <t xml:space="preserve">北海道 </t>
  </si>
  <si>
    <t xml:space="preserve">道立        </t>
  </si>
  <si>
    <t xml:space="preserve">札幌西陵　　　　　　　　　　　　　　　　                    </t>
  </si>
  <si>
    <t>松永　昌奈</t>
  </si>
  <si>
    <t>ﾏﾂﾅｶﾞ ｱｷﾅ</t>
  </si>
  <si>
    <t>168-0073</t>
  </si>
  <si>
    <t xml:space="preserve">東京都 </t>
  </si>
  <si>
    <t xml:space="preserve">星槎国際高等学校　大阪学習センター                       </t>
  </si>
  <si>
    <t>大槻　優治</t>
  </si>
  <si>
    <t>ｵｵﾂｷ ﾏｻﾊﾙ</t>
  </si>
  <si>
    <t>小谷　思稀</t>
  </si>
  <si>
    <t>ｺﾀﾆ ｼﾂﾞｷ</t>
  </si>
  <si>
    <t>669-5244</t>
  </si>
  <si>
    <t>三和　柊輝</t>
  </si>
  <si>
    <t>ﾐﾜ ｼｭｳｷ</t>
  </si>
  <si>
    <t>岡　和花</t>
  </si>
  <si>
    <t>ｵｶ ﾎﾉｶ</t>
  </si>
  <si>
    <t>671-3233</t>
  </si>
  <si>
    <t>永田　琳瑚</t>
  </si>
  <si>
    <t>ﾅｶﾞﾀ ﾘﾝｺﾞ</t>
  </si>
  <si>
    <t>津留見　大翔</t>
  </si>
  <si>
    <t>ﾂﾙﾐ ﾄﾜ</t>
  </si>
  <si>
    <t>673-0436</t>
  </si>
  <si>
    <t>田中　陽向斗</t>
  </si>
  <si>
    <t>ﾀﾅｶ ﾋﾅﾄ</t>
  </si>
  <si>
    <t>671-1253</t>
  </si>
  <si>
    <t>中瀬　富賀</t>
  </si>
  <si>
    <t>ﾅｶｾ ﾌｳｶﾞ</t>
  </si>
  <si>
    <t>671-1662</t>
  </si>
  <si>
    <t>池田　結</t>
  </si>
  <si>
    <t>ｲｹﾀﾞ ﾕｲ</t>
  </si>
  <si>
    <t>大西　悠仁</t>
  </si>
  <si>
    <t>ｵｵﾆｼ ﾕｳﾄ</t>
  </si>
  <si>
    <t>673-0435</t>
  </si>
  <si>
    <t>玉田　奏太</t>
  </si>
  <si>
    <t>ﾀﾏﾀﾞ ｶﾅﾀ</t>
  </si>
  <si>
    <t>679-2422</t>
  </si>
  <si>
    <t>高田　瑠心</t>
  </si>
  <si>
    <t>ﾀｶﾀ ﾘｭｳｼﾝ</t>
  </si>
  <si>
    <t>木下　涼太</t>
  </si>
  <si>
    <t>ｷﾉｼﾀ ﾘｮｳﾀ</t>
  </si>
  <si>
    <t>670-0061</t>
  </si>
  <si>
    <t>中井　嘉人</t>
  </si>
  <si>
    <t>ﾅｶｲ ﾖｼﾄ</t>
  </si>
  <si>
    <t>669-6822</t>
  </si>
  <si>
    <t>大西　未来翔</t>
  </si>
  <si>
    <t>ｵｵﾆｼ ﾐｸﾄ</t>
  </si>
  <si>
    <t>670-0955</t>
  </si>
  <si>
    <t>油谷　梨央</t>
  </si>
  <si>
    <t>ｱﾌﾞﾗﾀﾆ ﾘｵ</t>
  </si>
  <si>
    <t>672-8062</t>
  </si>
  <si>
    <t>太田　至音</t>
  </si>
  <si>
    <t>ｵｵﾀ ｼｵﾝ</t>
  </si>
  <si>
    <t>679-3302</t>
  </si>
  <si>
    <t>山内　勇斗</t>
  </si>
  <si>
    <t>ﾔﾏｳﾁ ﾕｳﾄ</t>
  </si>
  <si>
    <t>667-0011</t>
  </si>
  <si>
    <t xml:space="preserve">ＥＣＣ国際外語専門学校日本語学科                        </t>
  </si>
  <si>
    <t>石丸　朝陽</t>
  </si>
  <si>
    <t>ｲｼﾏﾙ ｱｻﾋ</t>
  </si>
  <si>
    <t>671-2216</t>
  </si>
  <si>
    <t>上原　刀哉</t>
  </si>
  <si>
    <t>ｳｴﾊﾗ ﾄｳﾔ</t>
  </si>
  <si>
    <t>676-0812</t>
  </si>
  <si>
    <t xml:space="preserve">代々木高等学校                                 </t>
  </si>
  <si>
    <t>木村　眞凛</t>
  </si>
  <si>
    <t>ｷﾑﾗ ﾏﾘﾝ</t>
  </si>
  <si>
    <t>藤川　悠汰</t>
  </si>
  <si>
    <t>ﾌｼﾞｶﾜ ﾕｳﾀ</t>
  </si>
  <si>
    <t>北田　花穂</t>
  </si>
  <si>
    <t>ｷﾀﾀﾞ ｶﾎ</t>
  </si>
  <si>
    <t>670-0075</t>
  </si>
  <si>
    <t>後藤　峻</t>
  </si>
  <si>
    <t>ｺﾞﾄｳ ｼｭﾝ</t>
  </si>
  <si>
    <t>671-2564</t>
  </si>
  <si>
    <t>西山　明衣</t>
  </si>
  <si>
    <t>ﾆｼﾔﾏ ｱｷｴ</t>
  </si>
  <si>
    <t>679-4143</t>
  </si>
  <si>
    <t>小林　陽太</t>
  </si>
  <si>
    <t>ｺﾊﾞﾔｼ ﾖｳﾀ</t>
  </si>
  <si>
    <t>P</t>
  </si>
  <si>
    <t>ＳＵ　ＨＬＡＩＮＧ　ＰＨＹＯ</t>
  </si>
  <si>
    <t>ｽ ﾗｲﾝ ﾋﾟｮｳ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</si>
  <si>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</si>
  <si>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</si>
  <si>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</si>
  <si>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</si>
  <si>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</si>
  <si>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</si>
  <si>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ＨＴＥＴ　ＡＵＮＧ　ＫＨＡＩＮＧ</t>
  </si>
  <si>
    <t>ﾃｯﾄ ｱｳｰ ｶｲ</t>
  </si>
  <si>
    <t>杉本　羽奏</t>
  </si>
  <si>
    <t>ｽｷﾞﾓﾄ ﾜｶﾅ</t>
  </si>
  <si>
    <t>670-0063</t>
  </si>
  <si>
    <t>衣笠　虎徹</t>
  </si>
  <si>
    <t>ｷﾇｶﾞｻ ｺﾃﾂ</t>
  </si>
  <si>
    <t>671-2533</t>
  </si>
  <si>
    <t>宇久　花音</t>
  </si>
  <si>
    <t>ｳｸ ｶﾉﾝ</t>
  </si>
  <si>
    <t>678-0081</t>
  </si>
  <si>
    <t>白子　亜佑美</t>
  </si>
  <si>
    <t>ﾊｸｼ ｱﾕﾐ</t>
  </si>
  <si>
    <t xml:space="preserve">高松中央（通信制）　　　　　　　　　　　　　　　　               </t>
  </si>
  <si>
    <t>秋山　幸輝</t>
  </si>
  <si>
    <t>ｱｷﾔﾏ ｺｳｷ</t>
  </si>
  <si>
    <t>653-0822</t>
  </si>
  <si>
    <t>H09</t>
  </si>
  <si>
    <t>4ﾑ</t>
  </si>
  <si>
    <t xml:space="preserve">税理士専攻Ａコース　　　　　　     </t>
  </si>
  <si>
    <t>専攻科税理士系</t>
  </si>
  <si>
    <t xml:space="preserve">長田商業（定時制）　　　　　　　　　　　                    </t>
  </si>
  <si>
    <t>石原　寧々</t>
  </si>
  <si>
    <t>ｲｼﾊﾗ ﾈﾈ</t>
  </si>
  <si>
    <t>650-0011</t>
  </si>
  <si>
    <t>BF</t>
  </si>
  <si>
    <t xml:space="preserve">税理士専攻コース　　　　　　　     </t>
  </si>
  <si>
    <t>H</t>
  </si>
  <si>
    <t xml:space="preserve">葺合　　　　　　　　　　　　　　　　　　                    </t>
  </si>
  <si>
    <t>三井　虎太郎</t>
  </si>
  <si>
    <t>ﾐﾂｲ ｺﾀﾛｳ</t>
  </si>
  <si>
    <t>651-1103</t>
  </si>
  <si>
    <t>藤岡　衣咲</t>
  </si>
  <si>
    <t>ﾌｼﾞｵｶ ｲｻｷ</t>
  </si>
  <si>
    <t>673-0423</t>
  </si>
  <si>
    <t>V</t>
  </si>
  <si>
    <t>中村　慶太</t>
  </si>
  <si>
    <t>ﾅｶﾑﾗ ｹｲﾀ</t>
  </si>
  <si>
    <t>658-0015</t>
  </si>
  <si>
    <t>福田　悠叶</t>
  </si>
  <si>
    <t>ﾌｸﾀﾞ ﾕｳﾄ</t>
  </si>
  <si>
    <t>篠原　百々花</t>
  </si>
  <si>
    <t>ｼﾉﾊﾗ ﾓﾓｶ</t>
  </si>
  <si>
    <t>山本　涼晴</t>
  </si>
  <si>
    <t>ﾔﾏﾓﾄ ｽｽﾞﾊ</t>
  </si>
  <si>
    <t>671-0122</t>
  </si>
  <si>
    <t>北山　世尚</t>
  </si>
  <si>
    <t>ｷﾀﾔﾏ ｾﾅ</t>
  </si>
  <si>
    <t>675-1359</t>
  </si>
  <si>
    <t>谷口　依武紀</t>
  </si>
  <si>
    <t>ﾀﾆｸﾞﾁ ｲﾌﾞｷ</t>
  </si>
  <si>
    <t>緒方　瑛信</t>
  </si>
  <si>
    <t>ｵｶﾞﾀ ｴｲｼﾝ</t>
  </si>
  <si>
    <t>654-0103</t>
  </si>
  <si>
    <t>藤井　陽菜</t>
  </si>
  <si>
    <t>ﾌｼﾞｲ ﾋﾅ</t>
  </si>
  <si>
    <t>679-0221</t>
  </si>
  <si>
    <t>山本　拓実</t>
  </si>
  <si>
    <t>ﾔﾏﾓﾄ ﾀｸﾐ</t>
  </si>
  <si>
    <t>C</t>
  </si>
  <si>
    <t>藤𠩤　翼</t>
  </si>
  <si>
    <t>ﾌｼﾞﾜﾗ ﾂﾊﾞｻ</t>
  </si>
  <si>
    <t>651-2311</t>
  </si>
  <si>
    <t>神田　美宙</t>
  </si>
  <si>
    <t>ｶﾝﾀﾞ ﾐﾕ</t>
  </si>
  <si>
    <t>655-0882</t>
  </si>
  <si>
    <t>中塚　雪乃</t>
  </si>
  <si>
    <t>ﾅｶﾂｶ ﾕｷﾉ</t>
  </si>
  <si>
    <t>655-0892</t>
  </si>
  <si>
    <t>神吉　颯之介</t>
  </si>
  <si>
    <t>ｶﾝｷ ｿｳﾉｽｹ</t>
  </si>
  <si>
    <t>673-0442</t>
  </si>
  <si>
    <t xml:space="preserve">警察官・消防官コース　　　　　     </t>
  </si>
  <si>
    <t>専攻科公務員系</t>
  </si>
  <si>
    <t>川濱　圭佑</t>
  </si>
  <si>
    <t>ｶﾜﾊﾏ ｹｲｽｹ</t>
  </si>
  <si>
    <t>667-1105</t>
  </si>
  <si>
    <t>小林　桜介</t>
  </si>
  <si>
    <t>ｺﾊﾞﾔｼ ｵｳｽｹ</t>
  </si>
  <si>
    <t>625-0070</t>
  </si>
  <si>
    <t xml:space="preserve">西舞鶴　　　　　　　　　　　　　　　　　     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</si>
  <si>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</si>
  <si>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</si>
  <si>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</si>
  <si>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</si>
  <si>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</si>
  <si>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</si>
  <si>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</si>
  <si>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651-1332</t>
  </si>
  <si>
    <t>髙須加　愛</t>
  </si>
  <si>
    <t>ﾀｶｽｶ ｱｲ</t>
  </si>
  <si>
    <t>654-0132</t>
  </si>
  <si>
    <t xml:space="preserve">オフィスビジネス専攻コース       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</si>
  <si>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</si>
  <si>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</si>
  <si>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</si>
  <si>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</si>
  <si>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</si>
  <si>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</si>
  <si>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レ　イェン　ニィ</t>
  </si>
  <si>
    <t>ﾚ ｲｪﾝ ﾆｨ</t>
  </si>
  <si>
    <t>671-0253</t>
  </si>
  <si>
    <t>1Q</t>
  </si>
  <si>
    <t>シワコティ　ディペス</t>
  </si>
  <si>
    <t>ｼﾜｺﾃｨ ﾃﾞｨﾍﾟｽ</t>
  </si>
  <si>
    <t>ガハ　ビバシュ</t>
  </si>
  <si>
    <t>ｶﾞﾊ ﾋﾞﾊﾞｼｭ</t>
  </si>
  <si>
    <t xml:space="preserve">国際コミュニケーション（スタンダード） </t>
  </si>
  <si>
    <t xml:space="preserve">日本語学院みらい                                </t>
  </si>
  <si>
    <t>ズオン　クアン　フイ</t>
  </si>
  <si>
    <t>ｽﾞｵﾝ ｸｱﾝ ﾌｲ</t>
  </si>
  <si>
    <t>676-0827</t>
  </si>
  <si>
    <t xml:space="preserve">Ｎｅｓｔ２１日本語学院                             </t>
  </si>
  <si>
    <t>ロカヤ　ラクシュミ　クマリ</t>
  </si>
  <si>
    <t>ﾛｶﾔ ﾗｸｼｭﾐ ｸﾏﾘ</t>
  </si>
  <si>
    <t>メイ　ジン　トウ</t>
  </si>
  <si>
    <t>ﾒｲ ｼﾞﾝ ﾄｳ</t>
  </si>
  <si>
    <t>651-0093</t>
  </si>
  <si>
    <t>グエン　ティ　キム　クイ</t>
  </si>
  <si>
    <t>ｸﾞｴﾝ ﾃｨ ｷﾑ ｸｲ</t>
  </si>
  <si>
    <t>650-0017</t>
  </si>
  <si>
    <t xml:space="preserve">五島日本語学校                                 </t>
  </si>
  <si>
    <t>ホサン　アズマイン</t>
  </si>
  <si>
    <t>ﾎｻﾝ ｱｽﾞﾏｲﾝ</t>
  </si>
  <si>
    <t>650-0003</t>
  </si>
  <si>
    <t>ミム　シャキラ　アクタル</t>
  </si>
  <si>
    <t>ﾐﾑ ｼｬｷﾗ ｱｸﾀﾙ</t>
  </si>
  <si>
    <t>イスラム　エムディ　トリクル</t>
  </si>
  <si>
    <t>ｲｽﾗﾑ ｴﾑﾃﾞｨ ﾄﾘｸﾙ</t>
  </si>
  <si>
    <t>661-0981</t>
  </si>
  <si>
    <t xml:space="preserve">大阪観光大学日本語別科伊丹サテライト校                     </t>
  </si>
  <si>
    <t>フィン　ヴァン　クオン</t>
  </si>
  <si>
    <t>ﾌｨﾝ ｳﾞｧﾝ ｸｵﾝ</t>
  </si>
  <si>
    <t>チャン　トゥイ　ティエン</t>
  </si>
  <si>
    <t>ﾁｬﾝ ﾄｩｲ ﾃｨｴﾝ</t>
  </si>
  <si>
    <t>124-0002</t>
  </si>
  <si>
    <t xml:space="preserve">城東日本語学校                                 </t>
  </si>
  <si>
    <t>サン　トゥン　アウン</t>
  </si>
  <si>
    <t>ｻﾝ ﾄｩﾝ ｱｳﾝ</t>
  </si>
  <si>
    <t xml:space="preserve">神戸東洋日本語学院                               </t>
  </si>
  <si>
    <t>ワルナクラスーリヤ　ドゥラカラ　サスミタ</t>
  </si>
  <si>
    <t>ﾜﾙﾅｸﾗｽｰﾘﾔ ﾄﾞｩﾗｶﾗ ｻｽﾐﾀ</t>
  </si>
  <si>
    <t xml:space="preserve">神戸ＫＲ学院                                  </t>
  </si>
  <si>
    <t>タパ　クリサ</t>
  </si>
  <si>
    <t>ﾀﾊﾟ ｸﾘｻ</t>
  </si>
  <si>
    <t>577-0015</t>
  </si>
  <si>
    <t xml:space="preserve">大阪ニューポイント日本語学校                          </t>
  </si>
  <si>
    <t>チャウダリ　ドゥルガ　クマリ</t>
  </si>
  <si>
    <t>ﾁｬｳﾀﾞﾘ ﾄﾞｩﾙｶﾞ ｸﾏﾘ</t>
  </si>
  <si>
    <t>557-0014</t>
  </si>
  <si>
    <t xml:space="preserve">ＩＳＩランゲージスクール大阪校                         </t>
  </si>
  <si>
    <t>シュレスタ　スバス</t>
  </si>
  <si>
    <t>ｼｭﾚｽﾀ ｽﾊﾞｽ</t>
  </si>
  <si>
    <t>545-0021</t>
  </si>
  <si>
    <t>ギシン　サンギタ</t>
  </si>
  <si>
    <t>ｷﾞｼﾝ ｻﾝｷﾞﾀ</t>
  </si>
  <si>
    <t>537-0025</t>
  </si>
  <si>
    <t>ムディヤリ　アーラティ</t>
  </si>
  <si>
    <t>ﾑﾃﾞｨﾔﾘ ｱｰﾗﾃｨ</t>
  </si>
  <si>
    <t>バヤク　ラメシュ　クマル</t>
  </si>
  <si>
    <t>ﾊﾞﾔｸ ﾗﾒｼｭ ｸﾏﾙ</t>
  </si>
  <si>
    <t>657-0844</t>
  </si>
  <si>
    <t xml:space="preserve">秀明神戸国際学院                                </t>
  </si>
  <si>
    <t>シャルマ　ポウデル　ユリナ</t>
  </si>
  <si>
    <t>ｼｬﾙﾏ ﾎﾟｳﾃﾞﾙ ﾕﾘﾅ</t>
  </si>
  <si>
    <t>657-0824</t>
  </si>
  <si>
    <t>ラマ　サンジャヤ</t>
  </si>
  <si>
    <t>ﾗﾏ ｻﾝｼﾞｬﾔ</t>
  </si>
  <si>
    <t>657-0052</t>
  </si>
  <si>
    <t>アラファト　エムディ</t>
  </si>
  <si>
    <t>ｱﾗﾌｧﾄ ｴﾑﾃﾞｨ</t>
  </si>
  <si>
    <t>422-8057</t>
  </si>
  <si>
    <t xml:space="preserve">静岡県 </t>
  </si>
  <si>
    <t xml:space="preserve">国際ことば学院日本語学校                            </t>
  </si>
  <si>
    <t xml:space="preserve">静岡      </t>
  </si>
  <si>
    <t>ラマ　プラビク</t>
  </si>
  <si>
    <t>ﾗﾏ ﾌﾟﾗﾋﾞｸ</t>
  </si>
  <si>
    <t>657-0036</t>
  </si>
  <si>
    <t>パイン　ゼイ　ウ―</t>
  </si>
  <si>
    <t>ﾊﾟｲﾝ ｾﾞｲ ｳｰ</t>
  </si>
  <si>
    <t xml:space="preserve">富藤外国語学院                                 </t>
  </si>
  <si>
    <t>ガルシンゲ　デパナドゥラゲ　カウシャル</t>
  </si>
  <si>
    <t>ｶﾞﾙｼﾝｹﾞ ﾃﾞﾊﾟﾅﾄﾞｩﾗｹﾞ ｶｳｼｬﾙ ｻﾝｸﾞｶﾙﾏ</t>
  </si>
  <si>
    <t>652-0823</t>
  </si>
  <si>
    <t xml:space="preserve">アリスト外語学院                                </t>
  </si>
  <si>
    <t>イスラム　エムディ　アミヌル</t>
  </si>
  <si>
    <t>ｲｽﾗﾑ ｴﾑﾃﾞｨ ｱﾐﾇﾙ</t>
  </si>
  <si>
    <t>651-0079</t>
  </si>
  <si>
    <t xml:space="preserve">春日日本語学院                                 </t>
  </si>
  <si>
    <t>トー　ダー　ミンミン</t>
  </si>
  <si>
    <t>ﾄｰ ﾀﾞｰ ﾐﾝﾐﾝ</t>
  </si>
  <si>
    <t>653-0004</t>
  </si>
  <si>
    <t xml:space="preserve">国際語学学院                                  </t>
  </si>
  <si>
    <t>ディムドン　ラメス</t>
  </si>
  <si>
    <t>ﾃﾞｨﾑﾄﾞﾝ ﾗﾒｽ</t>
  </si>
  <si>
    <t>658-0041</t>
  </si>
  <si>
    <t>シュレスタ　スサン</t>
  </si>
  <si>
    <t>ｼｭﾚｽﾀ ｽｻﾝ</t>
  </si>
  <si>
    <t>エパーシンハ　ムデヤンセーラーゲ</t>
  </si>
  <si>
    <t>ｴﾊﾟｰｼﾝﾊ ﾑﾃﾞﾔﾝｾｰﾗｰｹﾞ ｸﾑﾄｳ</t>
  </si>
  <si>
    <t>545-0011</t>
  </si>
  <si>
    <t xml:space="preserve">ヒューマンアカデミー日本語学校神戸校                      </t>
  </si>
  <si>
    <t>シンガン　クッティラゲ　イマルカ</t>
  </si>
  <si>
    <t>ｼﾝｶﾞﾝ ｸｯﾃｨﾗｹﾞ ｲﾏﾙｶ ﾗｸｼｬﾝ</t>
  </si>
  <si>
    <t>657-0042</t>
  </si>
  <si>
    <t>スナール　アクシャ</t>
  </si>
  <si>
    <t>ｽﾅｰﾙ ｱｸｼｬ</t>
  </si>
  <si>
    <t>ディムドン　プラビン</t>
  </si>
  <si>
    <t>ﾃﾞｨﾑﾄﾞﾝ ﾌﾟﾗﾋﾞﾝ</t>
  </si>
  <si>
    <t>ウェイ　ピョ　アウン</t>
  </si>
  <si>
    <t>ｳｪｲ ﾋﾟｮ ｱｳﾝ</t>
  </si>
  <si>
    <t>マーラシンハグー　ラキドゥ　サンカルパ</t>
  </si>
  <si>
    <t>ﾏｰﾗｼﾝﾊｸﾞｰ ﾗｷﾄﾞｩ ｻﾝｶﾙﾊﾟ ﾀﾞﾔｰﾗﾄﾅ</t>
  </si>
  <si>
    <t>652-0008</t>
  </si>
  <si>
    <t>ウィン　トウ</t>
  </si>
  <si>
    <t>ｳｨﾝ ﾄｳ</t>
  </si>
  <si>
    <t>661-0961</t>
  </si>
  <si>
    <t xml:space="preserve">アジアンインターナショナルセンター                       </t>
  </si>
  <si>
    <t>ナン　ウィン　ダンダ　エー</t>
  </si>
  <si>
    <t>ﾅﾝ ｳｨﾝ ﾀﾞﾝﾀﾞ ｴｰ</t>
  </si>
  <si>
    <t>661-0011</t>
  </si>
  <si>
    <t>タパ　サザナ</t>
  </si>
  <si>
    <t>ﾀﾊﾟ ｻｻﾞﾅ</t>
  </si>
  <si>
    <t>652-0805</t>
  </si>
  <si>
    <t>アベシンゲ　ムディヤンセラゲ　シャリカ</t>
  </si>
  <si>
    <t>ｱﾍﾞｼﾝｹﾞ ﾑﾃﾞｨﾔﾝｾﾗｹﾞ ｼｬﾘｶ ﾙﾜﾝﾃｨ ｽﾛﾁｬﾅ</t>
  </si>
  <si>
    <t>657-0053</t>
  </si>
  <si>
    <t xml:space="preserve">京進ランゲージアカデミー神戸校                         </t>
  </si>
  <si>
    <t>ハンニ　トー</t>
  </si>
  <si>
    <t>ﾊﾝﾆ ﾄｰ</t>
  </si>
  <si>
    <t>652-0033</t>
  </si>
  <si>
    <t>パラジュリ　ディーパ</t>
  </si>
  <si>
    <t>ﾊﾟﾗｼﾞｭﾘ ﾃﾞｨｰﾊﾟ</t>
  </si>
  <si>
    <t>544-0014</t>
  </si>
  <si>
    <t xml:space="preserve">ひまわり大阪日本語学園                             </t>
  </si>
  <si>
    <t>アハメド　ジョバエル</t>
  </si>
  <si>
    <t>ｱﾊﾒﾄﾞ ｼﾞｮﾊﾞｴﾙ</t>
  </si>
  <si>
    <t>535-0003</t>
  </si>
  <si>
    <t xml:space="preserve">ワン・パーパス国際学院                             </t>
  </si>
  <si>
    <t>アラウッディン　エムディ</t>
  </si>
  <si>
    <t>ｱﾗｳｯﾃﾞｨﾝ ｴﾑﾃﾞｨ</t>
  </si>
  <si>
    <t>カナル　プジャ</t>
  </si>
  <si>
    <t>ｶﾅﾙ ﾌﾟｼﾞｬ</t>
  </si>
  <si>
    <t>544-0001</t>
  </si>
  <si>
    <t xml:space="preserve">日生日本語学園大阪本校                             </t>
  </si>
  <si>
    <t>シャヒ　サレンドラ</t>
  </si>
  <si>
    <t>ｼｬﾋ ｻﾚﾝﾄﾞﾗ</t>
  </si>
  <si>
    <t>544-0003</t>
  </si>
  <si>
    <t>バンダリ　プラビン</t>
  </si>
  <si>
    <t>ﾊﾞﾝﾀﾞﾘ ﾌﾟﾗﾋﾞﾝ</t>
  </si>
  <si>
    <t>544-0002</t>
  </si>
  <si>
    <t>ラナ　マガル　ディリップ</t>
  </si>
  <si>
    <t>ﾗﾅ ﾏｶﾞﾙ ﾃﾞｨﾘｯﾌﾟ</t>
  </si>
  <si>
    <t>557-0061</t>
  </si>
  <si>
    <t xml:space="preserve">近畿日本語学院                                 </t>
  </si>
  <si>
    <t>ラナ　マノジ</t>
  </si>
  <si>
    <t>ﾗﾅ ﾏﾉｼﾞ</t>
  </si>
  <si>
    <t>ウィックラマシンハ　アラチラゲ</t>
  </si>
  <si>
    <t>ｳｨｯｸﾗﾏｼﾝﾊ ｱﾗﾁﾗｹﾞ ﾗｳﾞｨﾝﾄﾞｩ</t>
  </si>
  <si>
    <t>シャモル　エムディー　チャウモン　ハサン</t>
  </si>
  <si>
    <t>ｼｬﾓﾙ ｴﾑﾃﾞｨｰ ﾁｬｳﾓﾝ ﾊｻﾝ</t>
  </si>
  <si>
    <t xml:space="preserve">神戸国際大学経済学部国際別科                          </t>
  </si>
  <si>
    <t>タパ　チェトリ　パルバティ</t>
  </si>
  <si>
    <t>ﾀﾊﾟ ﾁｪﾄﾘ ﾊﾟﾙﾊﾞﾃｨ</t>
  </si>
  <si>
    <t>870-0036</t>
  </si>
  <si>
    <t xml:space="preserve">大分県 </t>
  </si>
  <si>
    <t xml:space="preserve">明日香日本語学校                                </t>
  </si>
  <si>
    <t xml:space="preserve">大分      </t>
  </si>
  <si>
    <t>チャン　ティ　タイン　タオ</t>
  </si>
  <si>
    <t>ﾁｬﾝ ﾃｨ ﾀｲﾝ ﾀｵ</t>
  </si>
  <si>
    <t>543-0053</t>
  </si>
  <si>
    <t xml:space="preserve">メリック日本語学校                               </t>
  </si>
  <si>
    <t>グルン　サビナ</t>
  </si>
  <si>
    <t>ｸﾞﾙﾝ ｻﾋﾞﾅ</t>
  </si>
  <si>
    <t>657-0834</t>
  </si>
  <si>
    <t>ビケ　スニタ</t>
  </si>
  <si>
    <t>ﾋﾞｹ ｽﾆﾀ</t>
  </si>
  <si>
    <t>ロカ　ニサ</t>
  </si>
  <si>
    <t>ﾛｶ ﾆｻ</t>
  </si>
  <si>
    <t>ヌェイ　ヌェイ　ライン</t>
  </si>
  <si>
    <t>ﾇｪｲ ﾇｪｲ ﾗｲﾝ</t>
  </si>
  <si>
    <t>651-0087</t>
  </si>
  <si>
    <t>ラミチェネ　サミタブ</t>
  </si>
  <si>
    <t>ﾗﾐﾁｪﾈ ｻﾐﾀﾌﾞ</t>
  </si>
  <si>
    <t>556-0024</t>
  </si>
  <si>
    <t xml:space="preserve">ヒューマンアカデミー日本語学校大阪校                      </t>
  </si>
  <si>
    <t>ラタナヤカ　ムディヤンセラーゲ　ネルム</t>
  </si>
  <si>
    <t>ﾗﾀﾅﾔｶ ﾑﾃﾞｨﾔﾝｾﾗｰｹﾞ ﾈﾙﾑ ｽｼﾞｬﾆ ﾗﾀﾅﾔｶ</t>
  </si>
  <si>
    <t>550-0025</t>
  </si>
  <si>
    <t>ダンガハデニヤ　ウェダゲ　シェハン</t>
  </si>
  <si>
    <t>ﾀﾞﾝｶﾞﾊﾃﾞﾆﾔ ｳｪﾀﾞｹﾞ ｼｪﾊﾝ ﾏﾄﾞｩｻﾝｶ</t>
  </si>
  <si>
    <t>スンダラ　ムディヤンセラゲ　メワン</t>
  </si>
  <si>
    <t>ｽﾝﾃﾞﾗ ﾑﾃﾞｨﾔﾝｾﾗｹﾞ ﾒﾜﾝ ﾃｰﾐﾔ ﾊﾞﾝﾀﾞﾗ</t>
  </si>
  <si>
    <t>カンワル　モニカ　クマリ</t>
  </si>
  <si>
    <t>ｶﾝﾜﾙ ﾓﾆｶ ｸﾏﾘ</t>
  </si>
  <si>
    <t>556-0023</t>
  </si>
  <si>
    <t xml:space="preserve">ＡＫＫ文化学院                                 </t>
  </si>
  <si>
    <t>ブジェル　スマン</t>
  </si>
  <si>
    <t>ﾌﾞｼﾞｪﾙ ｽﾏﾝ</t>
  </si>
  <si>
    <t>リア　サミヤ　アクター</t>
  </si>
  <si>
    <t>ﾘｱ ｻﾐﾔ ｱｸﾀｰ</t>
  </si>
  <si>
    <t>653-0036</t>
  </si>
  <si>
    <t>チャン　ミン　クアン</t>
  </si>
  <si>
    <t>ﾁｬﾝ ﾐﾝ ｸｱﾝ</t>
  </si>
  <si>
    <t>ケシ　アシス</t>
  </si>
  <si>
    <t>ｹｼ ｱｼｽ</t>
  </si>
  <si>
    <t>カレル　アミット</t>
  </si>
  <si>
    <t>ｶﾚﾙ ｱﾐｯﾄ</t>
  </si>
  <si>
    <t>サプコタ　サビタ</t>
  </si>
  <si>
    <t>ｻﾌﾟｺﾀ ｻﾋﾞﾀ</t>
  </si>
  <si>
    <t>557-0031</t>
  </si>
  <si>
    <t>シュレスタ　ビマル</t>
  </si>
  <si>
    <t>ｼｭﾚｽﾀ ﾋﾞﾏﾙ</t>
  </si>
  <si>
    <t>557-0034</t>
  </si>
  <si>
    <t>メイ　ミャッ　トゥ</t>
  </si>
  <si>
    <t>ﾒｲ ﾐｬｯ ﾄｩ</t>
  </si>
  <si>
    <t>シャミム　エムディ―</t>
  </si>
  <si>
    <t>ｼｬﾐﾑ ｴﾑﾃﾞｨｰ</t>
  </si>
  <si>
    <t>664-0858</t>
  </si>
  <si>
    <t>タレク　エムディ</t>
  </si>
  <si>
    <t>ﾀﾚｸ ｴﾑﾃﾞｨ</t>
  </si>
  <si>
    <t>ニェイン　チャン　アウン</t>
  </si>
  <si>
    <t>ﾆｪｲﾝ ﾁｬﾝ ｱｳﾝ</t>
  </si>
  <si>
    <t>ラナ　エムディ　ユスフ</t>
  </si>
  <si>
    <t>ﾗﾅ ｴﾑﾃﾞｨ ﾕｽﾌ</t>
  </si>
  <si>
    <t>557-0025</t>
  </si>
  <si>
    <t xml:space="preserve">大阪観光ビジネス日本語学院                           </t>
  </si>
  <si>
    <t>謝　宗翰</t>
  </si>
  <si>
    <t>ｼｬ ｼｭｳｶﾝ</t>
  </si>
  <si>
    <t>557-0021</t>
  </si>
  <si>
    <t>メイ　キー　ティン</t>
  </si>
  <si>
    <t>ﾒｲ ｷｰ ﾃｨﾝ</t>
  </si>
  <si>
    <t>582-0026</t>
  </si>
  <si>
    <t xml:space="preserve">南大阪国際語学学校                               </t>
  </si>
  <si>
    <t>ヘラス　ムディヤンセラゲ　ナディーシャ</t>
  </si>
  <si>
    <t>ﾍﾗｽ ﾑﾃﾞｨﾔﾝｾﾗｹﾞ ﾅﾃﾞｨｰｼｬ ｸﾏﾘ ｼﾞｬﾔﾗﾄﾅ</t>
  </si>
  <si>
    <t>590-0927</t>
  </si>
  <si>
    <t>アハメド　フォイエ</t>
  </si>
  <si>
    <t>ｱﾊﾒﾄﾞ ﾌｫｲｴ</t>
  </si>
  <si>
    <t>652-0801</t>
  </si>
  <si>
    <t>ボ　ボ　ハン</t>
  </si>
  <si>
    <t>ﾎﾞ ﾎﾞ ﾊﾝ</t>
  </si>
  <si>
    <t>ス　リ　ヤィー　ニィン</t>
  </si>
  <si>
    <t>ｽ ﾘ ﾔｨｰ ﾆｨﾝ</t>
  </si>
  <si>
    <t>テッ　テッ　ウィン</t>
  </si>
  <si>
    <t>ﾃｯ ﾃｯ ｳｨﾝ</t>
  </si>
  <si>
    <t>ウィ　ジン　ヌエ</t>
  </si>
  <si>
    <t>ｳｨ ｼﾞﾝ ﾇｴ</t>
  </si>
  <si>
    <t>藤岡　澪桜</t>
  </si>
  <si>
    <t>ﾌｼﾞｵｶ ﾐｵ</t>
  </si>
  <si>
    <t>676-0068</t>
  </si>
  <si>
    <t>二俣　宇宙</t>
  </si>
  <si>
    <t>ﾌﾀﾏﾀ ｿﾗ</t>
  </si>
  <si>
    <t>隈元　涼太</t>
  </si>
  <si>
    <t>ｸﾏﾓﾄ ﾘｮｳﾀ</t>
  </si>
  <si>
    <t>森井　柊斗</t>
  </si>
  <si>
    <t>ﾓﾘｲ ｼｭｳﾄ</t>
  </si>
  <si>
    <t>山木　美優</t>
  </si>
  <si>
    <t>ﾔﾏｷ ﾐﾕｳ</t>
  </si>
  <si>
    <t>長尾　龍希</t>
  </si>
  <si>
    <t>ﾅｶﾞｵ ﾀﾂｷ</t>
  </si>
  <si>
    <t>土居　空雅</t>
  </si>
  <si>
    <t>ﾄﾞｲ ｸｳｶﾞ</t>
  </si>
  <si>
    <t xml:space="preserve">藤井学園寒川　　　　　　　　　　　　　　                    </t>
  </si>
  <si>
    <t>松﨑　莉央</t>
  </si>
  <si>
    <t>ﾏﾂｻﾞｷ ﾘｵ</t>
  </si>
  <si>
    <t>深谷　琉世</t>
  </si>
  <si>
    <t>ﾌｶﾔ ﾘｭｳｾｲ</t>
  </si>
  <si>
    <t>674-0061</t>
  </si>
  <si>
    <t xml:space="preserve">大阪偕星学園                                  </t>
  </si>
  <si>
    <t>長野　涼音</t>
  </si>
  <si>
    <t>ﾅｶﾞﾉ ﾘﾝ</t>
  </si>
  <si>
    <t>比嘉　わかな</t>
  </si>
  <si>
    <t>ﾋｶﾞ ﾜｶﾅ</t>
  </si>
  <si>
    <t>907-0013</t>
  </si>
  <si>
    <t xml:space="preserve">八重山　　　　　　　　　　　　　　　　　                    </t>
  </si>
  <si>
    <t>藤田　樹</t>
  </si>
  <si>
    <t>ﾌｼﾞﾀ ﾀﾂｷ</t>
  </si>
  <si>
    <t>651-1312</t>
  </si>
  <si>
    <t>道筆　蓮</t>
  </si>
  <si>
    <t>ﾐﾁﾌﾃﾞ ﾚﾝ</t>
  </si>
  <si>
    <t>655-0043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</si>
  <si>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</si>
  <si>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</si>
  <si>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</si>
  <si>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</si>
  <si>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</si>
  <si>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</si>
  <si>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池田　京右</t>
  </si>
  <si>
    <t>ｲｹﾀﾞ ｷｮｳｽｹ</t>
  </si>
  <si>
    <t>古市　兼佑</t>
  </si>
  <si>
    <t>ﾌﾙｲﾁ ｹﾝﾕｳ</t>
  </si>
  <si>
    <t>657-0043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</si>
  <si>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</si>
  <si>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</si>
  <si>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</si>
  <si>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</si>
  <si>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</si>
  <si>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</si>
  <si>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</si>
  <si>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</si>
  <si>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</si>
  <si>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</si>
  <si>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</si>
  <si>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</si>
  <si>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</si>
  <si>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</si>
  <si>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秋田　優雅</t>
  </si>
  <si>
    <t>ｱｷﾀ ﾕｳｶﾞ</t>
  </si>
  <si>
    <t>781-0112</t>
  </si>
  <si>
    <t xml:space="preserve">土佐　　　　　　　　　　　　　　　　　　                    </t>
  </si>
  <si>
    <t>藤尾　悠翔</t>
  </si>
  <si>
    <t>ﾌｼﾞｵ ﾕｳﾄ</t>
  </si>
  <si>
    <t>廣岡　利季</t>
  </si>
  <si>
    <t>ﾋﾛｵｶ ﾘｷ</t>
  </si>
  <si>
    <t xml:space="preserve">第一学院高等学校神戸キャンパス                         </t>
  </si>
  <si>
    <t>坂根　貫太</t>
  </si>
  <si>
    <t>ｻｶﾈ ｶﾝﾀ</t>
  </si>
  <si>
    <t>919-2386</t>
  </si>
  <si>
    <t xml:space="preserve">代々木・志摩夏草本校（通信制）                         </t>
  </si>
  <si>
    <t xml:space="preserve">三重      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</si>
  <si>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</si>
  <si>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</si>
  <si>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</si>
  <si>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</si>
  <si>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</si>
  <si>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</si>
  <si>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 xml:space="preserve">津名　　　　　　　　　　　　　　　　　　                    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</si>
  <si>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</si>
  <si>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</si>
  <si>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</si>
  <si>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</si>
  <si>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</si>
  <si>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</si>
  <si>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</si>
  <si>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</si>
  <si>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</si>
  <si>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</si>
  <si>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</si>
  <si>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</si>
  <si>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</si>
  <si>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</si>
  <si>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</si>
  <si>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髙田　稜生</t>
  </si>
  <si>
    <t>ﾀｶﾀﾞ ｲｽﾞｷ</t>
  </si>
  <si>
    <t>中貝　嘉音</t>
  </si>
  <si>
    <t>ﾅｶｶﾞｲ ｶﾉﾝ</t>
  </si>
  <si>
    <t>中山　直忠</t>
  </si>
  <si>
    <t>ﾅｶﾔﾏ ﾅｵﾀﾀﾞ</t>
  </si>
  <si>
    <t>674-0072</t>
  </si>
  <si>
    <t>菅原　杏佳</t>
  </si>
  <si>
    <t>ｽｶﾞﾜﾗ ｷｮｳｶ</t>
  </si>
  <si>
    <t>角　万吉</t>
  </si>
  <si>
    <t>ｽﾐ ﾏﾝｷﾁ</t>
  </si>
  <si>
    <t>673-0016</t>
  </si>
  <si>
    <t>武方　優星</t>
  </si>
  <si>
    <t>ﾀｹｶﾀ ﾕｳｾ</t>
  </si>
  <si>
    <t>653-0827</t>
  </si>
  <si>
    <t>角野　光太</t>
  </si>
  <si>
    <t>ｶﾄﾞﾉ ｺｳﾀ</t>
  </si>
  <si>
    <t>近石　駿輔</t>
  </si>
  <si>
    <t>ﾁｶｲｼ ｼｭﾝｽｹ</t>
  </si>
  <si>
    <t>653-0882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</si>
  <si>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</si>
  <si>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</si>
  <si>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</si>
  <si>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</si>
  <si>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</si>
  <si>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</si>
  <si>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</si>
  <si>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</si>
  <si>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</si>
  <si>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</si>
  <si>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</si>
  <si>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</si>
  <si>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岡田　伊織</t>
  </si>
  <si>
    <t>ｵｶﾀﾞ ｲｵﾘ</t>
  </si>
  <si>
    <t xml:space="preserve">西宮甲山　　　　　　　　　　　　　　　　                    </t>
  </si>
  <si>
    <t>林　郁吹</t>
  </si>
  <si>
    <t>ﾊﾔｼ ｲﾌﾞｷ</t>
  </si>
  <si>
    <t>662-0845</t>
  </si>
  <si>
    <t>清川　愛理</t>
  </si>
  <si>
    <t>ｷﾖｶﾜ ｱｲﾘ</t>
  </si>
  <si>
    <t>三浦　のあ</t>
  </si>
  <si>
    <t>ﾐｳﾗ ﾉｱ</t>
  </si>
  <si>
    <t>651-0057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</si>
  <si>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</si>
  <si>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</si>
  <si>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</si>
  <si>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</si>
  <si>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</si>
  <si>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</si>
  <si>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</si>
  <si>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</si>
  <si>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</si>
  <si>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</si>
  <si>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 xml:space="preserve">真庭                                      </t>
  </si>
  <si>
    <t>鈴木　頼生</t>
  </si>
  <si>
    <t>ｽｽﾞｷ ﾗｲｷ</t>
  </si>
  <si>
    <t>651-2412</t>
  </si>
  <si>
    <t>藤原　有志</t>
  </si>
  <si>
    <t>ﾌｼﾞﾜﾗ ﾕｳｼ</t>
  </si>
  <si>
    <t>673-0049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</si>
  <si>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</si>
  <si>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</si>
  <si>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</si>
  <si>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</si>
  <si>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</si>
  <si>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</si>
  <si>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</si>
  <si>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秦野　佑真</t>
  </si>
  <si>
    <t>ﾊﾀﾉ ﾕｳﾏ</t>
  </si>
  <si>
    <t>稲継　力斗</t>
  </si>
  <si>
    <t>ｲﾅﾂｷﾞ ﾘｷﾄ</t>
  </si>
  <si>
    <t>669-3464</t>
  </si>
  <si>
    <t>北村　優希</t>
  </si>
  <si>
    <t>ｷﾀﾑﾗ ﾕｳｷ</t>
  </si>
  <si>
    <t>時　敦志</t>
  </si>
  <si>
    <t>ﾄｷ ｱﾂｼ</t>
  </si>
  <si>
    <t>652-0803</t>
  </si>
  <si>
    <t>今井　海惺</t>
  </si>
  <si>
    <t>ｲﾏｲ ｶｲｾｲ</t>
  </si>
  <si>
    <t>651-2104</t>
  </si>
  <si>
    <t>宇坂　舜平</t>
  </si>
  <si>
    <t>ｳｻｶ ｼｭﾝﾍﾟｲ</t>
  </si>
  <si>
    <t>上林　凌太</t>
  </si>
  <si>
    <t>ｳｴﾊﾞﾔｼ ﾘｮｳﾀ</t>
  </si>
  <si>
    <t>656-2401</t>
  </si>
  <si>
    <t>上領　将矢</t>
  </si>
  <si>
    <t>ｶﾐﾘｮｳ ｼｮｳﾔ</t>
  </si>
  <si>
    <t>小豆　晄真</t>
  </si>
  <si>
    <t>ｱｽﾞｷ ｺｳﾏ</t>
  </si>
  <si>
    <t>669-2414</t>
  </si>
  <si>
    <t xml:space="preserve">篠山鳳鳴　　　　　　　　　　　　　　　　                    </t>
  </si>
  <si>
    <t>遠山　直希</t>
  </si>
  <si>
    <t>ﾄｵﾔﾏ ﾅｵｷ</t>
  </si>
  <si>
    <t>654-0067</t>
  </si>
  <si>
    <t>松井　華蓮</t>
  </si>
  <si>
    <t>ﾏﾂｲ ｶﾚﾝ</t>
  </si>
  <si>
    <t>石黒　留依</t>
  </si>
  <si>
    <t>ｲｼｸﾞﾛ ﾙｲ</t>
  </si>
  <si>
    <t>678-0243</t>
  </si>
  <si>
    <t>小倉　優</t>
  </si>
  <si>
    <t>ｵｸﾞﾗ ﾕｳ</t>
  </si>
  <si>
    <t>656-0053</t>
  </si>
  <si>
    <t>近藤　匠真</t>
  </si>
  <si>
    <t>ｺﾝﾄﾞｳ ﾀｸﾏ</t>
  </si>
  <si>
    <t>稲田　生汰</t>
  </si>
  <si>
    <t>ｲﾅﾀﾞ ｼｮｳﾀ</t>
  </si>
  <si>
    <t>横山　颯馬</t>
  </si>
  <si>
    <t>ﾖｺﾔﾏ ｿｳﾏ</t>
  </si>
  <si>
    <t>松山　龍之介</t>
  </si>
  <si>
    <t>ﾏﾂﾔﾏ ﾘｭｳﾉｽｹ</t>
  </si>
  <si>
    <t>細見　ひなた</t>
  </si>
  <si>
    <t>ﾎｿﾐ ﾋﾅﾀ</t>
  </si>
  <si>
    <t>濵田　香寿</t>
  </si>
  <si>
    <t>ﾊﾏﾀﾞ ｶﾝｼﾞｭ</t>
  </si>
  <si>
    <t>中尾　凰之介</t>
  </si>
  <si>
    <t>ﾅｶｵ ｺｳﾉｽｹ</t>
  </si>
  <si>
    <t>651-1412</t>
  </si>
  <si>
    <t>中　隼斗</t>
  </si>
  <si>
    <t>ﾅｶ ﾊﾔﾄ</t>
  </si>
  <si>
    <t>891-7101</t>
  </si>
  <si>
    <t>鹿児島県</t>
  </si>
  <si>
    <t xml:space="preserve">徳之島　　　　　　　　　　　　　　　　　                    </t>
  </si>
  <si>
    <t>浅井　結衣</t>
  </si>
  <si>
    <t>ｱｻｲ ﾕｲ</t>
  </si>
  <si>
    <t>651-2217</t>
  </si>
  <si>
    <t xml:space="preserve">精華学園（通信制）                               </t>
  </si>
  <si>
    <t xml:space="preserve">山口      </t>
  </si>
  <si>
    <t>山田　玲奈</t>
  </si>
  <si>
    <t>ﾔﾏﾀﾞ ﾚﾅ</t>
  </si>
  <si>
    <t>658-0013</t>
  </si>
  <si>
    <t>窪田　譲</t>
  </si>
  <si>
    <t>ｸﾎﾞﾀ ﾕｽﾞﾙ</t>
  </si>
  <si>
    <t>杉野　葉琉</t>
  </si>
  <si>
    <t>ｽｷﾞﾉ ﾊﾙ</t>
  </si>
  <si>
    <t>651-2243</t>
  </si>
  <si>
    <t>小西　柊摩</t>
  </si>
  <si>
    <t>ｺﾆｼ ｼｭｳﾏ</t>
  </si>
  <si>
    <t>668-0854</t>
  </si>
  <si>
    <t>小長谷　暖</t>
  </si>
  <si>
    <t>ｵﾊﾞｾ ﾊﾙ</t>
  </si>
  <si>
    <t>西尾　勇人</t>
  </si>
  <si>
    <t>ﾆｼｵ ﾕｳﾄ</t>
  </si>
  <si>
    <t>669-1132</t>
  </si>
  <si>
    <t xml:space="preserve">宝塚西　　　　　　　　　　　　　　　　　                    </t>
  </si>
  <si>
    <t>破魔　希咲愛</t>
  </si>
  <si>
    <t>ﾊﾏ ｷｻﾗ</t>
  </si>
  <si>
    <t>グェン　トゥン　ダット</t>
  </si>
  <si>
    <t>ｸﾞｪﾝ ﾄｩﾝ ﾀﾞｯﾄ</t>
  </si>
  <si>
    <t>築山　奏音</t>
  </si>
  <si>
    <t>ﾂｷﾔﾏ ｶﾅﾄ</t>
  </si>
  <si>
    <t>655-0051</t>
  </si>
  <si>
    <t>北村　征大</t>
  </si>
  <si>
    <t>ｷﾀﾑﾗ ｾｲﾀ</t>
  </si>
  <si>
    <t>663-8035</t>
  </si>
  <si>
    <t>栂野　颯天</t>
  </si>
  <si>
    <t>ﾄｶﾞﾉ ｿｳﾏ</t>
  </si>
  <si>
    <t>651-1313</t>
  </si>
  <si>
    <t>住野　友哉</t>
  </si>
  <si>
    <t>ｽﾐﾉ ﾕｳﾔ</t>
  </si>
  <si>
    <t>勝原　楓</t>
  </si>
  <si>
    <t>ｶﾂﾊﾗ ｶｴﾃﾞ</t>
  </si>
  <si>
    <t>680-0074</t>
  </si>
  <si>
    <t xml:space="preserve">鳥取商業　　　　　　　　　　　　　　　　                    </t>
  </si>
  <si>
    <t>森上　晄太</t>
  </si>
  <si>
    <t>ﾓﾘｶﾐ ｺｳﾀ</t>
  </si>
  <si>
    <t>田村　咲汰郎</t>
  </si>
  <si>
    <t>ﾀﾑﾗ ｻｸﾀﾛｳ</t>
  </si>
  <si>
    <t>680-0024</t>
  </si>
  <si>
    <t xml:space="preserve">鳥取東　　　　　　　　　　　　　　　　　                    </t>
  </si>
  <si>
    <t>尾方　琥貴</t>
  </si>
  <si>
    <t>ｵｶﾞﾀ ｺｳｷ</t>
  </si>
  <si>
    <t>藤田　莞爾</t>
  </si>
  <si>
    <t>ﾌｼﾞﾀ ｶﾝｼﾞ</t>
  </si>
  <si>
    <t>669-1321</t>
  </si>
  <si>
    <t>宮本　汰地</t>
  </si>
  <si>
    <t>ﾐﾔﾓﾄ ﾀｲﾁ</t>
  </si>
  <si>
    <t>林田　将人</t>
  </si>
  <si>
    <t>ﾊﾔｼﾀﾞ ﾏｻﾄ</t>
  </si>
  <si>
    <t>福田　光希</t>
  </si>
  <si>
    <t>ﾌｸﾀﾞ ﾐﾂｷ</t>
  </si>
  <si>
    <t>三木　啓瑚</t>
  </si>
  <si>
    <t>ﾐｷ ｹﾝｺﾞ</t>
  </si>
  <si>
    <t>石原　涼真</t>
  </si>
  <si>
    <t>ｲｼﾊﾗ ﾘｮｳﾏ</t>
  </si>
  <si>
    <t>651-2244</t>
  </si>
  <si>
    <t>井原　輝人</t>
  </si>
  <si>
    <t>ｲﾊﾗ ﾃﾙﾋﾄ</t>
  </si>
  <si>
    <t>辻　初音</t>
  </si>
  <si>
    <t>ﾂｼﾞ ｼｵﾝ</t>
  </si>
  <si>
    <t>657-0841</t>
  </si>
  <si>
    <t>藤本　奏翔</t>
  </si>
  <si>
    <t>ﾌｼﾞﾓﾄ ｶﾅﾄ</t>
  </si>
  <si>
    <t>奥田　蓮</t>
  </si>
  <si>
    <t>ｵｸﾀﾞ ﾚﾝ</t>
  </si>
  <si>
    <t>656-2223</t>
  </si>
  <si>
    <t>奥井　魁人</t>
  </si>
  <si>
    <t>ｵｸｲ ｶｲﾄ</t>
  </si>
  <si>
    <t>656-2311</t>
  </si>
  <si>
    <t>藤井　庸司</t>
  </si>
  <si>
    <t>ﾌｼﾞｲ ﾖｳｼﾞ</t>
  </si>
  <si>
    <t>荒川　晴翔</t>
  </si>
  <si>
    <t>ｱﾗｶﾜ ﾊﾙﾄ</t>
  </si>
  <si>
    <t>656-2163</t>
  </si>
  <si>
    <t>井上　明日香</t>
  </si>
  <si>
    <t>ｲﾉｳｴ ｱｽｶ</t>
  </si>
  <si>
    <t>岡本　唯</t>
  </si>
  <si>
    <t>ｵｶﾓﾄ ﾕｲ</t>
  </si>
  <si>
    <t>652-0812</t>
  </si>
  <si>
    <t>辻　琉乃</t>
  </si>
  <si>
    <t>ﾂｼﾞ ﾙﾉ</t>
  </si>
  <si>
    <t>651-2304</t>
  </si>
  <si>
    <t>最相　青空</t>
  </si>
  <si>
    <t>ｻｲｿｳ ｿﾗ</t>
  </si>
  <si>
    <t>654-0021</t>
  </si>
  <si>
    <t xml:space="preserve">N高等学校　江坂キャンパス                           </t>
  </si>
  <si>
    <t>藤元　亮太</t>
  </si>
  <si>
    <t>ﾌｼﾞﾓﾄ ﾘｮｳﾀ</t>
  </si>
  <si>
    <t>坂口　真寛</t>
  </si>
  <si>
    <t>ｻｶｸﾞﾁ ﾏﾋﾛ</t>
  </si>
  <si>
    <t>坂本　野々華</t>
  </si>
  <si>
    <t>ｻｶﾓﾄ ﾉﾉｶ</t>
  </si>
  <si>
    <t>林　陽和莉</t>
  </si>
  <si>
    <t>ﾊﾔｼ ﾋﾖﾘ</t>
  </si>
  <si>
    <t>野中　明日香</t>
  </si>
  <si>
    <t>ﾉﾅｶ ｱｽｶ</t>
  </si>
  <si>
    <t>栁瀬　晄大</t>
  </si>
  <si>
    <t>ﾔﾅｾ ｺｳﾀﾞｲ</t>
  </si>
  <si>
    <t>石川　瑠莉</t>
  </si>
  <si>
    <t>ｲｼｶﾜ ﾙﾘ</t>
  </si>
  <si>
    <t>藤田　遥希</t>
  </si>
  <si>
    <t>ﾌｼﾞﾀ ﾊﾙｷ</t>
  </si>
  <si>
    <t>675-1331</t>
  </si>
  <si>
    <t>上田　真那佳</t>
  </si>
  <si>
    <t>ｳｴﾀﾞ ﾏﾅｶ</t>
  </si>
  <si>
    <t>松田　菜那</t>
  </si>
  <si>
    <t>ﾏﾂﾀﾞ ﾅﾅ</t>
  </si>
  <si>
    <t>木梨　杏香</t>
  </si>
  <si>
    <t>ｷﾅｼ ｷｮｳｶ</t>
  </si>
  <si>
    <t>675-0113</t>
  </si>
  <si>
    <t>福井　涼史</t>
  </si>
  <si>
    <t>ﾌｸｲ ﾘｮｳｼﾞ</t>
  </si>
  <si>
    <t>木村　遙花</t>
  </si>
  <si>
    <t>ｷﾑﾗ ﾊﾙｶ</t>
  </si>
  <si>
    <t>657-0041</t>
  </si>
  <si>
    <t>井上　由紀乃</t>
  </si>
  <si>
    <t>ｲﾉｳｴ ﾕｷﾉ</t>
  </si>
  <si>
    <t>665-0812</t>
  </si>
  <si>
    <t>中田　光星</t>
  </si>
  <si>
    <t>ﾅｶﾀ ｺｳｾｲ</t>
  </si>
  <si>
    <t>篠田　岳郎</t>
  </si>
  <si>
    <t>ｼﾉﾀﾞ ﾀｹﾛｳ</t>
  </si>
  <si>
    <t>森田　一輝</t>
  </si>
  <si>
    <t>ﾓﾘﾀ ｶｽﾞｷ</t>
  </si>
  <si>
    <t>古田　捷翔</t>
  </si>
  <si>
    <t>ﾌﾙﾀ ﾊﾔﾄ</t>
  </si>
  <si>
    <t>652-0046</t>
  </si>
  <si>
    <t>赤澤　幸奈</t>
  </si>
  <si>
    <t>ｱｶｻﾞﾜ ﾕｷﾅ</t>
  </si>
  <si>
    <t>651-0083</t>
  </si>
  <si>
    <t xml:space="preserve">徳島文理　　　　　　　　　　　　　　　　                    </t>
  </si>
  <si>
    <t>森下　凜奈</t>
  </si>
  <si>
    <t>ﾓﾘｼﾀ ﾘﾝﾅ</t>
  </si>
  <si>
    <t>671-2570</t>
  </si>
  <si>
    <t>大濱　実紗</t>
  </si>
  <si>
    <t>ｵｵﾊﾏ ﾐｻ</t>
  </si>
  <si>
    <t>656-0471</t>
  </si>
  <si>
    <t>山本　晃</t>
  </si>
  <si>
    <t>ﾔﾏﾓﾄ ﾋｶﾙ</t>
  </si>
  <si>
    <t>小西　統</t>
  </si>
  <si>
    <t>ｺﾆｼ ﾚｲﾝ</t>
  </si>
  <si>
    <t>鈴木　好乃</t>
  </si>
  <si>
    <t>ｽｽﾞｷ ﾖｼﾉ</t>
  </si>
  <si>
    <t>182-0024</t>
  </si>
  <si>
    <t xml:space="preserve">甲斐清和                                    </t>
  </si>
  <si>
    <t>松山　実結</t>
  </si>
  <si>
    <t>ﾏﾂﾔﾏ ﾐﾕ</t>
  </si>
  <si>
    <t>891-9301</t>
  </si>
  <si>
    <t xml:space="preserve">ルネサンス豊田                                 </t>
  </si>
  <si>
    <t xml:space="preserve">愛知      </t>
  </si>
  <si>
    <t>横山　彪桜</t>
  </si>
  <si>
    <t>ﾖｺﾔﾏ ﾋｵｳ</t>
  </si>
  <si>
    <t>荻野　塁</t>
  </si>
  <si>
    <t>ｵｷﾞﾉ ﾙｲ</t>
  </si>
  <si>
    <t>669-3163</t>
  </si>
  <si>
    <t>G</t>
  </si>
  <si>
    <t>前山　大輝</t>
  </si>
  <si>
    <t>ﾏｴﾔﾏ ﾀﾞｲｷ</t>
  </si>
  <si>
    <t>商　磊</t>
  </si>
  <si>
    <t>ｼｮｳ ﾗｲ</t>
  </si>
  <si>
    <t>662-0922</t>
  </si>
  <si>
    <t xml:space="preserve">神戸国際語言学院                                </t>
  </si>
  <si>
    <t>ＷＡＩ　ＺＩＮ　ＯＯ</t>
  </si>
  <si>
    <t>ﾜｪｲ ｼﾞﾝ ｳｰ</t>
  </si>
  <si>
    <t>510-0092</t>
  </si>
  <si>
    <t xml:space="preserve">三重県 </t>
  </si>
  <si>
    <t>SWE　ZIN　NYEIN　AYE</t>
  </si>
  <si>
    <t>ｼｭｴ ｼﾞﾝ ﾆｪｲﾝ ｴｲ</t>
  </si>
  <si>
    <t>652-0837</t>
  </si>
  <si>
    <t>NGO　THI　XUAN　THU</t>
  </si>
  <si>
    <t>ｺﾞ ﾃｨ ｽｱﾝ ﾄｳ</t>
  </si>
  <si>
    <t xml:space="preserve">神戸住吉国際日本語学校                             </t>
  </si>
  <si>
    <t>佐々木　さくら</t>
  </si>
  <si>
    <t>ｻｻｷ ｻｸﾗ</t>
  </si>
  <si>
    <t>675-1309</t>
  </si>
  <si>
    <t>野村　奈未</t>
  </si>
  <si>
    <t>ﾉﾑﾗ ﾅﾐ</t>
  </si>
  <si>
    <t>白山　由和</t>
  </si>
  <si>
    <t>ｼﾗﾔﾏ ﾕｳﾜ</t>
  </si>
  <si>
    <t>655-0006</t>
  </si>
  <si>
    <t>田中　梨玖斗</t>
  </si>
  <si>
    <t>ﾀﾅｶ ﾘｸﾄ</t>
  </si>
  <si>
    <t>藤原　朱雀</t>
  </si>
  <si>
    <t>ﾌｼﾞﾜﾗ ｽｻﾞｸ</t>
  </si>
  <si>
    <t>近藤　拓友</t>
  </si>
  <si>
    <t>ｺﾝﾄﾞｳ ﾀｸﾄ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</si>
  <si>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</si>
  <si>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</si>
  <si>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</si>
  <si>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</si>
  <si>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</si>
  <si>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</si>
  <si>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</si>
  <si>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</si>
  <si>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藤原　冴那</t>
  </si>
  <si>
    <t>ﾌｼﾞﾜﾗ ｻﾅ</t>
  </si>
  <si>
    <t>675-0051</t>
  </si>
  <si>
    <t xml:space="preserve">Ｆ．Ｓ．播磨西高等学院                             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</si>
  <si>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</si>
  <si>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</si>
  <si>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</si>
  <si>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</si>
  <si>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</si>
  <si>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</si>
  <si>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</si>
  <si>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</si>
  <si>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</si>
  <si>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</si>
  <si>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</si>
  <si>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</si>
  <si>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</si>
  <si>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</si>
  <si>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</si>
  <si>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</si>
  <si>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 xml:space="preserve">スポーツ＆公務員コース         </t>
  </si>
  <si>
    <t>佐藤　杏菜</t>
  </si>
  <si>
    <t>ｻﾄｳ ｱﾝﾅ</t>
  </si>
  <si>
    <t>671-1643</t>
  </si>
  <si>
    <t>本多　志帆</t>
  </si>
  <si>
    <t>ﾎﾝﾀﾞ ｼﾎ</t>
  </si>
  <si>
    <t>山田　和士</t>
  </si>
  <si>
    <t>ﾔﾏﾀﾞ ｶｽﾞｼ</t>
  </si>
  <si>
    <t xml:space="preserve">神戸国際　　　　　　　　　　　　　　　　                    </t>
  </si>
  <si>
    <t>今井　美来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</si>
  <si>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</si>
  <si>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</si>
  <si>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</si>
  <si>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</si>
  <si>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</si>
  <si>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</si>
  <si>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中谷　留依</t>
  </si>
  <si>
    <t>ﾅｶﾀﾆ ﾙｲ</t>
  </si>
  <si>
    <t>原田　夕輝</t>
  </si>
  <si>
    <t>ﾊﾗﾀﾞ ﾕｳｷ</t>
  </si>
  <si>
    <t>654-0026</t>
  </si>
  <si>
    <t>辻　うらら</t>
  </si>
  <si>
    <t>ﾂｼﾞ ｳﾗﾗ</t>
  </si>
  <si>
    <t>松本　航</t>
  </si>
  <si>
    <t>ﾏﾂﾓﾄ ﾜﾀﾙ</t>
  </si>
  <si>
    <t>669-6701</t>
  </si>
  <si>
    <t>青山　桃果</t>
  </si>
  <si>
    <t>ｱｵﾔﾏ ﾓﾓｶ</t>
  </si>
  <si>
    <t>重本　全</t>
  </si>
  <si>
    <t>ｼｹﾞﾓﾄ ｾﾞﾝ</t>
  </si>
  <si>
    <t>669-6831</t>
  </si>
  <si>
    <t>捫垣　怜翔</t>
  </si>
  <si>
    <t>ﾈｼﾞｶﾞｷ ﾚﾝﾄ</t>
  </si>
  <si>
    <t>磯﨑　心華</t>
  </si>
  <si>
    <t>ｲｿｻﾞｷ ｺｺｶ</t>
  </si>
  <si>
    <t xml:space="preserve">英明　　　　　　　　　　　　　　　　　　                    </t>
  </si>
  <si>
    <t>尾﨑　柊斗</t>
  </si>
  <si>
    <t>ｵｻﾞｷ ｼｭｳﾄ</t>
  </si>
  <si>
    <t>山本　旺輝</t>
  </si>
  <si>
    <t>ﾔﾏﾓﾄ ｵｳｷ</t>
  </si>
  <si>
    <t>林　慶太朗</t>
  </si>
  <si>
    <t>ﾊﾔｼ ｹｲﾀﾛｳ</t>
  </si>
  <si>
    <t>坂本　悠季</t>
  </si>
  <si>
    <t>ｻｶﾓﾄ ﾕｳｷ</t>
  </si>
  <si>
    <t>655-0037</t>
  </si>
  <si>
    <t>橋本　涼</t>
  </si>
  <si>
    <t>ﾊｼﾓﾄ ﾘｮｳ</t>
  </si>
  <si>
    <t>髙岡　亜衣</t>
  </si>
  <si>
    <t>ﾀｶｵｶ ｱｲ</t>
  </si>
  <si>
    <t>773-0007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</si>
  <si>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</si>
  <si>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</si>
  <si>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</si>
  <si>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</si>
  <si>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</si>
  <si>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</si>
  <si>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</si>
  <si>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</si>
  <si>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</si>
  <si>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</si>
  <si>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</si>
  <si>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</si>
  <si>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</si>
  <si>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</si>
  <si>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</si>
  <si>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</si>
  <si>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</si>
  <si>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</si>
  <si>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</si>
  <si>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</si>
  <si>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</si>
  <si>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675-1332</t>
  </si>
  <si>
    <t>坂田　瑞月</t>
  </si>
  <si>
    <t>ｻｶﾀ ﾐｽﾞｷ</t>
  </si>
  <si>
    <t>坂田　裕月</t>
  </si>
  <si>
    <t>ｻｶﾀ ﾕﾂﾞｷ</t>
  </si>
  <si>
    <t>佃　英慈</t>
  </si>
  <si>
    <t>ﾂｸﾀﾞ ｴｲｼﾞ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</si>
  <si>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</si>
  <si>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</si>
  <si>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</si>
  <si>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</si>
  <si>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</si>
  <si>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</si>
  <si>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</si>
  <si>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</si>
  <si>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657-0022</t>
  </si>
  <si>
    <t>高橋　翔永</t>
  </si>
  <si>
    <t>ﾀｶﾊｼ ｼｮｳｴｲ</t>
  </si>
  <si>
    <t>橋口　蓮</t>
  </si>
  <si>
    <t>ﾊｼｸﾞﾁ ﾚﾝ</t>
  </si>
  <si>
    <t xml:space="preserve">クラーク記念国際姫路キャンパス　　　                      </t>
  </si>
  <si>
    <t>麦沢　昭哉</t>
  </si>
  <si>
    <t>ﾑｷﾞｻﾜ ｼｮｳﾔ</t>
  </si>
  <si>
    <t>654-0111</t>
  </si>
  <si>
    <t>川本　将大</t>
  </si>
  <si>
    <t>ｶﾜﾓﾄ ｼｮｳﾀ</t>
  </si>
  <si>
    <t>651-2204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</si>
  <si>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</si>
  <si>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</si>
  <si>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</si>
  <si>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</si>
  <si>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</si>
  <si>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</si>
  <si>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坂井　七海</t>
  </si>
  <si>
    <t>ｻｶｲ ﾅﾅﾐ</t>
  </si>
  <si>
    <t>779-1104</t>
  </si>
  <si>
    <t xml:space="preserve">小松島　　　　　　　　　　　　　　　　　                    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</si>
  <si>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</si>
  <si>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</si>
  <si>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</si>
  <si>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</si>
  <si>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</si>
  <si>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</si>
  <si>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吉田　晴翔</t>
  </si>
  <si>
    <t>ﾖｼﾀﾞ ﾊﾙﾄ</t>
  </si>
  <si>
    <t>水田　莉子</t>
  </si>
  <si>
    <t>ﾐｽﾞﾀ ﾘｺ</t>
  </si>
  <si>
    <t>馬渡　心実</t>
  </si>
  <si>
    <t>ﾏﾜﾀﾘ ｺｺﾐ</t>
  </si>
  <si>
    <t>654-0013</t>
  </si>
  <si>
    <t>井上　璃生</t>
  </si>
  <si>
    <t>ｲﾉｳｴ ﾘｭｳ</t>
  </si>
  <si>
    <t>424-0041</t>
  </si>
  <si>
    <t xml:space="preserve">清水学院高等専修学校（高等課程）                        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</si>
  <si>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</si>
  <si>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</si>
  <si>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</si>
  <si>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</si>
  <si>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</si>
  <si>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</si>
  <si>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</si>
  <si>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本白水　隼斗</t>
  </si>
  <si>
    <t>ﾓﾄｼﾛﾐｽﾞ ﾊﾔﾄ</t>
  </si>
  <si>
    <t>稲谷　優希</t>
  </si>
  <si>
    <t>ｲﾅﾀﾆ ﾕｳｷ</t>
  </si>
  <si>
    <t>656-0031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</si>
  <si>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</si>
  <si>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</si>
  <si>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</si>
  <si>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</si>
  <si>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</si>
  <si>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</si>
  <si>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川野　夢桃</t>
  </si>
  <si>
    <t>ｶﾜﾉ ﾒﾙﾓ</t>
  </si>
  <si>
    <t>675-0002</t>
  </si>
  <si>
    <t xml:space="preserve">神戸野田　　　　　　　　　　　　　　　　                    </t>
  </si>
  <si>
    <t>田中　夢菜</t>
  </si>
  <si>
    <t>ﾀﾅｶ ﾕﾅ</t>
  </si>
  <si>
    <t>岡本　明日馬</t>
  </si>
  <si>
    <t>ｵｶﾓﾄ ｱｽﾏ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</si>
  <si>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</si>
  <si>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</si>
  <si>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</si>
  <si>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</si>
  <si>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</si>
  <si>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</si>
  <si>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齋藤　遥斗</t>
  </si>
  <si>
    <t>ｻｲﾄｳ ﾊﾙﾄ</t>
  </si>
  <si>
    <t>771-1271</t>
  </si>
  <si>
    <t xml:space="preserve">鳴門　　　　　　　　　　　　　　　　　　                    </t>
  </si>
  <si>
    <t>中岡　颯大</t>
  </si>
  <si>
    <t>ﾅｶｵｶ ｿｳﾀﾞｲ</t>
  </si>
  <si>
    <t>井関　浩雅</t>
  </si>
  <si>
    <t>ｲｾｷ ｺｳｶﾞ</t>
  </si>
  <si>
    <t>797-0026</t>
  </si>
  <si>
    <t xml:space="preserve">宇和　　　　　　　　　　　　　　　　　　                    </t>
  </si>
  <si>
    <t>谷垣　尚廷</t>
  </si>
  <si>
    <t>ﾀﾆｶﾞｷ ﾅｵﾀｶ</t>
  </si>
  <si>
    <t>669-6214</t>
  </si>
  <si>
    <t>稲垣　満希</t>
  </si>
  <si>
    <t>ｲﾅｶﾞｷ ﾐﾂｷ</t>
  </si>
  <si>
    <t>酒井　嘉乃</t>
  </si>
  <si>
    <t>ｻｶｲ ﾖｼﾉ</t>
  </si>
  <si>
    <t>丸山　麗琥</t>
  </si>
  <si>
    <t>ﾏﾙﾔﾏ ﾘｸ</t>
  </si>
  <si>
    <t>673-1312</t>
  </si>
  <si>
    <t xml:space="preserve">和歌山東　　　　　　　　　　　　　　　　                    </t>
  </si>
  <si>
    <t>岡村　陽磨</t>
  </si>
  <si>
    <t>ｵｶﾑﾗ ﾊﾙﾏ</t>
  </si>
  <si>
    <t xml:space="preserve">尼崎西　　　　　　　　　　　　　　　　　                    </t>
  </si>
  <si>
    <t>吉岡　南翔</t>
  </si>
  <si>
    <t>ﾖｼｵｶ ﾐﾅﾄ</t>
  </si>
  <si>
    <t>669-6201</t>
  </si>
  <si>
    <t>中間　裕登</t>
  </si>
  <si>
    <t>ﾅｶﾏ ﾕｳﾄ</t>
  </si>
  <si>
    <t>662-0098</t>
  </si>
  <si>
    <t xml:space="preserve">ルネサンス大阪（通信制）                            </t>
  </si>
  <si>
    <t>北浦　夢大</t>
  </si>
  <si>
    <t>ｷﾀｳﾗ ﾕｳﾀ</t>
  </si>
  <si>
    <t xml:space="preserve">鳥取西　　　　　　　　　　　　　　　　　                    </t>
  </si>
  <si>
    <t>芝岡　凪人</t>
  </si>
  <si>
    <t>ｼﾊﾞｵｶ ﾅｷﾞﾄ</t>
  </si>
  <si>
    <t>673-0885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</si>
  <si>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</si>
  <si>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</si>
  <si>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</si>
  <si>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</si>
  <si>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</si>
  <si>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</si>
  <si>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</si>
  <si>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</si>
  <si>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</si>
  <si>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秦野　和真</t>
  </si>
  <si>
    <t>ﾊﾀﾉ ｶｽﾞﾏ</t>
  </si>
  <si>
    <t>谷井　優真子</t>
  </si>
  <si>
    <t>ﾀﾆｲ ﾕﾏｺ</t>
  </si>
  <si>
    <t xml:space="preserve">夢野台　　　　　　　　　　　　　　　　　                    </t>
  </si>
  <si>
    <t>岩本　猛</t>
  </si>
  <si>
    <t>ｲﾜﾓﾄ ﾀｹｼ</t>
  </si>
  <si>
    <t>長手　聖悟</t>
  </si>
  <si>
    <t>ﾅｶﾞﾃ ｾｲｺﾞ</t>
  </si>
  <si>
    <t>655-0873</t>
  </si>
  <si>
    <t xml:space="preserve">聖隷クリストファー　　　　　　　　　　　                    </t>
  </si>
  <si>
    <t>古越　寛大</t>
  </si>
  <si>
    <t>ﾌﾙｺｼ ｶﾝﾀ</t>
  </si>
  <si>
    <t>661-0035</t>
  </si>
  <si>
    <t>髙井　侑真</t>
  </si>
  <si>
    <t>ﾀｶｲ ﾕｳｼﾝ</t>
  </si>
  <si>
    <t>771-1231</t>
  </si>
  <si>
    <t xml:space="preserve">板野　　　　　　　　　　　　　　　　　　                    </t>
  </si>
  <si>
    <t>川上　晃希</t>
  </si>
  <si>
    <t>ｶﾜｶﾐ ｺｳｷ</t>
  </si>
  <si>
    <t>宮本　敦紀</t>
  </si>
  <si>
    <t>ﾐﾔﾓﾄ ｱﾂｷ</t>
  </si>
  <si>
    <t>本岡　琉星</t>
  </si>
  <si>
    <t>ﾓﾄｵｶ ﾘｭｳｾｲ</t>
  </si>
  <si>
    <t>糟谷　桃太郎</t>
  </si>
  <si>
    <t>ｶｽﾔ ﾓﾓﾀﾛｳ</t>
  </si>
  <si>
    <t>653-0887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</si>
  <si>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</si>
  <si>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</si>
  <si>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</si>
  <si>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</si>
  <si>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</si>
  <si>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</si>
  <si>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久家　侑奈</t>
  </si>
  <si>
    <t>ｸｹﾞ ﾕｳﾅ</t>
  </si>
  <si>
    <t>871-0027</t>
  </si>
  <si>
    <t xml:space="preserve">中津北　　　　　　　　　　　　　　　　　                    </t>
  </si>
  <si>
    <t>定時　成悠</t>
  </si>
  <si>
    <t>ｻﾀﾞﾄｷ ｱｷﾋｻ</t>
  </si>
  <si>
    <t>673-0402</t>
  </si>
  <si>
    <t>森　頼晃</t>
  </si>
  <si>
    <t>ﾓﾘ ﾗｲｱ</t>
  </si>
  <si>
    <t>673-0029</t>
  </si>
  <si>
    <t>藤本　彩生</t>
  </si>
  <si>
    <t>ﾌｼﾞﾓﾄ ｻｲｷ</t>
  </si>
  <si>
    <t>679-2111</t>
  </si>
  <si>
    <t>早﨑　翔空</t>
  </si>
  <si>
    <t>ﾊﾔｻｷ ﾄｱ</t>
  </si>
  <si>
    <t>671-1156</t>
  </si>
  <si>
    <t>横野　心</t>
  </si>
  <si>
    <t>ﾖｺﾉ ｺｺﾛ</t>
  </si>
  <si>
    <t>八木　日向</t>
  </si>
  <si>
    <t>ﾔｷﾞ ﾋﾅﾀ</t>
  </si>
  <si>
    <t>670-0973</t>
  </si>
  <si>
    <t>大西　漣</t>
  </si>
  <si>
    <t>ｵｵﾆｼ ﾚﾝ</t>
  </si>
  <si>
    <t>671-1611</t>
  </si>
  <si>
    <t xml:space="preserve">青山                                      </t>
  </si>
  <si>
    <t>岩倉　愛依</t>
  </si>
  <si>
    <t>ｲﾜｸﾗ ﾒｲ</t>
  </si>
  <si>
    <t>675-0026</t>
  </si>
  <si>
    <t>西本　怜央</t>
  </si>
  <si>
    <t>ﾆｼﾓﾄ ﾚｵ</t>
  </si>
  <si>
    <t>別府　栄哉</t>
  </si>
  <si>
    <t>ﾍﾞｯﾌﾟ ﾊﾙﾔ</t>
  </si>
  <si>
    <t>吉本　夏翔</t>
  </si>
  <si>
    <t>ﾖｼﾓﾄ ﾅﾂﾒ</t>
  </si>
  <si>
    <t>榛葉　太希</t>
  </si>
  <si>
    <t>ｼﾝﾊﾞ ﾀｲｷ</t>
  </si>
  <si>
    <t>427-0113</t>
  </si>
  <si>
    <t xml:space="preserve">島田商業　　　　　　　　　　　　　　　　                    </t>
  </si>
  <si>
    <t>新玉　昴</t>
  </si>
  <si>
    <t>ｱﾗﾀﾏ ｽﾊﾞﾙ</t>
  </si>
  <si>
    <t>灘　芙蓉</t>
  </si>
  <si>
    <t>ﾅﾀﾞ ﾌﾖｳ</t>
  </si>
  <si>
    <t>𣘺本　遥翔</t>
  </si>
  <si>
    <t>ﾊｼﾓﾄ ﾊﾙﾄ</t>
  </si>
  <si>
    <t>671-1151</t>
  </si>
  <si>
    <t>山名　徠斗</t>
  </si>
  <si>
    <t>ﾔﾏﾅ ﾗｲﾄ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</si>
  <si>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</si>
  <si>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</si>
  <si>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</si>
  <si>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</si>
  <si>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</si>
  <si>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</si>
  <si>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大塚　麻凛</t>
  </si>
  <si>
    <t>ｵｵﾂｶ ﾏﾘﾝ</t>
  </si>
  <si>
    <t>田口　琢磨</t>
  </si>
  <si>
    <t>ﾀｸﾞﾁ ﾀｸﾏ</t>
  </si>
  <si>
    <t>671-3223</t>
  </si>
  <si>
    <t>木本　唯貴</t>
  </si>
  <si>
    <t>ｷﾓﾄ ﾕﾀｶ</t>
  </si>
  <si>
    <t>田中　典弥</t>
  </si>
  <si>
    <t>ﾀﾅｶ ﾐﾁﾔ</t>
  </si>
  <si>
    <t>石田　祐紀</t>
  </si>
  <si>
    <t>ｲｼﾀﾞ ﾕｳｷ</t>
  </si>
  <si>
    <t>535-0002</t>
  </si>
  <si>
    <t>藤井　洸成</t>
  </si>
  <si>
    <t>ﾌｼﾞｲ ｺｳｾｲ</t>
  </si>
  <si>
    <t>675-1215</t>
  </si>
  <si>
    <t xml:space="preserve">東播工業　　　　　　　　　　　　　　　　                    </t>
  </si>
  <si>
    <t>宮脇　拓矢</t>
  </si>
  <si>
    <t>ﾐﾔﾜｷ ﾀｸﾔ</t>
  </si>
  <si>
    <t>675-0141</t>
  </si>
  <si>
    <t>改發　葵</t>
  </si>
  <si>
    <t>ｶｲﾊﾂ ｱｵｲ</t>
  </si>
  <si>
    <t>髙馬　璃陽斗</t>
  </si>
  <si>
    <t>ｺｳﾏ ﾘﾋﾄ</t>
  </si>
  <si>
    <t>華山　大護</t>
  </si>
  <si>
    <t>ﾊﾅﾔﾏ ﾀﾞｲｺﾞ</t>
  </si>
  <si>
    <t>675-1205</t>
  </si>
  <si>
    <t>藤井　奏多</t>
  </si>
  <si>
    <t>ﾌｼﾞｲ ｶﾅﾀ</t>
  </si>
  <si>
    <t>ＫＨＡＬＩＤ　ＳＨＡＨ</t>
  </si>
  <si>
    <t>ｶﾘﾄﾞ ｼｬ</t>
  </si>
  <si>
    <t>田村　愛來</t>
  </si>
  <si>
    <t>ﾀﾑﾗ ｱｲﾗ</t>
  </si>
  <si>
    <t>岡田　来愛</t>
  </si>
  <si>
    <t>ｵｶﾀﾞ ｸﾚｱ</t>
  </si>
  <si>
    <t>小柳　善揮</t>
  </si>
  <si>
    <t>ｺﾔﾅｷﾞ ﾖｼｷ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</si>
  <si>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</si>
  <si>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</si>
  <si>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</si>
  <si>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</si>
  <si>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</si>
  <si>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</si>
  <si>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谷口　瑠菜</t>
  </si>
  <si>
    <t>ﾀﾆｸﾞﾁ ﾙﾅ</t>
  </si>
  <si>
    <t>髙須　陽向</t>
  </si>
  <si>
    <t>ﾀｶｽ ﾋﾅﾀ</t>
  </si>
  <si>
    <t>670-0057</t>
  </si>
  <si>
    <t>小林　悠惺</t>
  </si>
  <si>
    <t>ｺﾊﾞﾔｼ ﾕｳｾｲ</t>
  </si>
  <si>
    <t>寺尾　夏輝</t>
  </si>
  <si>
    <t>ﾃﾗｵ ﾅﾂｷ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</si>
  <si>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</si>
  <si>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</si>
  <si>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</si>
  <si>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</si>
  <si>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</si>
  <si>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</si>
  <si>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</si>
  <si>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</si>
  <si>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</si>
  <si>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</si>
  <si>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</si>
  <si>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</si>
  <si>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</si>
  <si>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</si>
  <si>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</si>
  <si>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</si>
  <si>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</si>
  <si>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</si>
  <si>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谷口　慶太</t>
  </si>
  <si>
    <t>ﾀﾆｸﾞﾁ ｹｲﾀ</t>
  </si>
  <si>
    <t>670-0894</t>
  </si>
  <si>
    <t>野村　美都</t>
  </si>
  <si>
    <t>ﾉﾑﾗ ﾐﾄ</t>
  </si>
  <si>
    <t>672-8038</t>
  </si>
  <si>
    <t>山田　美希</t>
  </si>
  <si>
    <t>ﾔﾏﾀﾞ ﾐｷ</t>
  </si>
  <si>
    <t>676-0824</t>
  </si>
  <si>
    <t>花房　綾飛</t>
  </si>
  <si>
    <t>ﾊﾅﾌｻ ｱﾔﾄ</t>
  </si>
  <si>
    <t>岡田　知咲</t>
  </si>
  <si>
    <t>ｵｶﾀﾞ ﾁｻ</t>
  </si>
  <si>
    <t>676-0815</t>
  </si>
  <si>
    <t>西内　凛花</t>
  </si>
  <si>
    <t>ﾆｼｳﾁ ﾘﾝｶ</t>
  </si>
  <si>
    <t>671-4241</t>
  </si>
  <si>
    <t>諸岡　采音</t>
  </si>
  <si>
    <t>ﾓﾛｵｶ ｱﾔﾈ</t>
  </si>
  <si>
    <t>679-4341</t>
  </si>
  <si>
    <t>堀　えれな</t>
  </si>
  <si>
    <t>ﾎﾘ ｴﾚﾅ</t>
  </si>
  <si>
    <t>得永　咲</t>
  </si>
  <si>
    <t>ﾄｸﾅｶﾞ ｻｷ</t>
  </si>
  <si>
    <t>南浦　健人</t>
  </si>
  <si>
    <t>ﾐﾅﾐｳﾗ ｹﾝﾄ</t>
  </si>
  <si>
    <t>674-0059</t>
  </si>
  <si>
    <t>山野　光清</t>
  </si>
  <si>
    <t>ﾔﾏﾉ ｺｳｾｲ</t>
  </si>
  <si>
    <t>671-2102</t>
  </si>
  <si>
    <t>正木　遥陽</t>
  </si>
  <si>
    <t>ﾏｻｷ ﾊﾙﾋ</t>
  </si>
  <si>
    <t>西尾　玖留実</t>
  </si>
  <si>
    <t>ﾆｼｵ ｸﾙﾐ</t>
  </si>
  <si>
    <t>田中　翔大</t>
  </si>
  <si>
    <t>ﾀﾅｶ ｼｮｳﾀ</t>
  </si>
  <si>
    <t>ﾔﾏﾓﾄ ﾋﾛﾄ</t>
  </si>
  <si>
    <t>太田　琴乃</t>
  </si>
  <si>
    <t>ｵｵﾀ ｺﾄﾉ</t>
  </si>
  <si>
    <t>武内　志薗</t>
  </si>
  <si>
    <t>ﾀｹｳﾁ ｼｵﾝ</t>
  </si>
  <si>
    <t>671-1521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</si>
  <si>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</si>
  <si>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</si>
  <si>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</si>
  <si>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</si>
  <si>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</si>
  <si>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</si>
  <si>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</si>
  <si>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</si>
  <si>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長尾　千晶</t>
  </si>
  <si>
    <t>ﾅｶﾞｵ ﾁｱｷ</t>
  </si>
  <si>
    <t>小林　笹</t>
  </si>
  <si>
    <t>ｺﾊﾞﾔｼ ｻｻ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</si>
  <si>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</si>
  <si>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</si>
  <si>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</si>
  <si>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</si>
  <si>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</si>
  <si>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</si>
  <si>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679-4123</t>
  </si>
  <si>
    <t>東郷　遥</t>
  </si>
  <si>
    <t>ﾄｳｺﾞｳ ﾊﾙｶ</t>
  </si>
  <si>
    <t>森岡　優斗</t>
  </si>
  <si>
    <t>ﾓﾘｵｶ ﾕｳﾄ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</si>
  <si>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</si>
  <si>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</si>
  <si>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</si>
  <si>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</si>
  <si>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</si>
  <si>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</si>
  <si>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</si>
  <si>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</si>
  <si>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</si>
  <si>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</si>
  <si>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</si>
  <si>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山田　翔太</t>
  </si>
  <si>
    <t>ﾔﾏﾀﾞ ｼｮｳﾀ</t>
  </si>
  <si>
    <t>673-1464</t>
  </si>
  <si>
    <t>安黒　華琳</t>
  </si>
  <si>
    <t>ｱｸﾞﾛ ｶﾘﾝ</t>
  </si>
  <si>
    <t>西山　凛</t>
  </si>
  <si>
    <t>ﾆｼﾔﾏ ﾘﾝ</t>
  </si>
  <si>
    <t>上山　大智</t>
  </si>
  <si>
    <t>ｶﾐﾔﾏ ﾀﾞｲﾁ</t>
  </si>
  <si>
    <t>上垣　羽琉</t>
  </si>
  <si>
    <t>ｳｴｶﾞｷ ﾊﾙ</t>
  </si>
  <si>
    <t>671-2532</t>
  </si>
  <si>
    <t>岩崎　加奈</t>
  </si>
  <si>
    <t>ｲﾜｻｷ ｶﾅ</t>
  </si>
  <si>
    <t>675-2452</t>
  </si>
  <si>
    <t>藤生　蒼空</t>
  </si>
  <si>
    <t>ﾌｼﾞｵ ｿﾗ</t>
  </si>
  <si>
    <t>藤井　明衣</t>
  </si>
  <si>
    <t>ﾌｼﾞｲ ﾒｲ</t>
  </si>
  <si>
    <t>伊藤　瑞基</t>
  </si>
  <si>
    <t>ｲﾄｳ ﾐｽﾞｷ</t>
  </si>
  <si>
    <t>679-4017</t>
  </si>
  <si>
    <t>佐野　陽花</t>
  </si>
  <si>
    <t>ｻﾉ ﾊﾙｶ</t>
  </si>
  <si>
    <t>山中　優誠</t>
  </si>
  <si>
    <t>ﾔﾏﾅｶ ﾕｳｾｲ</t>
  </si>
  <si>
    <t>大村　和輝</t>
  </si>
  <si>
    <t>ｵｵﾑﾗ ｶｽﾞｷ</t>
  </si>
  <si>
    <t>田村　昂大</t>
  </si>
  <si>
    <t>ﾀﾑﾗ ｺｳﾀ</t>
  </si>
  <si>
    <t>尾上　にこ</t>
  </si>
  <si>
    <t>ｵﾉｴ ﾆｺ</t>
  </si>
  <si>
    <t>679-2215</t>
  </si>
  <si>
    <t>山口　詩歩</t>
  </si>
  <si>
    <t>ﾔﾏｸﾞﾁ ｼﾎ</t>
  </si>
  <si>
    <t>670-0954</t>
  </si>
  <si>
    <t>梶原　彩葉</t>
  </si>
  <si>
    <t>ｶｼﾞﾜﾗ ｲﾛﾊ</t>
  </si>
  <si>
    <t>髙見　魁晟</t>
  </si>
  <si>
    <t>ﾀｶﾐ ｶｲｾｲ</t>
  </si>
  <si>
    <t>675-1217</t>
  </si>
  <si>
    <t>髙見　悠聖</t>
  </si>
  <si>
    <t>ﾀｶﾐ ﾕｳｾｲ</t>
  </si>
  <si>
    <t>保手濱　心深</t>
  </si>
  <si>
    <t>ﾎﾃﾊﾏ ｺｺﾐ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</si>
  <si>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</si>
  <si>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</si>
  <si>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</si>
  <si>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</si>
  <si>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</si>
  <si>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</si>
  <si>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</si>
  <si>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</si>
  <si>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</si>
  <si>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厚海　琴乃</t>
  </si>
  <si>
    <t>ｱﾂﾐ ｺﾄﾉ</t>
  </si>
  <si>
    <t>岡田　瑛太</t>
  </si>
  <si>
    <t>ｵｶﾀﾞ ｴｲﾀ</t>
  </si>
  <si>
    <t>667-1315</t>
  </si>
  <si>
    <t xml:space="preserve">村岡　　　　　　　　　　　　　　　　　　                    </t>
  </si>
  <si>
    <t>小野　瑛斗</t>
  </si>
  <si>
    <t>ｵﾉ ｴｲﾄ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</si>
  <si>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</si>
  <si>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</si>
  <si>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</si>
  <si>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</si>
  <si>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</si>
  <si>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</si>
  <si>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</si>
  <si>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</si>
  <si>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</si>
  <si>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</si>
  <si>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</si>
  <si>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岸　陽太</t>
  </si>
  <si>
    <t>ｷｼ ﾖｳﾀ</t>
  </si>
  <si>
    <t>森本　唯花</t>
  </si>
  <si>
    <t>ﾓﾘﾓﾄ ﾕｲｶ</t>
  </si>
  <si>
    <t>石田　このは</t>
  </si>
  <si>
    <t>ｲｼﾀﾞ ｺﾉﾊ</t>
  </si>
  <si>
    <t>桂　寿実</t>
  </si>
  <si>
    <t>ｶﾂﾗ ｺﾄﾐ</t>
  </si>
  <si>
    <t>672-0103</t>
  </si>
  <si>
    <t>奥村　悠可</t>
  </si>
  <si>
    <t>ｵｸﾑﾗ ﾕｶ</t>
  </si>
  <si>
    <t>797-0015</t>
  </si>
  <si>
    <t>田中　想大</t>
  </si>
  <si>
    <t>ﾀﾅｶ ｿｳﾀ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</si>
  <si>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</si>
  <si>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</si>
  <si>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</si>
  <si>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</si>
  <si>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</si>
  <si>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</si>
  <si>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</si>
  <si>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</si>
  <si>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</si>
  <si>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>橋本　悠生</t>
  </si>
  <si>
    <t>ﾊｼﾓﾄ ﾕｳｾｲ</t>
  </si>
  <si>
    <t>一昨年</t>
    <rPh sb="0" eb="1">
      <t>イチ</t>
    </rPh>
    <rPh sb="1" eb="3">
      <t>サクネン</t>
    </rPh>
    <phoneticPr fontId="2"/>
  </si>
  <si>
    <t>留学生</t>
    <rPh sb="0" eb="3">
      <t>リュウガクセイ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</si>
</sst>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&quot;年&quot;m&quot;月&quot;d&quot;日&quot;;@"/>
    <numFmt numFmtId="177" formatCode="0;&quot;▲ &quot;0"/>
    <numFmt numFmtId="178" formatCode="0_);[Red]\(0\)"/>
    <numFmt numFmtId="179" formatCode="0_ "/>
    <numFmt numFmtId="180" formatCode="0&quot;月&quot;"/>
    <numFmt numFmtId="181" formatCode="0&quot;年度&quot;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227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22" fontId="0" fillId="0" borderId="0" xfId="0" applyNumberFormat="1" applyAlignment="1"/>
    <xf numFmtId="20" fontId="0" fillId="0" borderId="0" xfId="0" applyNumberFormat="1" applyAlignment="1"/>
    <xf numFmtId="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177" fontId="0" fillId="0" borderId="45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177" fontId="0" fillId="0" borderId="50" xfId="0" applyNumberFormat="1" applyBorder="1">
      <alignment vertical="center"/>
    </xf>
    <xf numFmtId="0" fontId="0" fillId="0" borderId="51" xfId="0" applyBorder="1">
      <alignment vertical="center"/>
    </xf>
    <xf numFmtId="0" fontId="0" fillId="0" borderId="8" xfId="0" applyBorder="1" applyAlignment="1">
      <alignment horizontal="center" vertical="center"/>
    </xf>
    <xf numFmtId="177" fontId="0" fillId="0" borderId="52" xfId="0" applyNumberFormat="1" applyBorder="1">
      <alignment vertical="center"/>
    </xf>
    <xf numFmtId="177" fontId="0" fillId="0" borderId="53" xfId="0" applyNumberFormat="1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0" fontId="12" fillId="0" borderId="48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49" xfId="0" applyFont="1" applyBorder="1">
      <alignment vertical="center"/>
    </xf>
    <xf numFmtId="0" fontId="12" fillId="0" borderId="44" xfId="0" applyFont="1" applyBorder="1">
      <alignment vertical="center"/>
    </xf>
    <xf numFmtId="177" fontId="12" fillId="0" borderId="42" xfId="0" applyNumberFormat="1" applyFont="1" applyBorder="1">
      <alignment vertical="center"/>
    </xf>
    <xf numFmtId="177" fontId="12" fillId="0" borderId="50" xfId="0" applyNumberFormat="1" applyFont="1" applyBorder="1">
      <alignment vertical="center"/>
    </xf>
    <xf numFmtId="177" fontId="12" fillId="0" borderId="45" xfId="0" applyNumberFormat="1" applyFont="1" applyBorder="1">
      <alignment vertical="center"/>
    </xf>
    <xf numFmtId="0" fontId="12" fillId="0" borderId="51" xfId="0" applyFont="1" applyBorder="1">
      <alignment vertical="center"/>
    </xf>
    <xf numFmtId="0" fontId="12" fillId="0" borderId="46" xfId="0" applyFont="1" applyBorder="1">
      <alignment vertical="center"/>
    </xf>
    <xf numFmtId="0" fontId="13" fillId="0" borderId="41" xfId="0" applyFont="1" applyBorder="1">
      <alignment vertical="center"/>
    </xf>
    <xf numFmtId="0" fontId="13" fillId="0" borderId="48" xfId="0" applyFont="1" applyBorder="1">
      <alignment vertical="center"/>
    </xf>
    <xf numFmtId="0" fontId="13" fillId="0" borderId="29" xfId="0" applyFont="1" applyBorder="1">
      <alignment vertical="center"/>
    </xf>
    <xf numFmtId="0" fontId="13" fillId="0" borderId="21" xfId="0" applyFont="1" applyBorder="1">
      <alignment vertical="center"/>
    </xf>
    <xf numFmtId="0" fontId="13" fillId="0" borderId="51" xfId="0" applyFont="1" applyBorder="1">
      <alignment vertical="center"/>
    </xf>
    <xf numFmtId="0" fontId="13" fillId="0" borderId="46" xfId="0" applyFont="1" applyBorder="1">
      <alignment vertical="center"/>
    </xf>
    <xf numFmtId="177" fontId="13" fillId="0" borderId="18" xfId="0" applyNumberFormat="1" applyFont="1" applyBorder="1">
      <alignment vertical="center"/>
    </xf>
    <xf numFmtId="177" fontId="13" fillId="0" borderId="53" xfId="0" applyNumberFormat="1" applyFont="1" applyBorder="1">
      <alignment vertical="center"/>
    </xf>
    <xf numFmtId="177" fontId="13" fillId="0" borderId="52" xfId="0" applyNumberFormat="1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8" fontId="13" fillId="0" borderId="48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51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2" fillId="0" borderId="21" xfId="0" applyNumberFormat="1" applyFont="1" applyBorder="1">
      <alignment vertical="center"/>
    </xf>
    <xf numFmtId="178" fontId="12" fillId="0" borderId="48" xfId="0" applyNumberFormat="1" applyFont="1" applyBorder="1">
      <alignment vertical="center"/>
    </xf>
    <xf numFmtId="178" fontId="12" fillId="0" borderId="29" xfId="0" applyNumberFormat="1" applyFont="1" applyBorder="1">
      <alignment vertical="center"/>
    </xf>
    <xf numFmtId="178" fontId="12" fillId="0" borderId="17" xfId="0" applyNumberFormat="1" applyFont="1" applyBorder="1">
      <alignment vertical="center"/>
    </xf>
    <xf numFmtId="178" fontId="12" fillId="0" borderId="49" xfId="0" applyNumberFormat="1" applyFont="1" applyBorder="1">
      <alignment vertical="center"/>
    </xf>
    <xf numFmtId="178" fontId="12" fillId="0" borderId="44" xfId="0" applyNumberFormat="1" applyFont="1" applyBorder="1">
      <alignment vertical="center"/>
    </xf>
    <xf numFmtId="177" fontId="12" fillId="0" borderId="21" xfId="0" applyNumberFormat="1" applyFont="1" applyBorder="1">
      <alignment vertical="center"/>
    </xf>
    <xf numFmtId="177" fontId="12" fillId="0" borderId="51" xfId="0" applyNumberFormat="1" applyFont="1" applyBorder="1">
      <alignment vertical="center"/>
    </xf>
    <xf numFmtId="177" fontId="12" fillId="0" borderId="46" xfId="0" applyNumberFormat="1" applyFont="1" applyBorder="1">
      <alignment vertical="center"/>
    </xf>
    <xf numFmtId="179" fontId="12" fillId="0" borderId="19" xfId="0" applyNumberFormat="1" applyFont="1" applyBorder="1">
      <alignment vertical="center"/>
    </xf>
    <xf numFmtId="178" fontId="12" fillId="0" borderId="57" xfId="0" applyNumberFormat="1" applyFont="1" applyBorder="1">
      <alignment vertical="center"/>
    </xf>
    <xf numFmtId="179" fontId="12" fillId="0" borderId="6" xfId="0" applyNumberFormat="1" applyFont="1" applyBorder="1">
      <alignment vertical="center"/>
    </xf>
    <xf numFmtId="179" fontId="12" fillId="0" borderId="58" xfId="0" applyNumberFormat="1" applyFont="1" applyBorder="1">
      <alignment vertical="center"/>
    </xf>
    <xf numFmtId="179" fontId="12" fillId="0" borderId="17" xfId="0" applyNumberFormat="1" applyFont="1" applyBorder="1">
      <alignment vertical="center"/>
    </xf>
    <xf numFmtId="179" fontId="12" fillId="0" borderId="44" xfId="0" applyNumberFormat="1" applyFont="1" applyBorder="1">
      <alignment vertical="center"/>
    </xf>
    <xf numFmtId="179" fontId="12" fillId="0" borderId="49" xfId="0" applyNumberFormat="1" applyFont="1" applyBorder="1">
      <alignment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8" fontId="12" fillId="0" borderId="61" xfId="0" applyNumberFormat="1" applyFont="1" applyBorder="1">
      <alignment vertical="center"/>
    </xf>
    <xf numFmtId="0" fontId="0" fillId="0" borderId="62" xfId="0" applyBorder="1" applyAlignment="1">
      <alignment horizontal="center" vertical="center"/>
    </xf>
    <xf numFmtId="178" fontId="12" fillId="0" borderId="63" xfId="0" applyNumberFormat="1" applyFont="1" applyBorder="1">
      <alignment vertical="center"/>
    </xf>
    <xf numFmtId="0" fontId="0" fillId="0" borderId="64" xfId="0" applyBorder="1" applyAlignment="1">
      <alignment horizontal="center" vertical="center"/>
    </xf>
    <xf numFmtId="177" fontId="12" fillId="0" borderId="65" xfId="0" applyNumberFormat="1" applyFont="1" applyBorder="1">
      <alignment vertical="center"/>
    </xf>
    <xf numFmtId="0" fontId="0" fillId="0" borderId="66" xfId="0" applyBorder="1" applyAlignment="1">
      <alignment horizontal="center" vertical="center"/>
    </xf>
    <xf numFmtId="179" fontId="12" fillId="0" borderId="21" xfId="0" applyNumberFormat="1" applyFont="1" applyBorder="1">
      <alignment vertical="center"/>
    </xf>
    <xf numFmtId="179" fontId="12" fillId="0" borderId="51" xfId="0" applyNumberFormat="1" applyFont="1" applyBorder="1">
      <alignment vertical="center"/>
    </xf>
    <xf numFmtId="179" fontId="12" fillId="0" borderId="46" xfId="0" applyNumberFormat="1" applyFont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1" fontId="0" fillId="0" borderId="62" xfId="0" applyNumberFormat="1" applyBorder="1" applyAlignment="1">
      <alignment horizontal="center" vertical="center"/>
    </xf>
    <xf numFmtId="181" fontId="0" fillId="0" borderId="66" xfId="0" applyNumberFormat="1" applyBorder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9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9" xfId="0" applyBorder="1" applyAlignment="1">
      <alignment horizontal="center" vertical="center"/>
    </xf>
    <xf numFmtId="177" fontId="13" fillId="0" borderId="67" xfId="0" applyNumberFormat="1" applyFont="1" applyBorder="1">
      <alignment vertical="center"/>
    </xf>
    <xf numFmtId="177" fontId="13" fillId="0" borderId="68" xfId="0" applyNumberFormat="1" applyFont="1" applyBorder="1">
      <alignment vertical="center"/>
    </xf>
    <xf numFmtId="177" fontId="13" fillId="0" borderId="69" xfId="0" applyNumberFormat="1" applyFont="1" applyBorder="1">
      <alignment vertical="center"/>
    </xf>
    <xf numFmtId="181" fontId="0" fillId="0" borderId="17" xfId="0" applyNumberFormat="1" applyBorder="1" applyAlignment="1">
      <alignment horizontal="center" vertical="center"/>
    </xf>
    <xf numFmtId="177" fontId="13" fillId="0" borderId="70" xfId="0" applyNumberFormat="1" applyFont="1" applyBorder="1">
      <alignment vertical="center"/>
    </xf>
    <xf numFmtId="177" fontId="13" fillId="0" borderId="71" xfId="0" applyNumberFormat="1" applyFont="1" applyBorder="1">
      <alignment vertical="center"/>
    </xf>
    <xf numFmtId="177" fontId="13" fillId="0" borderId="72" xfId="0" applyNumberFormat="1" applyFont="1" applyBorder="1">
      <alignment vertical="center"/>
    </xf>
    <xf numFmtId="0" fontId="0" fillId="0" borderId="73" xfId="0" applyBorder="1" applyAlignment="1">
      <alignment horizontal="center" vertical="center"/>
    </xf>
    <xf numFmtId="177" fontId="13" fillId="0" borderId="74" xfId="0" applyNumberFormat="1" applyFont="1" applyBorder="1">
      <alignment vertical="center"/>
    </xf>
    <xf numFmtId="177" fontId="13" fillId="0" borderId="75" xfId="0" applyNumberFormat="1" applyFont="1" applyBorder="1">
      <alignment vertical="center"/>
    </xf>
    <xf numFmtId="177" fontId="13" fillId="0" borderId="76" xfId="0" applyNumberFormat="1" applyFont="1" applyBorder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8" fillId="0" borderId="0" xfId="0" applyNumberFormat="1" applyFont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80" fontId="12" fillId="0" borderId="37" xfId="0" applyNumberFormat="1" applyFont="1" applyBorder="1" applyAlignment="1">
      <alignment horizontal="center" vertical="center"/>
    </xf>
    <xf numFmtId="180" fontId="12" fillId="0" borderId="40" xfId="0" applyNumberFormat="1" applyFont="1" applyBorder="1" applyAlignment="1">
      <alignment horizontal="center" vertical="center"/>
    </xf>
    <xf numFmtId="180" fontId="12" fillId="0" borderId="38" xfId="0" applyNumberFormat="1" applyFont="1" applyBorder="1" applyAlignment="1">
      <alignment horizontal="center" vertical="center"/>
    </xf>
    <xf numFmtId="180" fontId="13" fillId="0" borderId="40" xfId="0" applyNumberFormat="1" applyFont="1" applyBorder="1" applyAlignment="1">
      <alignment horizontal="center" vertical="center"/>
    </xf>
    <xf numFmtId="180" fontId="13" fillId="0" borderId="38" xfId="0" applyNumberFormat="1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77" fontId="13" fillId="0" borderId="79" xfId="0" applyNumberFormat="1" applyFont="1" applyBorder="1">
      <alignment vertical="center"/>
    </xf>
    <xf numFmtId="177" fontId="13" fillId="0" borderId="50" xfId="0" applyNumberFormat="1" applyFont="1" applyBorder="1">
      <alignment vertical="center"/>
    </xf>
    <xf numFmtId="177" fontId="13" fillId="0" borderId="80" xfId="0" applyNumberFormat="1" applyFont="1" applyBorder="1">
      <alignment vertical="center"/>
    </xf>
    <xf numFmtId="0" fontId="0" fillId="0" borderId="81" xfId="0" applyBorder="1" applyAlignment="1">
      <alignment horizontal="center" vertical="center"/>
    </xf>
    <xf numFmtId="181" fontId="0" fillId="0" borderId="82" xfId="0" applyNumberFormat="1" applyBorder="1" applyAlignment="1">
      <alignment horizontal="center" vertical="center"/>
    </xf>
    <xf numFmtId="177" fontId="13" fillId="0" borderId="73" xfId="0" applyNumberFormat="1" applyFont="1" applyBorder="1">
      <alignment vertical="center"/>
    </xf>
    <xf numFmtId="177" fontId="13" fillId="0" borderId="54" xfId="0" applyNumberFormat="1" applyFont="1" applyBorder="1">
      <alignment vertical="center"/>
    </xf>
    <xf numFmtId="177" fontId="13" fillId="0" borderId="55" xfId="0" applyNumberFormat="1" applyFont="1" applyBorder="1">
      <alignment vertical="center"/>
    </xf>
    <xf numFmtId="177" fontId="13" fillId="0" borderId="83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177" fontId="13" fillId="0" borderId="34" xfId="0" applyNumberFormat="1" applyFont="1" applyBorder="1">
      <alignment vertical="center"/>
    </xf>
    <xf numFmtId="0" fontId="9" fillId="0" borderId="42" xfId="0" applyFont="1" applyBorder="1" applyAlignment="1">
      <alignment horizontal="center" vertical="center"/>
    </xf>
    <xf numFmtId="181" fontId="0" fillId="0" borderId="84" xfId="0" applyNumberFormat="1" applyBorder="1" applyAlignment="1">
      <alignment horizontal="center" vertical="center"/>
    </xf>
    <xf numFmtId="177" fontId="13" fillId="0" borderId="85" xfId="0" applyNumberFormat="1" applyFont="1" applyBorder="1">
      <alignment vertical="center"/>
    </xf>
    <xf numFmtId="177" fontId="13" fillId="0" borderId="86" xfId="0" applyNumberFormat="1" applyFont="1" applyBorder="1">
      <alignment vertical="center"/>
    </xf>
    <xf numFmtId="177" fontId="13" fillId="0" borderId="87" xfId="0" applyNumberFormat="1" applyFont="1" applyBorder="1">
      <alignment vertical="center"/>
    </xf>
    <xf numFmtId="181" fontId="0" fillId="0" borderId="88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10"/>
  <sheetViews>
    <sheetView workbookViewId="0">
      <selection activeCell="A411" sqref="A411"/>
    </sheetView>
  </sheetViews>
  <sheetFormatPr defaultColWidth="8.59765625" defaultRowHeight="18" x14ac:dyDescent="0.45"/>
  <cols>
    <col min="1" max="1" width="16.09765625" style="42" customWidth="1"/>
    <col min="2" max="5" width="8.59765625" style="14"/>
    <col min="6" max="6" width="20" style="14" customWidth="1"/>
    <col min="7" max="12" width="8.59765625" style="14"/>
    <col min="13" max="13" width="12.09765625" style="4" customWidth="1"/>
    <col min="14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1366</v>
      </c>
      <c r="C1" s="14" t="s">
        <v>1367</v>
      </c>
      <c r="D1" s="14" t="s">
        <v>1368</v>
      </c>
      <c r="E1" s="14" t="s">
        <v>1369</v>
      </c>
      <c r="F1" s="14" t="s">
        <v>17</v>
      </c>
      <c r="G1" s="14" t="s">
        <v>18</v>
      </c>
      <c r="H1" s="14" t="s">
        <v>1370</v>
      </c>
      <c r="I1" s="14" t="s">
        <v>19</v>
      </c>
      <c r="J1" s="14" t="s">
        <v>22</v>
      </c>
      <c r="K1" s="14" t="s">
        <v>1371</v>
      </c>
      <c r="L1" s="42" t="s">
        <v>1372</v>
      </c>
      <c r="M1" s="43" t="s">
        <v>1373</v>
      </c>
      <c r="N1" s="14" t="s">
        <v>1374</v>
      </c>
      <c r="O1" s="14" t="s">
        <v>1375</v>
      </c>
      <c r="P1" s="14" t="s">
        <v>1376</v>
      </c>
      <c r="Q1" s="14" t="s">
        <v>1377</v>
      </c>
      <c r="R1" s="14" t="s">
        <v>23</v>
      </c>
      <c r="S1" s="14" t="s">
        <v>8</v>
      </c>
      <c r="T1" s="14" t="s">
        <v>9</v>
      </c>
      <c r="U1" s="14" t="s">
        <v>1378</v>
      </c>
      <c r="V1" s="42" t="s">
        <v>1379</v>
      </c>
      <c r="W1" s="42" t="s">
        <v>1380</v>
      </c>
      <c r="X1" s="42" t="s">
        <v>1381</v>
      </c>
      <c r="Y1" s="44" t="s">
        <v>1382</v>
      </c>
      <c r="Z1" s="14" t="s">
        <v>15</v>
      </c>
      <c r="AA1" s="45" t="s">
        <v>1383</v>
      </c>
      <c r="AB1" s="14" t="s">
        <v>1384</v>
      </c>
      <c r="AC1" s="14" t="s">
        <v>1385</v>
      </c>
      <c r="AD1" s="14" t="s">
        <v>1386</v>
      </c>
      <c r="AE1" s="14" t="s">
        <v>1387</v>
      </c>
      <c r="AF1" s="14" t="s">
        <v>1388</v>
      </c>
      <c r="AG1" s="14" t="s">
        <v>1389</v>
      </c>
      <c r="AH1" s="14" t="s">
        <v>1390</v>
      </c>
      <c r="AI1" s="14" t="s">
        <v>1391</v>
      </c>
      <c r="AJ1" s="14" t="s">
        <v>1392</v>
      </c>
      <c r="AK1" s="14" t="s">
        <v>1393</v>
      </c>
      <c r="AL1" s="14" t="s">
        <v>10</v>
      </c>
      <c r="AM1" s="14" t="s">
        <v>1394</v>
      </c>
      <c r="AN1" s="14" t="s">
        <v>12</v>
      </c>
      <c r="AO1" s="14" t="s">
        <v>1395</v>
      </c>
      <c r="AP1" s="14" t="s">
        <v>11</v>
      </c>
      <c r="AQ1" s="14" t="s">
        <v>1396</v>
      </c>
      <c r="AR1" s="14" t="s">
        <v>1397</v>
      </c>
      <c r="AS1" s="14" t="s">
        <v>1398</v>
      </c>
      <c r="AT1" s="14" t="s">
        <v>1399</v>
      </c>
      <c r="AU1" s="14" t="s">
        <v>1400</v>
      </c>
    </row>
    <row r="2" spans="1:47" x14ac:dyDescent="0.45">
      <c r="A2" s="154">
        <v>2513150002</v>
      </c>
      <c r="B2" s="154">
        <v>57</v>
      </c>
      <c r="C2" s="154" t="s">
        <v>1551</v>
      </c>
      <c r="D2" s="154">
        <v>57</v>
      </c>
      <c r="E2" s="154" t="s">
        <v>1552</v>
      </c>
      <c r="F2" s="154" t="s">
        <v>2274</v>
      </c>
      <c r="G2" s="154" t="s">
        <v>2275</v>
      </c>
      <c r="H2" s="154">
        <v>2</v>
      </c>
      <c r="I2" s="154" t="s">
        <v>2276</v>
      </c>
      <c r="J2" s="154" t="s">
        <v>1403</v>
      </c>
      <c r="K2" s="154">
        <v>2025</v>
      </c>
      <c r="L2" s="155">
        <v>2025</v>
      </c>
      <c r="M2" s="156">
        <v>45539</v>
      </c>
      <c r="N2" s="154" t="s">
        <v>36</v>
      </c>
      <c r="O2" s="154">
        <v>57</v>
      </c>
      <c r="P2" s="154">
        <v>1756</v>
      </c>
      <c r="Q2" s="154" t="s">
        <v>2784</v>
      </c>
      <c r="R2" s="154">
        <v>2</v>
      </c>
      <c r="S2" s="154">
        <v>3</v>
      </c>
      <c r="T2" s="154" t="s">
        <v>1477</v>
      </c>
      <c r="U2" s="154">
        <v>4</v>
      </c>
      <c r="V2" s="155">
        <v>2580012</v>
      </c>
      <c r="W2" s="155">
        <v>0</v>
      </c>
      <c r="X2" s="155" t="s">
        <v>1406</v>
      </c>
      <c r="Y2" s="154"/>
      <c r="Z2" s="154" t="s">
        <v>32</v>
      </c>
      <c r="AA2" s="156">
        <v>45573</v>
      </c>
      <c r="AB2" s="154">
        <v>25</v>
      </c>
      <c r="AC2" s="154">
        <v>80012</v>
      </c>
      <c r="AD2" s="154">
        <v>57</v>
      </c>
      <c r="AE2" s="154" t="s">
        <v>1551</v>
      </c>
      <c r="AF2" s="154">
        <v>57</v>
      </c>
      <c r="AG2" s="154" t="s">
        <v>1552</v>
      </c>
      <c r="AH2" s="154" t="s">
        <v>36</v>
      </c>
      <c r="AI2" s="154">
        <v>57</v>
      </c>
      <c r="AJ2" s="154">
        <v>1756</v>
      </c>
      <c r="AK2" s="154" t="s">
        <v>1407</v>
      </c>
      <c r="AL2" s="154">
        <v>28098</v>
      </c>
      <c r="AM2" s="154" t="s">
        <v>1418</v>
      </c>
      <c r="AN2" s="154" t="s">
        <v>1448</v>
      </c>
      <c r="AO2" s="154">
        <v>28</v>
      </c>
      <c r="AP2" s="154" t="s">
        <v>1416</v>
      </c>
      <c r="AQ2" s="154">
        <v>0</v>
      </c>
      <c r="AR2" s="154" t="s">
        <v>1410</v>
      </c>
      <c r="AS2" s="154"/>
      <c r="AT2" s="154" t="s">
        <v>1417</v>
      </c>
      <c r="AU2" s="154" t="s">
        <v>1412</v>
      </c>
    </row>
    <row r="3" spans="1:47" x14ac:dyDescent="0.45">
      <c r="A3" s="154">
        <v>2509550072</v>
      </c>
      <c r="B3" s="154">
        <v>57</v>
      </c>
      <c r="C3" s="154" t="s">
        <v>1551</v>
      </c>
      <c r="D3" s="154">
        <v>57</v>
      </c>
      <c r="E3" s="154" t="s">
        <v>1552</v>
      </c>
      <c r="F3" s="154" t="s">
        <v>2785</v>
      </c>
      <c r="G3" s="154" t="s">
        <v>2786</v>
      </c>
      <c r="H3" s="154">
        <v>2</v>
      </c>
      <c r="I3" s="154" t="s">
        <v>224</v>
      </c>
      <c r="J3" s="154" t="s">
        <v>1403</v>
      </c>
      <c r="K3" s="154">
        <v>2025</v>
      </c>
      <c r="L3" s="155">
        <v>2025</v>
      </c>
      <c r="M3" s="156">
        <v>45557</v>
      </c>
      <c r="N3" s="154" t="s">
        <v>36</v>
      </c>
      <c r="O3" s="154" t="s">
        <v>94</v>
      </c>
      <c r="P3" s="154">
        <v>121</v>
      </c>
      <c r="Q3" s="154" t="s">
        <v>1502</v>
      </c>
      <c r="R3" s="154">
        <v>2</v>
      </c>
      <c r="S3" s="154">
        <v>8</v>
      </c>
      <c r="T3" s="154" t="s">
        <v>1503</v>
      </c>
      <c r="U3" s="154">
        <v>6</v>
      </c>
      <c r="V3" s="155">
        <v>2580016</v>
      </c>
      <c r="W3" s="155">
        <v>0</v>
      </c>
      <c r="X3" s="155" t="s">
        <v>1406</v>
      </c>
      <c r="Y3" s="154"/>
      <c r="Z3" s="154" t="s">
        <v>32</v>
      </c>
      <c r="AA3" s="156">
        <v>45575</v>
      </c>
      <c r="AB3" s="154">
        <v>25</v>
      </c>
      <c r="AC3" s="154">
        <v>80016</v>
      </c>
      <c r="AD3" s="154">
        <v>57</v>
      </c>
      <c r="AE3" s="154" t="s">
        <v>1551</v>
      </c>
      <c r="AF3" s="154">
        <v>57</v>
      </c>
      <c r="AG3" s="154" t="s">
        <v>1552</v>
      </c>
      <c r="AH3" s="154" t="s">
        <v>36</v>
      </c>
      <c r="AI3" s="154" t="s">
        <v>94</v>
      </c>
      <c r="AJ3" s="154">
        <v>121</v>
      </c>
      <c r="AK3" s="154" t="s">
        <v>1407</v>
      </c>
      <c r="AL3" s="154">
        <v>28124</v>
      </c>
      <c r="AM3" s="154" t="s">
        <v>1414</v>
      </c>
      <c r="AN3" s="154" t="s">
        <v>1483</v>
      </c>
      <c r="AO3" s="154">
        <v>28</v>
      </c>
      <c r="AP3" s="154" t="s">
        <v>1416</v>
      </c>
      <c r="AQ3" s="154">
        <v>0</v>
      </c>
      <c r="AR3" s="154" t="s">
        <v>1410</v>
      </c>
      <c r="AS3" s="154"/>
      <c r="AT3" s="154" t="s">
        <v>1417</v>
      </c>
      <c r="AU3" s="154" t="s">
        <v>1412</v>
      </c>
    </row>
    <row r="4" spans="1:47" x14ac:dyDescent="0.45">
      <c r="A4" s="154">
        <v>2505700003</v>
      </c>
      <c r="B4" s="154">
        <v>57</v>
      </c>
      <c r="C4" s="154" t="s">
        <v>1551</v>
      </c>
      <c r="D4" s="154">
        <v>57</v>
      </c>
      <c r="E4" s="154" t="s">
        <v>1552</v>
      </c>
      <c r="F4" s="154" t="s">
        <v>2874</v>
      </c>
      <c r="G4" s="154" t="s">
        <v>2875</v>
      </c>
      <c r="H4" s="154">
        <v>1</v>
      </c>
      <c r="I4" s="154" t="s">
        <v>2876</v>
      </c>
      <c r="J4" s="154" t="s">
        <v>1485</v>
      </c>
      <c r="K4" s="154">
        <v>2025</v>
      </c>
      <c r="L4" s="155">
        <v>2025</v>
      </c>
      <c r="M4" s="156">
        <v>45568</v>
      </c>
      <c r="N4" s="154" t="s">
        <v>36</v>
      </c>
      <c r="O4" s="154" t="s">
        <v>135</v>
      </c>
      <c r="P4" s="154">
        <v>502</v>
      </c>
      <c r="Q4" s="154" t="s">
        <v>1500</v>
      </c>
      <c r="R4" s="154">
        <v>2</v>
      </c>
      <c r="S4" s="154">
        <v>5</v>
      </c>
      <c r="T4" s="154" t="s">
        <v>1470</v>
      </c>
      <c r="U4" s="154">
        <v>15</v>
      </c>
      <c r="V4" s="155">
        <v>2580142</v>
      </c>
      <c r="W4" s="155">
        <v>0</v>
      </c>
      <c r="X4" s="155" t="s">
        <v>1406</v>
      </c>
      <c r="Y4" s="154"/>
      <c r="Z4" s="154" t="s">
        <v>1424</v>
      </c>
      <c r="AA4" s="156">
        <v>45701</v>
      </c>
      <c r="AB4" s="154">
        <v>25</v>
      </c>
      <c r="AC4" s="154">
        <v>80142</v>
      </c>
      <c r="AD4" s="154">
        <v>57</v>
      </c>
      <c r="AE4" s="154" t="s">
        <v>1551</v>
      </c>
      <c r="AF4" s="154">
        <v>57</v>
      </c>
      <c r="AG4" s="154" t="s">
        <v>1552</v>
      </c>
      <c r="AH4" s="154" t="s">
        <v>36</v>
      </c>
      <c r="AI4" s="154" t="s">
        <v>135</v>
      </c>
      <c r="AJ4" s="154">
        <v>502</v>
      </c>
      <c r="AK4" s="154" t="s">
        <v>1407</v>
      </c>
      <c r="AL4" s="154">
        <v>31003</v>
      </c>
      <c r="AM4" s="154" t="s">
        <v>1418</v>
      </c>
      <c r="AN4" s="154" t="s">
        <v>2877</v>
      </c>
      <c r="AO4" s="154">
        <v>31</v>
      </c>
      <c r="AP4" s="154" t="s">
        <v>1487</v>
      </c>
      <c r="AQ4" s="154">
        <v>0</v>
      </c>
      <c r="AR4" s="154" t="s">
        <v>1410</v>
      </c>
      <c r="AS4" s="154"/>
      <c r="AT4" s="154" t="s">
        <v>1417</v>
      </c>
      <c r="AU4" s="154" t="s">
        <v>1412</v>
      </c>
    </row>
    <row r="5" spans="1:47" x14ac:dyDescent="0.45">
      <c r="A5" s="154">
        <v>2505700004</v>
      </c>
      <c r="B5" s="154">
        <v>57</v>
      </c>
      <c r="C5" s="154" t="s">
        <v>1551</v>
      </c>
      <c r="D5" s="154">
        <v>57</v>
      </c>
      <c r="E5" s="154" t="s">
        <v>1552</v>
      </c>
      <c r="F5" s="154" t="s">
        <v>2878</v>
      </c>
      <c r="G5" s="154" t="s">
        <v>2879</v>
      </c>
      <c r="H5" s="154">
        <v>1</v>
      </c>
      <c r="I5" s="154" t="s">
        <v>2880</v>
      </c>
      <c r="J5" s="154" t="s">
        <v>1403</v>
      </c>
      <c r="K5" s="154">
        <v>0</v>
      </c>
      <c r="L5" s="155">
        <v>2025</v>
      </c>
      <c r="M5" s="156">
        <v>45574</v>
      </c>
      <c r="N5" s="154" t="s">
        <v>36</v>
      </c>
      <c r="O5" s="154" t="s">
        <v>51</v>
      </c>
      <c r="P5" s="154">
        <v>427</v>
      </c>
      <c r="Q5" s="154" t="s">
        <v>1479</v>
      </c>
      <c r="R5" s="154">
        <v>1</v>
      </c>
      <c r="S5" s="154">
        <v>2</v>
      </c>
      <c r="T5" s="154" t="s">
        <v>1464</v>
      </c>
      <c r="U5" s="154">
        <v>1</v>
      </c>
      <c r="V5" s="155">
        <v>2580054</v>
      </c>
      <c r="W5" s="155">
        <v>0</v>
      </c>
      <c r="X5" s="155" t="s">
        <v>1406</v>
      </c>
      <c r="Y5" s="154"/>
      <c r="Z5" s="154" t="s">
        <v>1407</v>
      </c>
      <c r="AA5" s="156">
        <v>45603</v>
      </c>
      <c r="AB5" s="154">
        <v>25</v>
      </c>
      <c r="AC5" s="154">
        <v>80054</v>
      </c>
      <c r="AD5" s="154">
        <v>57</v>
      </c>
      <c r="AE5" s="154" t="s">
        <v>1551</v>
      </c>
      <c r="AF5" s="154">
        <v>57</v>
      </c>
      <c r="AG5" s="154" t="s">
        <v>1552</v>
      </c>
      <c r="AH5" s="154" t="s">
        <v>36</v>
      </c>
      <c r="AI5" s="154" t="s">
        <v>51</v>
      </c>
      <c r="AJ5" s="154">
        <v>427</v>
      </c>
      <c r="AK5" s="154" t="s">
        <v>1407</v>
      </c>
      <c r="AL5" s="154">
        <v>28239</v>
      </c>
      <c r="AM5" s="154" t="s">
        <v>1418</v>
      </c>
      <c r="AN5" s="154" t="s">
        <v>1454</v>
      </c>
      <c r="AO5" s="154">
        <v>28</v>
      </c>
      <c r="AP5" s="154" t="s">
        <v>1416</v>
      </c>
      <c r="AQ5" s="154">
        <v>0</v>
      </c>
      <c r="AR5" s="154" t="s">
        <v>1410</v>
      </c>
      <c r="AS5" s="154"/>
      <c r="AT5" s="154" t="s">
        <v>1411</v>
      </c>
      <c r="AU5" s="154" t="s">
        <v>1412</v>
      </c>
    </row>
    <row r="6" spans="1:47" x14ac:dyDescent="0.45">
      <c r="A6" s="154">
        <v>2505700005</v>
      </c>
      <c r="B6" s="154">
        <v>57</v>
      </c>
      <c r="C6" s="154" t="s">
        <v>1551</v>
      </c>
      <c r="D6" s="154">
        <v>57</v>
      </c>
      <c r="E6" s="154" t="s">
        <v>1552</v>
      </c>
      <c r="F6" s="154" t="s">
        <v>2881</v>
      </c>
      <c r="G6" s="154" t="s">
        <v>2882</v>
      </c>
      <c r="H6" s="154">
        <v>2</v>
      </c>
      <c r="I6" s="154" t="s">
        <v>2883</v>
      </c>
      <c r="J6" s="154" t="s">
        <v>1403</v>
      </c>
      <c r="K6" s="154">
        <v>2025</v>
      </c>
      <c r="L6" s="155">
        <v>2025</v>
      </c>
      <c r="M6" s="156">
        <v>45589</v>
      </c>
      <c r="N6" s="154" t="s">
        <v>36</v>
      </c>
      <c r="O6" s="154">
        <v>6</v>
      </c>
      <c r="P6" s="154">
        <v>448</v>
      </c>
      <c r="Q6" s="154" t="s">
        <v>1557</v>
      </c>
      <c r="R6" s="154">
        <v>2</v>
      </c>
      <c r="S6" s="154">
        <v>1</v>
      </c>
      <c r="T6" s="154" t="s">
        <v>1527</v>
      </c>
      <c r="U6" s="154">
        <v>3</v>
      </c>
      <c r="V6" s="155">
        <v>2580047</v>
      </c>
      <c r="W6" s="155">
        <v>0</v>
      </c>
      <c r="X6" s="155" t="s">
        <v>1406</v>
      </c>
      <c r="Y6" s="154"/>
      <c r="Z6" s="154" t="s">
        <v>1410</v>
      </c>
      <c r="AA6" s="156">
        <v>45602</v>
      </c>
      <c r="AB6" s="154">
        <v>25</v>
      </c>
      <c r="AC6" s="154">
        <v>80047</v>
      </c>
      <c r="AD6" s="154">
        <v>57</v>
      </c>
      <c r="AE6" s="154" t="s">
        <v>1551</v>
      </c>
      <c r="AF6" s="154">
        <v>57</v>
      </c>
      <c r="AG6" s="154" t="s">
        <v>1552</v>
      </c>
      <c r="AH6" s="154" t="s">
        <v>36</v>
      </c>
      <c r="AI6" s="154">
        <v>6</v>
      </c>
      <c r="AJ6" s="154">
        <v>448</v>
      </c>
      <c r="AK6" s="154" t="s">
        <v>1407</v>
      </c>
      <c r="AL6" s="154">
        <v>28224</v>
      </c>
      <c r="AM6" s="154" t="s">
        <v>1414</v>
      </c>
      <c r="AN6" s="154" t="s">
        <v>1621</v>
      </c>
      <c r="AO6" s="154">
        <v>28</v>
      </c>
      <c r="AP6" s="154" t="s">
        <v>1416</v>
      </c>
      <c r="AQ6" s="154">
        <v>0</v>
      </c>
      <c r="AR6" s="154" t="s">
        <v>1410</v>
      </c>
      <c r="AS6" s="154"/>
      <c r="AT6" s="154" t="s">
        <v>1417</v>
      </c>
      <c r="AU6" s="154" t="s">
        <v>1412</v>
      </c>
    </row>
    <row r="7" spans="1:47" x14ac:dyDescent="0.45">
      <c r="A7" s="154">
        <v>2505700006</v>
      </c>
      <c r="B7" s="154">
        <v>57</v>
      </c>
      <c r="C7" s="154" t="s">
        <v>1551</v>
      </c>
      <c r="D7" s="154">
        <v>57</v>
      </c>
      <c r="E7" s="154" t="s">
        <v>1552</v>
      </c>
      <c r="F7" s="154" t="s">
        <v>2884</v>
      </c>
      <c r="G7" s="154" t="s">
        <v>2885</v>
      </c>
      <c r="H7" s="154">
        <v>1</v>
      </c>
      <c r="I7" s="154" t="s">
        <v>2886</v>
      </c>
      <c r="J7" s="154" t="s">
        <v>1629</v>
      </c>
      <c r="K7" s="154">
        <v>2025</v>
      </c>
      <c r="L7" s="155">
        <v>2025</v>
      </c>
      <c r="M7" s="156">
        <v>45598</v>
      </c>
      <c r="N7" s="154" t="s">
        <v>36</v>
      </c>
      <c r="O7" s="154">
        <v>57</v>
      </c>
      <c r="P7" s="154">
        <v>645</v>
      </c>
      <c r="Q7" s="154" t="s">
        <v>1544</v>
      </c>
      <c r="R7" s="154">
        <v>2</v>
      </c>
      <c r="S7" s="154">
        <v>3</v>
      </c>
      <c r="T7" s="154" t="s">
        <v>1477</v>
      </c>
      <c r="U7" s="154">
        <v>4</v>
      </c>
      <c r="V7" s="155">
        <v>2580082</v>
      </c>
      <c r="W7" s="155">
        <v>0</v>
      </c>
      <c r="X7" s="155" t="s">
        <v>1406</v>
      </c>
      <c r="Y7" s="154"/>
      <c r="Z7" s="154" t="s">
        <v>1424</v>
      </c>
      <c r="AA7" s="156">
        <v>45635</v>
      </c>
      <c r="AB7" s="154">
        <v>25</v>
      </c>
      <c r="AC7" s="154">
        <v>80082</v>
      </c>
      <c r="AD7" s="154">
        <v>57</v>
      </c>
      <c r="AE7" s="154" t="s">
        <v>1551</v>
      </c>
      <c r="AF7" s="154">
        <v>57</v>
      </c>
      <c r="AG7" s="154" t="s">
        <v>1552</v>
      </c>
      <c r="AH7" s="154" t="s">
        <v>36</v>
      </c>
      <c r="AI7" s="154">
        <v>57</v>
      </c>
      <c r="AJ7" s="154">
        <v>645</v>
      </c>
      <c r="AK7" s="154" t="s">
        <v>1407</v>
      </c>
      <c r="AL7" s="154">
        <v>39008</v>
      </c>
      <c r="AM7" s="154" t="s">
        <v>1421</v>
      </c>
      <c r="AN7" s="154" t="s">
        <v>2887</v>
      </c>
      <c r="AO7" s="154">
        <v>39</v>
      </c>
      <c r="AP7" s="154" t="s">
        <v>1631</v>
      </c>
      <c r="AQ7" s="154">
        <v>0</v>
      </c>
      <c r="AR7" s="154" t="s">
        <v>1410</v>
      </c>
      <c r="AS7" s="154"/>
      <c r="AT7" s="154" t="s">
        <v>1417</v>
      </c>
      <c r="AU7" s="154" t="s">
        <v>1412</v>
      </c>
    </row>
    <row r="8" spans="1:47" x14ac:dyDescent="0.45">
      <c r="A8" s="154">
        <v>2505700007</v>
      </c>
      <c r="B8" s="154">
        <v>57</v>
      </c>
      <c r="C8" s="154" t="s">
        <v>1551</v>
      </c>
      <c r="D8" s="154">
        <v>57</v>
      </c>
      <c r="E8" s="154" t="s">
        <v>1552</v>
      </c>
      <c r="F8" s="154" t="s">
        <v>2888</v>
      </c>
      <c r="G8" s="154" t="s">
        <v>2889</v>
      </c>
      <c r="H8" s="154">
        <v>1</v>
      </c>
      <c r="I8" s="154" t="s">
        <v>2890</v>
      </c>
      <c r="J8" s="154" t="s">
        <v>1403</v>
      </c>
      <c r="K8" s="154">
        <v>2025</v>
      </c>
      <c r="L8" s="155">
        <v>2025</v>
      </c>
      <c r="M8" s="156">
        <v>45603</v>
      </c>
      <c r="N8" s="154" t="s">
        <v>36</v>
      </c>
      <c r="O8" s="154">
        <v>57</v>
      </c>
      <c r="P8" s="154">
        <v>645</v>
      </c>
      <c r="Q8" s="154" t="s">
        <v>1544</v>
      </c>
      <c r="R8" s="154">
        <v>2</v>
      </c>
      <c r="S8" s="154">
        <v>3</v>
      </c>
      <c r="T8" s="154" t="s">
        <v>1477</v>
      </c>
      <c r="U8" s="154">
        <v>4</v>
      </c>
      <c r="V8" s="155">
        <v>2580084</v>
      </c>
      <c r="W8" s="155">
        <v>0</v>
      </c>
      <c r="X8" s="155" t="s">
        <v>1406</v>
      </c>
      <c r="Y8" s="154"/>
      <c r="Z8" s="154" t="s">
        <v>1424</v>
      </c>
      <c r="AA8" s="156">
        <v>45636</v>
      </c>
      <c r="AB8" s="154">
        <v>25</v>
      </c>
      <c r="AC8" s="154">
        <v>80084</v>
      </c>
      <c r="AD8" s="154">
        <v>57</v>
      </c>
      <c r="AE8" s="154" t="s">
        <v>1551</v>
      </c>
      <c r="AF8" s="154">
        <v>57</v>
      </c>
      <c r="AG8" s="154" t="s">
        <v>1552</v>
      </c>
      <c r="AH8" s="154" t="s">
        <v>36</v>
      </c>
      <c r="AI8" s="154">
        <v>57</v>
      </c>
      <c r="AJ8" s="154">
        <v>645</v>
      </c>
      <c r="AK8" s="154" t="s">
        <v>1407</v>
      </c>
      <c r="AL8" s="154">
        <v>28040</v>
      </c>
      <c r="AM8" s="154" t="s">
        <v>1421</v>
      </c>
      <c r="AN8" s="154" t="s">
        <v>2891</v>
      </c>
      <c r="AO8" s="154">
        <v>28</v>
      </c>
      <c r="AP8" s="154" t="s">
        <v>1416</v>
      </c>
      <c r="AQ8" s="154">
        <v>0</v>
      </c>
      <c r="AR8" s="154" t="s">
        <v>1410</v>
      </c>
      <c r="AS8" s="154"/>
      <c r="AT8" s="154" t="s">
        <v>1417</v>
      </c>
      <c r="AU8" s="154" t="s">
        <v>1412</v>
      </c>
    </row>
    <row r="9" spans="1:47" x14ac:dyDescent="0.45">
      <c r="A9" s="154">
        <v>2505700008</v>
      </c>
      <c r="B9" s="154">
        <v>57</v>
      </c>
      <c r="C9" s="154" t="s">
        <v>1551</v>
      </c>
      <c r="D9" s="154">
        <v>57</v>
      </c>
      <c r="E9" s="154" t="s">
        <v>1552</v>
      </c>
      <c r="F9" s="154" t="s">
        <v>2892</v>
      </c>
      <c r="G9" s="154" t="s">
        <v>2893</v>
      </c>
      <c r="H9" s="154">
        <v>1</v>
      </c>
      <c r="I9" s="154" t="s">
        <v>2894</v>
      </c>
      <c r="J9" s="154" t="s">
        <v>1403</v>
      </c>
      <c r="K9" s="154">
        <v>2025</v>
      </c>
      <c r="L9" s="155">
        <v>2025</v>
      </c>
      <c r="M9" s="156">
        <v>45612</v>
      </c>
      <c r="N9" s="154" t="s">
        <v>36</v>
      </c>
      <c r="O9" s="154" t="s">
        <v>51</v>
      </c>
      <c r="P9" s="154">
        <v>428</v>
      </c>
      <c r="Q9" s="154" t="s">
        <v>1463</v>
      </c>
      <c r="R9" s="154">
        <v>1</v>
      </c>
      <c r="S9" s="154">
        <v>2</v>
      </c>
      <c r="T9" s="154" t="s">
        <v>1464</v>
      </c>
      <c r="U9" s="154">
        <v>1</v>
      </c>
      <c r="V9" s="155">
        <v>2580079</v>
      </c>
      <c r="W9" s="155">
        <v>0</v>
      </c>
      <c r="X9" s="155" t="s">
        <v>1406</v>
      </c>
      <c r="Y9" s="154"/>
      <c r="Z9" s="154" t="s">
        <v>1424</v>
      </c>
      <c r="AA9" s="156">
        <v>45631</v>
      </c>
      <c r="AB9" s="154">
        <v>25</v>
      </c>
      <c r="AC9" s="154">
        <v>80079</v>
      </c>
      <c r="AD9" s="154">
        <v>57</v>
      </c>
      <c r="AE9" s="154" t="s">
        <v>1551</v>
      </c>
      <c r="AF9" s="154">
        <v>57</v>
      </c>
      <c r="AG9" s="154" t="s">
        <v>1552</v>
      </c>
      <c r="AH9" s="154" t="s">
        <v>36</v>
      </c>
      <c r="AI9" s="154" t="s">
        <v>51</v>
      </c>
      <c r="AJ9" s="154">
        <v>428</v>
      </c>
      <c r="AK9" s="154" t="s">
        <v>1407</v>
      </c>
      <c r="AL9" s="154">
        <v>28233</v>
      </c>
      <c r="AM9" s="154" t="s">
        <v>1414</v>
      </c>
      <c r="AN9" s="154" t="s">
        <v>1493</v>
      </c>
      <c r="AO9" s="154">
        <v>28</v>
      </c>
      <c r="AP9" s="154" t="s">
        <v>1416</v>
      </c>
      <c r="AQ9" s="154">
        <v>0</v>
      </c>
      <c r="AR9" s="154" t="s">
        <v>1410</v>
      </c>
      <c r="AS9" s="154"/>
      <c r="AT9" s="154" t="s">
        <v>1417</v>
      </c>
      <c r="AU9" s="154" t="s">
        <v>1412</v>
      </c>
    </row>
    <row r="10" spans="1:47" x14ac:dyDescent="0.45">
      <c r="A10" s="154">
        <v>2505700009</v>
      </c>
      <c r="B10" s="154">
        <v>57</v>
      </c>
      <c r="C10" s="154" t="s">
        <v>1551</v>
      </c>
      <c r="D10" s="154">
        <v>57</v>
      </c>
      <c r="E10" s="154" t="s">
        <v>1552</v>
      </c>
      <c r="F10" s="154" t="s">
        <v>2895</v>
      </c>
      <c r="G10" s="154" t="s">
        <v>2896</v>
      </c>
      <c r="H10" s="154">
        <v>1</v>
      </c>
      <c r="I10" s="154" t="s">
        <v>2897</v>
      </c>
      <c r="J10" s="154" t="s">
        <v>1403</v>
      </c>
      <c r="K10" s="154">
        <v>2025</v>
      </c>
      <c r="L10" s="155">
        <v>2025</v>
      </c>
      <c r="M10" s="156">
        <v>45625</v>
      </c>
      <c r="N10" s="154" t="s">
        <v>36</v>
      </c>
      <c r="O10" s="154" t="s">
        <v>51</v>
      </c>
      <c r="P10" s="154">
        <v>428</v>
      </c>
      <c r="Q10" s="154" t="s">
        <v>1463</v>
      </c>
      <c r="R10" s="154">
        <v>1</v>
      </c>
      <c r="S10" s="154">
        <v>2</v>
      </c>
      <c r="T10" s="154" t="s">
        <v>1464</v>
      </c>
      <c r="U10" s="154">
        <v>1</v>
      </c>
      <c r="V10" s="155">
        <v>2580090</v>
      </c>
      <c r="W10" s="155">
        <v>0</v>
      </c>
      <c r="X10" s="155" t="s">
        <v>1406</v>
      </c>
      <c r="Y10" s="154"/>
      <c r="Z10" s="154" t="s">
        <v>1473</v>
      </c>
      <c r="AA10" s="156">
        <v>45642</v>
      </c>
      <c r="AB10" s="154">
        <v>25</v>
      </c>
      <c r="AC10" s="154">
        <v>80090</v>
      </c>
      <c r="AD10" s="154">
        <v>57</v>
      </c>
      <c r="AE10" s="154" t="s">
        <v>1551</v>
      </c>
      <c r="AF10" s="154">
        <v>57</v>
      </c>
      <c r="AG10" s="154" t="s">
        <v>1552</v>
      </c>
      <c r="AH10" s="154" t="s">
        <v>36</v>
      </c>
      <c r="AI10" s="154" t="s">
        <v>51</v>
      </c>
      <c r="AJ10" s="154">
        <v>428</v>
      </c>
      <c r="AK10" s="154" t="s">
        <v>1407</v>
      </c>
      <c r="AL10" s="154">
        <v>28007</v>
      </c>
      <c r="AM10" s="154" t="s">
        <v>1418</v>
      </c>
      <c r="AN10" s="154" t="s">
        <v>1583</v>
      </c>
      <c r="AO10" s="154">
        <v>28</v>
      </c>
      <c r="AP10" s="154" t="s">
        <v>1416</v>
      </c>
      <c r="AQ10" s="154">
        <v>0</v>
      </c>
      <c r="AR10" s="154" t="s">
        <v>1410</v>
      </c>
      <c r="AS10" s="154"/>
      <c r="AT10" s="154" t="s">
        <v>1417</v>
      </c>
      <c r="AU10" s="154" t="s">
        <v>1412</v>
      </c>
    </row>
    <row r="11" spans="1:47" x14ac:dyDescent="0.45">
      <c r="A11" s="154">
        <v>2513150051</v>
      </c>
      <c r="B11" s="154">
        <v>131</v>
      </c>
      <c r="C11" s="154" t="s">
        <v>1462</v>
      </c>
      <c r="D11" s="154">
        <v>130</v>
      </c>
      <c r="E11" s="154" t="s">
        <v>1402</v>
      </c>
      <c r="F11" s="154" t="s">
        <v>2416</v>
      </c>
      <c r="G11" s="154" t="s">
        <v>2417</v>
      </c>
      <c r="H11" s="154">
        <v>2</v>
      </c>
      <c r="I11" s="154" t="s">
        <v>1108</v>
      </c>
      <c r="J11" s="154" t="s">
        <v>1403</v>
      </c>
      <c r="K11" s="154">
        <v>2025</v>
      </c>
      <c r="L11" s="155">
        <v>2025</v>
      </c>
      <c r="M11" s="156">
        <v>45552</v>
      </c>
      <c r="N11" s="154" t="s">
        <v>36</v>
      </c>
      <c r="O11" s="154" t="s">
        <v>708</v>
      </c>
      <c r="P11" s="154">
        <v>1044</v>
      </c>
      <c r="Q11" s="154" t="s">
        <v>1476</v>
      </c>
      <c r="R11" s="154">
        <v>2</v>
      </c>
      <c r="S11" s="154">
        <v>3</v>
      </c>
      <c r="T11" s="154" t="s">
        <v>1477</v>
      </c>
      <c r="U11" s="154">
        <v>4</v>
      </c>
      <c r="V11" s="155">
        <v>2522532</v>
      </c>
      <c r="W11" s="155">
        <v>0</v>
      </c>
      <c r="X11" s="155" t="s">
        <v>1406</v>
      </c>
      <c r="Y11" s="154"/>
      <c r="Z11" s="154" t="s">
        <v>32</v>
      </c>
      <c r="AA11" s="156">
        <v>45581</v>
      </c>
      <c r="AB11" s="154">
        <v>25</v>
      </c>
      <c r="AC11" s="154">
        <v>22532</v>
      </c>
      <c r="AD11" s="154">
        <v>131</v>
      </c>
      <c r="AE11" s="154" t="s">
        <v>1462</v>
      </c>
      <c r="AF11" s="154">
        <v>130</v>
      </c>
      <c r="AG11" s="154" t="s">
        <v>1402</v>
      </c>
      <c r="AH11" s="154" t="s">
        <v>36</v>
      </c>
      <c r="AI11" s="154" t="s">
        <v>708</v>
      </c>
      <c r="AJ11" s="154">
        <v>1044</v>
      </c>
      <c r="AK11" s="154" t="s">
        <v>1407</v>
      </c>
      <c r="AL11" s="154">
        <v>28098</v>
      </c>
      <c r="AM11" s="154" t="s">
        <v>1418</v>
      </c>
      <c r="AN11" s="154" t="s">
        <v>1448</v>
      </c>
      <c r="AO11" s="154">
        <v>28</v>
      </c>
      <c r="AP11" s="154" t="s">
        <v>1416</v>
      </c>
      <c r="AQ11" s="154">
        <v>0</v>
      </c>
      <c r="AR11" s="154" t="s">
        <v>1410</v>
      </c>
      <c r="AS11" s="154"/>
      <c r="AT11" s="154" t="s">
        <v>1417</v>
      </c>
      <c r="AU11" s="154" t="s">
        <v>1412</v>
      </c>
    </row>
    <row r="12" spans="1:47" x14ac:dyDescent="0.45">
      <c r="A12" s="154">
        <v>2513150053</v>
      </c>
      <c r="B12" s="154">
        <v>131</v>
      </c>
      <c r="C12" s="154" t="s">
        <v>1462</v>
      </c>
      <c r="D12" s="154">
        <v>130</v>
      </c>
      <c r="E12" s="154" t="s">
        <v>1402</v>
      </c>
      <c r="F12" s="154" t="s">
        <v>2420</v>
      </c>
      <c r="G12" s="154" t="s">
        <v>2421</v>
      </c>
      <c r="H12" s="154">
        <v>2</v>
      </c>
      <c r="I12" s="154" t="s">
        <v>2422</v>
      </c>
      <c r="J12" s="154" t="s">
        <v>1403</v>
      </c>
      <c r="K12" s="154">
        <v>2025</v>
      </c>
      <c r="L12" s="155">
        <v>2025</v>
      </c>
      <c r="M12" s="156">
        <v>45582</v>
      </c>
      <c r="N12" s="154" t="s">
        <v>36</v>
      </c>
      <c r="O12" s="154" t="s">
        <v>698</v>
      </c>
      <c r="P12" s="154">
        <v>628</v>
      </c>
      <c r="Q12" s="154" t="s">
        <v>1530</v>
      </c>
      <c r="R12" s="154">
        <v>2</v>
      </c>
      <c r="S12" s="154">
        <v>5</v>
      </c>
      <c r="T12" s="154" t="s">
        <v>1470</v>
      </c>
      <c r="U12" s="154">
        <v>15</v>
      </c>
      <c r="V12" s="155">
        <v>2522568</v>
      </c>
      <c r="W12" s="155">
        <v>0</v>
      </c>
      <c r="X12" s="155" t="s">
        <v>1406</v>
      </c>
      <c r="Y12" s="154"/>
      <c r="Z12" s="154" t="s">
        <v>32</v>
      </c>
      <c r="AA12" s="156">
        <v>45623</v>
      </c>
      <c r="AB12" s="154">
        <v>25</v>
      </c>
      <c r="AC12" s="154">
        <v>22568</v>
      </c>
      <c r="AD12" s="154">
        <v>131</v>
      </c>
      <c r="AE12" s="154" t="s">
        <v>1462</v>
      </c>
      <c r="AF12" s="154">
        <v>130</v>
      </c>
      <c r="AG12" s="154" t="s">
        <v>1402</v>
      </c>
      <c r="AH12" s="154" t="s">
        <v>36</v>
      </c>
      <c r="AI12" s="154" t="s">
        <v>698</v>
      </c>
      <c r="AJ12" s="154">
        <v>628</v>
      </c>
      <c r="AK12" s="154" t="s">
        <v>1407</v>
      </c>
      <c r="AL12" s="154">
        <v>28232</v>
      </c>
      <c r="AM12" s="154" t="s">
        <v>1418</v>
      </c>
      <c r="AN12" s="154" t="s">
        <v>1548</v>
      </c>
      <c r="AO12" s="154">
        <v>28</v>
      </c>
      <c r="AP12" s="154" t="s">
        <v>1416</v>
      </c>
      <c r="AQ12" s="154">
        <v>0</v>
      </c>
      <c r="AR12" s="154" t="s">
        <v>1410</v>
      </c>
      <c r="AS12" s="154"/>
      <c r="AT12" s="154" t="s">
        <v>1417</v>
      </c>
      <c r="AU12" s="154" t="s">
        <v>1412</v>
      </c>
    </row>
    <row r="13" spans="1:47" x14ac:dyDescent="0.45">
      <c r="A13" s="154">
        <v>2513150054</v>
      </c>
      <c r="B13" s="154">
        <v>131</v>
      </c>
      <c r="C13" s="154" t="s">
        <v>1462</v>
      </c>
      <c r="D13" s="154">
        <v>130</v>
      </c>
      <c r="E13" s="154" t="s">
        <v>1402</v>
      </c>
      <c r="F13" s="154" t="s">
        <v>2423</v>
      </c>
      <c r="G13" s="154" t="s">
        <v>2424</v>
      </c>
      <c r="H13" s="154">
        <v>2</v>
      </c>
      <c r="I13" s="154" t="s">
        <v>985</v>
      </c>
      <c r="J13" s="154" t="s">
        <v>1403</v>
      </c>
      <c r="K13" s="154">
        <v>2025</v>
      </c>
      <c r="L13" s="155">
        <v>2025</v>
      </c>
      <c r="M13" s="156">
        <v>45537</v>
      </c>
      <c r="N13" s="154" t="s">
        <v>36</v>
      </c>
      <c r="O13" s="154" t="s">
        <v>741</v>
      </c>
      <c r="P13" s="154">
        <v>581</v>
      </c>
      <c r="Q13" s="154" t="s">
        <v>1489</v>
      </c>
      <c r="R13" s="154">
        <v>2</v>
      </c>
      <c r="S13" s="154">
        <v>10</v>
      </c>
      <c r="T13" s="154" t="s">
        <v>1490</v>
      </c>
      <c r="U13" s="154">
        <v>9</v>
      </c>
      <c r="V13" s="155">
        <v>2522502</v>
      </c>
      <c r="W13" s="155">
        <v>0</v>
      </c>
      <c r="X13" s="155" t="s">
        <v>1406</v>
      </c>
      <c r="Y13" s="154"/>
      <c r="Z13" s="154" t="s">
        <v>32</v>
      </c>
      <c r="AA13" s="156">
        <v>45565</v>
      </c>
      <c r="AB13" s="154">
        <v>25</v>
      </c>
      <c r="AC13" s="154">
        <v>22502</v>
      </c>
      <c r="AD13" s="154">
        <v>131</v>
      </c>
      <c r="AE13" s="154" t="s">
        <v>1462</v>
      </c>
      <c r="AF13" s="154">
        <v>130</v>
      </c>
      <c r="AG13" s="154" t="s">
        <v>1402</v>
      </c>
      <c r="AH13" s="154" t="s">
        <v>36</v>
      </c>
      <c r="AI13" s="154" t="s">
        <v>741</v>
      </c>
      <c r="AJ13" s="154">
        <v>581</v>
      </c>
      <c r="AK13" s="154" t="s">
        <v>1407</v>
      </c>
      <c r="AL13" s="154">
        <v>28097</v>
      </c>
      <c r="AM13" s="154" t="s">
        <v>1418</v>
      </c>
      <c r="AN13" s="154" t="s">
        <v>1531</v>
      </c>
      <c r="AO13" s="154">
        <v>28</v>
      </c>
      <c r="AP13" s="154" t="s">
        <v>1416</v>
      </c>
      <c r="AQ13" s="154">
        <v>0</v>
      </c>
      <c r="AR13" s="154" t="s">
        <v>1410</v>
      </c>
      <c r="AS13" s="154"/>
      <c r="AT13" s="154" t="s">
        <v>1417</v>
      </c>
      <c r="AU13" s="154" t="s">
        <v>1412</v>
      </c>
    </row>
    <row r="14" spans="1:47" x14ac:dyDescent="0.45">
      <c r="A14" s="154">
        <v>2513150055</v>
      </c>
      <c r="B14" s="154">
        <v>131</v>
      </c>
      <c r="C14" s="154" t="s">
        <v>1462</v>
      </c>
      <c r="D14" s="154">
        <v>130</v>
      </c>
      <c r="E14" s="154" t="s">
        <v>1402</v>
      </c>
      <c r="F14" s="154" t="s">
        <v>2425</v>
      </c>
      <c r="G14" s="154" t="s">
        <v>2426</v>
      </c>
      <c r="H14" s="154">
        <v>1</v>
      </c>
      <c r="I14" s="154" t="s">
        <v>2427</v>
      </c>
      <c r="J14" s="154" t="s">
        <v>1403</v>
      </c>
      <c r="K14" s="154">
        <v>2025</v>
      </c>
      <c r="L14" s="155">
        <v>2025</v>
      </c>
      <c r="M14" s="156">
        <v>45537</v>
      </c>
      <c r="N14" s="154" t="s">
        <v>36</v>
      </c>
      <c r="O14" s="154" t="s">
        <v>741</v>
      </c>
      <c r="P14" s="154">
        <v>581</v>
      </c>
      <c r="Q14" s="154" t="s">
        <v>1489</v>
      </c>
      <c r="R14" s="154">
        <v>2</v>
      </c>
      <c r="S14" s="154">
        <v>10</v>
      </c>
      <c r="T14" s="154" t="s">
        <v>1490</v>
      </c>
      <c r="U14" s="154">
        <v>9</v>
      </c>
      <c r="V14" s="155">
        <v>2522522</v>
      </c>
      <c r="W14" s="155">
        <v>0</v>
      </c>
      <c r="X14" s="155" t="s">
        <v>1406</v>
      </c>
      <c r="Y14" s="154"/>
      <c r="Z14" s="154" t="s">
        <v>32</v>
      </c>
      <c r="AA14" s="156">
        <v>45576</v>
      </c>
      <c r="AB14" s="154">
        <v>25</v>
      </c>
      <c r="AC14" s="154">
        <v>22522</v>
      </c>
      <c r="AD14" s="154">
        <v>131</v>
      </c>
      <c r="AE14" s="154" t="s">
        <v>1462</v>
      </c>
      <c r="AF14" s="154">
        <v>130</v>
      </c>
      <c r="AG14" s="154" t="s">
        <v>1402</v>
      </c>
      <c r="AH14" s="154" t="s">
        <v>36</v>
      </c>
      <c r="AI14" s="154" t="s">
        <v>741</v>
      </c>
      <c r="AJ14" s="154">
        <v>581</v>
      </c>
      <c r="AK14" s="154" t="s">
        <v>1407</v>
      </c>
      <c r="AL14" s="154">
        <v>28095</v>
      </c>
      <c r="AM14" s="154" t="s">
        <v>1421</v>
      </c>
      <c r="AN14" s="154" t="s">
        <v>1435</v>
      </c>
      <c r="AO14" s="154">
        <v>28</v>
      </c>
      <c r="AP14" s="154" t="s">
        <v>1416</v>
      </c>
      <c r="AQ14" s="154">
        <v>0</v>
      </c>
      <c r="AR14" s="154" t="s">
        <v>1410</v>
      </c>
      <c r="AS14" s="154"/>
      <c r="AT14" s="154" t="s">
        <v>1417</v>
      </c>
      <c r="AU14" s="154" t="s">
        <v>1412</v>
      </c>
    </row>
    <row r="15" spans="1:47" x14ac:dyDescent="0.45">
      <c r="A15" s="154">
        <v>2513150056</v>
      </c>
      <c r="B15" s="154">
        <v>131</v>
      </c>
      <c r="C15" s="154" t="s">
        <v>1462</v>
      </c>
      <c r="D15" s="154">
        <v>130</v>
      </c>
      <c r="E15" s="154" t="s">
        <v>1402</v>
      </c>
      <c r="F15" s="154" t="s">
        <v>2428</v>
      </c>
      <c r="G15" s="154" t="s">
        <v>2429</v>
      </c>
      <c r="H15" s="154">
        <v>2</v>
      </c>
      <c r="I15" s="154" t="s">
        <v>669</v>
      </c>
      <c r="J15" s="154" t="s">
        <v>1403</v>
      </c>
      <c r="K15" s="154">
        <v>2025</v>
      </c>
      <c r="L15" s="155">
        <v>2025</v>
      </c>
      <c r="M15" s="156">
        <v>45552</v>
      </c>
      <c r="N15" s="154" t="s">
        <v>36</v>
      </c>
      <c r="O15" s="154" t="s">
        <v>708</v>
      </c>
      <c r="P15" s="154">
        <v>645</v>
      </c>
      <c r="Q15" s="154" t="s">
        <v>1544</v>
      </c>
      <c r="R15" s="154">
        <v>2</v>
      </c>
      <c r="S15" s="154">
        <v>3</v>
      </c>
      <c r="T15" s="154" t="s">
        <v>1477</v>
      </c>
      <c r="U15" s="154">
        <v>4</v>
      </c>
      <c r="V15" s="155">
        <v>2522534</v>
      </c>
      <c r="W15" s="155">
        <v>0</v>
      </c>
      <c r="X15" s="155" t="s">
        <v>1406</v>
      </c>
      <c r="Y15" s="154"/>
      <c r="Z15" s="154" t="s">
        <v>32</v>
      </c>
      <c r="AA15" s="156">
        <v>45583</v>
      </c>
      <c r="AB15" s="154">
        <v>25</v>
      </c>
      <c r="AC15" s="154">
        <v>22534</v>
      </c>
      <c r="AD15" s="154">
        <v>131</v>
      </c>
      <c r="AE15" s="154" t="s">
        <v>1462</v>
      </c>
      <c r="AF15" s="154">
        <v>130</v>
      </c>
      <c r="AG15" s="154" t="s">
        <v>1402</v>
      </c>
      <c r="AH15" s="154" t="s">
        <v>36</v>
      </c>
      <c r="AI15" s="154" t="s">
        <v>708</v>
      </c>
      <c r="AJ15" s="154">
        <v>645</v>
      </c>
      <c r="AK15" s="154" t="s">
        <v>1407</v>
      </c>
      <c r="AL15" s="154">
        <v>28255</v>
      </c>
      <c r="AM15" s="154" t="s">
        <v>1421</v>
      </c>
      <c r="AN15" s="154" t="s">
        <v>2825</v>
      </c>
      <c r="AO15" s="154">
        <v>28</v>
      </c>
      <c r="AP15" s="154" t="s">
        <v>1416</v>
      </c>
      <c r="AQ15" s="154">
        <v>0</v>
      </c>
      <c r="AR15" s="154" t="s">
        <v>1410</v>
      </c>
      <c r="AS15" s="154"/>
      <c r="AT15" s="154" t="s">
        <v>1417</v>
      </c>
      <c r="AU15" s="154" t="s">
        <v>1412</v>
      </c>
    </row>
    <row r="16" spans="1:47" x14ac:dyDescent="0.45">
      <c r="A16" s="154">
        <v>2513150059</v>
      </c>
      <c r="B16" s="154">
        <v>131</v>
      </c>
      <c r="C16" s="154" t="s">
        <v>1462</v>
      </c>
      <c r="D16" s="154">
        <v>130</v>
      </c>
      <c r="E16" s="154" t="s">
        <v>1402</v>
      </c>
      <c r="F16" s="154" t="s">
        <v>2436</v>
      </c>
      <c r="G16" s="154" t="s">
        <v>2437</v>
      </c>
      <c r="H16" s="154">
        <v>2</v>
      </c>
      <c r="I16" s="154" t="s">
        <v>608</v>
      </c>
      <c r="J16" s="154" t="s">
        <v>1403</v>
      </c>
      <c r="K16" s="154">
        <v>2025</v>
      </c>
      <c r="L16" s="155">
        <v>2025</v>
      </c>
      <c r="M16" s="156">
        <v>45586</v>
      </c>
      <c r="N16" s="154" t="s">
        <v>36</v>
      </c>
      <c r="O16" s="154" t="s">
        <v>708</v>
      </c>
      <c r="P16" s="154">
        <v>1044</v>
      </c>
      <c r="Q16" s="154" t="s">
        <v>1476</v>
      </c>
      <c r="R16" s="154">
        <v>2</v>
      </c>
      <c r="S16" s="154">
        <v>3</v>
      </c>
      <c r="T16" s="154" t="s">
        <v>1477</v>
      </c>
      <c r="U16" s="154">
        <v>4</v>
      </c>
      <c r="V16" s="155">
        <v>2522558</v>
      </c>
      <c r="W16" s="155">
        <v>0</v>
      </c>
      <c r="X16" s="155" t="s">
        <v>1406</v>
      </c>
      <c r="Y16" s="154"/>
      <c r="Z16" s="154" t="s">
        <v>32</v>
      </c>
      <c r="AA16" s="156">
        <v>45607</v>
      </c>
      <c r="AB16" s="154">
        <v>25</v>
      </c>
      <c r="AC16" s="154">
        <v>22558</v>
      </c>
      <c r="AD16" s="154">
        <v>131</v>
      </c>
      <c r="AE16" s="154" t="s">
        <v>1462</v>
      </c>
      <c r="AF16" s="154">
        <v>130</v>
      </c>
      <c r="AG16" s="154" t="s">
        <v>1402</v>
      </c>
      <c r="AH16" s="154" t="s">
        <v>36</v>
      </c>
      <c r="AI16" s="154" t="s">
        <v>708</v>
      </c>
      <c r="AJ16" s="154">
        <v>1044</v>
      </c>
      <c r="AK16" s="154" t="s">
        <v>1407</v>
      </c>
      <c r="AL16" s="154">
        <v>28283</v>
      </c>
      <c r="AM16" s="154" t="s">
        <v>1421</v>
      </c>
      <c r="AN16" s="154" t="s">
        <v>2843</v>
      </c>
      <c r="AO16" s="154">
        <v>28</v>
      </c>
      <c r="AP16" s="154" t="s">
        <v>1416</v>
      </c>
      <c r="AQ16" s="154">
        <v>0</v>
      </c>
      <c r="AR16" s="154" t="s">
        <v>1410</v>
      </c>
      <c r="AS16" s="154"/>
      <c r="AT16" s="154" t="s">
        <v>1417</v>
      </c>
      <c r="AU16" s="154" t="s">
        <v>1412</v>
      </c>
    </row>
    <row r="17" spans="1:47" x14ac:dyDescent="0.45">
      <c r="A17" s="154">
        <v>2513150061</v>
      </c>
      <c r="B17" s="154">
        <v>131</v>
      </c>
      <c r="C17" s="154" t="s">
        <v>1462</v>
      </c>
      <c r="D17" s="154">
        <v>130</v>
      </c>
      <c r="E17" s="154" t="s">
        <v>1402</v>
      </c>
      <c r="F17" s="154" t="s">
        <v>2440</v>
      </c>
      <c r="G17" s="154" t="s">
        <v>2441</v>
      </c>
      <c r="H17" s="154">
        <v>1</v>
      </c>
      <c r="I17" s="154" t="s">
        <v>2442</v>
      </c>
      <c r="J17" s="154" t="s">
        <v>1403</v>
      </c>
      <c r="K17" s="154">
        <v>2025</v>
      </c>
      <c r="L17" s="155">
        <v>2025</v>
      </c>
      <c r="M17" s="156">
        <v>45589</v>
      </c>
      <c r="N17" s="154" t="s">
        <v>36</v>
      </c>
      <c r="O17" s="154" t="s">
        <v>704</v>
      </c>
      <c r="P17" s="154">
        <v>260</v>
      </c>
      <c r="Q17" s="154" t="s">
        <v>1519</v>
      </c>
      <c r="R17" s="154">
        <v>2</v>
      </c>
      <c r="S17" s="154">
        <v>2</v>
      </c>
      <c r="T17" s="154" t="s">
        <v>1464</v>
      </c>
      <c r="U17" s="154">
        <v>1</v>
      </c>
      <c r="V17" s="155">
        <v>2522553</v>
      </c>
      <c r="W17" s="155">
        <v>0</v>
      </c>
      <c r="X17" s="155" t="s">
        <v>1406</v>
      </c>
      <c r="Y17" s="154"/>
      <c r="Z17" s="154" t="s">
        <v>32</v>
      </c>
      <c r="AA17" s="156">
        <v>45602</v>
      </c>
      <c r="AB17" s="154">
        <v>25</v>
      </c>
      <c r="AC17" s="154">
        <v>22553</v>
      </c>
      <c r="AD17" s="154">
        <v>131</v>
      </c>
      <c r="AE17" s="154" t="s">
        <v>1462</v>
      </c>
      <c r="AF17" s="154">
        <v>130</v>
      </c>
      <c r="AG17" s="154" t="s">
        <v>1402</v>
      </c>
      <c r="AH17" s="154" t="s">
        <v>36</v>
      </c>
      <c r="AI17" s="154" t="s">
        <v>704</v>
      </c>
      <c r="AJ17" s="154">
        <v>260</v>
      </c>
      <c r="AK17" s="154" t="s">
        <v>1407</v>
      </c>
      <c r="AL17" s="154">
        <v>28168</v>
      </c>
      <c r="AM17" s="154" t="s">
        <v>1418</v>
      </c>
      <c r="AN17" s="154" t="s">
        <v>1475</v>
      </c>
      <c r="AO17" s="154">
        <v>28</v>
      </c>
      <c r="AP17" s="154" t="s">
        <v>1416</v>
      </c>
      <c r="AQ17" s="154">
        <v>0</v>
      </c>
      <c r="AR17" s="154" t="s">
        <v>1410</v>
      </c>
      <c r="AS17" s="154"/>
      <c r="AT17" s="154" t="s">
        <v>1417</v>
      </c>
      <c r="AU17" s="154" t="s">
        <v>1412</v>
      </c>
    </row>
    <row r="18" spans="1:47" x14ac:dyDescent="0.45">
      <c r="A18" s="154">
        <v>2513150062</v>
      </c>
      <c r="B18" s="154">
        <v>131</v>
      </c>
      <c r="C18" s="154" t="s">
        <v>1462</v>
      </c>
      <c r="D18" s="154">
        <v>130</v>
      </c>
      <c r="E18" s="154" t="s">
        <v>1402</v>
      </c>
      <c r="F18" s="154" t="s">
        <v>2443</v>
      </c>
      <c r="G18" s="154" t="s">
        <v>2444</v>
      </c>
      <c r="H18" s="154">
        <v>2</v>
      </c>
      <c r="I18" s="154" t="s">
        <v>2445</v>
      </c>
      <c r="J18" s="154" t="s">
        <v>1403</v>
      </c>
      <c r="K18" s="154">
        <v>2025</v>
      </c>
      <c r="L18" s="155">
        <v>2025</v>
      </c>
      <c r="M18" s="156">
        <v>45593</v>
      </c>
      <c r="N18" s="154" t="s">
        <v>36</v>
      </c>
      <c r="O18" s="154" t="s">
        <v>704</v>
      </c>
      <c r="P18" s="154">
        <v>968</v>
      </c>
      <c r="Q18" s="154" t="s">
        <v>1474</v>
      </c>
      <c r="R18" s="154">
        <v>2</v>
      </c>
      <c r="S18" s="154">
        <v>2</v>
      </c>
      <c r="T18" s="154" t="s">
        <v>1464</v>
      </c>
      <c r="U18" s="154">
        <v>1</v>
      </c>
      <c r="V18" s="155">
        <v>2522587</v>
      </c>
      <c r="W18" s="155">
        <v>0</v>
      </c>
      <c r="X18" s="155" t="s">
        <v>1406</v>
      </c>
      <c r="Y18" s="154"/>
      <c r="Z18" s="154" t="s">
        <v>32</v>
      </c>
      <c r="AA18" s="156">
        <v>45672</v>
      </c>
      <c r="AB18" s="154">
        <v>25</v>
      </c>
      <c r="AC18" s="154">
        <v>22587</v>
      </c>
      <c r="AD18" s="154">
        <v>131</v>
      </c>
      <c r="AE18" s="154" t="s">
        <v>1462</v>
      </c>
      <c r="AF18" s="154">
        <v>130</v>
      </c>
      <c r="AG18" s="154" t="s">
        <v>1402</v>
      </c>
      <c r="AH18" s="154" t="s">
        <v>36</v>
      </c>
      <c r="AI18" s="154" t="s">
        <v>704</v>
      </c>
      <c r="AJ18" s="154">
        <v>968</v>
      </c>
      <c r="AK18" s="154" t="s">
        <v>1407</v>
      </c>
      <c r="AL18" s="154">
        <v>28017</v>
      </c>
      <c r="AM18" s="154" t="s">
        <v>1421</v>
      </c>
      <c r="AN18" s="154" t="s">
        <v>1536</v>
      </c>
      <c r="AO18" s="154">
        <v>28</v>
      </c>
      <c r="AP18" s="154" t="s">
        <v>1416</v>
      </c>
      <c r="AQ18" s="154">
        <v>0</v>
      </c>
      <c r="AR18" s="154" t="s">
        <v>1410</v>
      </c>
      <c r="AS18" s="154"/>
      <c r="AT18" s="154" t="s">
        <v>1417</v>
      </c>
      <c r="AU18" s="154" t="s">
        <v>1412</v>
      </c>
    </row>
    <row r="19" spans="1:47" x14ac:dyDescent="0.45">
      <c r="A19" s="154">
        <v>2513150064</v>
      </c>
      <c r="B19" s="154">
        <v>131</v>
      </c>
      <c r="C19" s="154" t="s">
        <v>1462</v>
      </c>
      <c r="D19" s="154">
        <v>130</v>
      </c>
      <c r="E19" s="154" t="s">
        <v>1402</v>
      </c>
      <c r="F19" s="154" t="s">
        <v>2448</v>
      </c>
      <c r="G19" s="154" t="s">
        <v>2449</v>
      </c>
      <c r="H19" s="154">
        <v>1</v>
      </c>
      <c r="I19" s="154" t="s">
        <v>2450</v>
      </c>
      <c r="J19" s="154" t="s">
        <v>1403</v>
      </c>
      <c r="K19" s="154">
        <v>2025</v>
      </c>
      <c r="L19" s="155">
        <v>2025</v>
      </c>
      <c r="M19" s="156">
        <v>45554</v>
      </c>
      <c r="N19" s="154" t="s">
        <v>36</v>
      </c>
      <c r="O19" s="154" t="s">
        <v>704</v>
      </c>
      <c r="P19" s="154">
        <v>428</v>
      </c>
      <c r="Q19" s="154" t="s">
        <v>1463</v>
      </c>
      <c r="R19" s="154">
        <v>2</v>
      </c>
      <c r="S19" s="154">
        <v>2</v>
      </c>
      <c r="T19" s="154" t="s">
        <v>1464</v>
      </c>
      <c r="U19" s="154">
        <v>1</v>
      </c>
      <c r="V19" s="155">
        <v>0</v>
      </c>
      <c r="W19" s="155">
        <v>0</v>
      </c>
      <c r="X19" s="155" t="s">
        <v>1406</v>
      </c>
      <c r="Y19" s="156">
        <v>45609</v>
      </c>
      <c r="Z19" s="154" t="s">
        <v>32</v>
      </c>
      <c r="AA19" s="154"/>
      <c r="AB19" s="154">
        <v>0</v>
      </c>
      <c r="AC19" s="154">
        <v>0</v>
      </c>
      <c r="AD19" s="154">
        <v>0</v>
      </c>
      <c r="AE19" s="154" t="s">
        <v>1446</v>
      </c>
      <c r="AF19" s="154"/>
      <c r="AG19" s="154" t="s">
        <v>1446</v>
      </c>
      <c r="AH19" s="154"/>
      <c r="AI19" s="154"/>
      <c r="AJ19" s="154">
        <v>0</v>
      </c>
      <c r="AK19" s="154" t="s">
        <v>1473</v>
      </c>
      <c r="AL19" s="154">
        <v>28169</v>
      </c>
      <c r="AM19" s="154" t="s">
        <v>1418</v>
      </c>
      <c r="AN19" s="154" t="s">
        <v>1547</v>
      </c>
      <c r="AO19" s="154">
        <v>28</v>
      </c>
      <c r="AP19" s="154" t="s">
        <v>1416</v>
      </c>
      <c r="AQ19" s="154">
        <v>0</v>
      </c>
      <c r="AR19" s="154" t="s">
        <v>1410</v>
      </c>
      <c r="AS19" s="154"/>
      <c r="AT19" s="154" t="s">
        <v>1417</v>
      </c>
      <c r="AU19" s="154" t="s">
        <v>1412</v>
      </c>
    </row>
    <row r="20" spans="1:47" x14ac:dyDescent="0.45">
      <c r="A20" s="154">
        <v>2513150065</v>
      </c>
      <c r="B20" s="154">
        <v>131</v>
      </c>
      <c r="C20" s="154" t="s">
        <v>1462</v>
      </c>
      <c r="D20" s="154">
        <v>130</v>
      </c>
      <c r="E20" s="154" t="s">
        <v>1402</v>
      </c>
      <c r="F20" s="154" t="s">
        <v>2452</v>
      </c>
      <c r="G20" s="154" t="s">
        <v>2453</v>
      </c>
      <c r="H20" s="154">
        <v>2</v>
      </c>
      <c r="I20" s="154" t="s">
        <v>2454</v>
      </c>
      <c r="J20" s="154" t="s">
        <v>1403</v>
      </c>
      <c r="K20" s="154">
        <v>2025</v>
      </c>
      <c r="L20" s="155">
        <v>2025</v>
      </c>
      <c r="M20" s="156">
        <v>45552</v>
      </c>
      <c r="N20" s="154" t="s">
        <v>36</v>
      </c>
      <c r="O20" s="154" t="s">
        <v>708</v>
      </c>
      <c r="P20" s="154">
        <v>1044</v>
      </c>
      <c r="Q20" s="154" t="s">
        <v>1476</v>
      </c>
      <c r="R20" s="154">
        <v>2</v>
      </c>
      <c r="S20" s="154">
        <v>3</v>
      </c>
      <c r="T20" s="154" t="s">
        <v>1477</v>
      </c>
      <c r="U20" s="154">
        <v>4</v>
      </c>
      <c r="V20" s="155">
        <v>2522542</v>
      </c>
      <c r="W20" s="155">
        <v>0</v>
      </c>
      <c r="X20" s="155" t="s">
        <v>1406</v>
      </c>
      <c r="Y20" s="154"/>
      <c r="Z20" s="154" t="s">
        <v>32</v>
      </c>
      <c r="AA20" s="156">
        <v>45595</v>
      </c>
      <c r="AB20" s="154">
        <v>25</v>
      </c>
      <c r="AC20" s="154">
        <v>22542</v>
      </c>
      <c r="AD20" s="154">
        <v>131</v>
      </c>
      <c r="AE20" s="154" t="s">
        <v>1462</v>
      </c>
      <c r="AF20" s="154">
        <v>130</v>
      </c>
      <c r="AG20" s="154" t="s">
        <v>1402</v>
      </c>
      <c r="AH20" s="154" t="s">
        <v>36</v>
      </c>
      <c r="AI20" s="154" t="s">
        <v>708</v>
      </c>
      <c r="AJ20" s="154">
        <v>1044</v>
      </c>
      <c r="AK20" s="154" t="s">
        <v>1407</v>
      </c>
      <c r="AL20" s="154">
        <v>28170</v>
      </c>
      <c r="AM20" s="154" t="s">
        <v>1418</v>
      </c>
      <c r="AN20" s="154" t="s">
        <v>2844</v>
      </c>
      <c r="AO20" s="154">
        <v>28</v>
      </c>
      <c r="AP20" s="154" t="s">
        <v>1416</v>
      </c>
      <c r="AQ20" s="154">
        <v>0</v>
      </c>
      <c r="AR20" s="154" t="s">
        <v>1410</v>
      </c>
      <c r="AS20" s="154"/>
      <c r="AT20" s="154" t="s">
        <v>1417</v>
      </c>
      <c r="AU20" s="154" t="s">
        <v>1412</v>
      </c>
    </row>
    <row r="21" spans="1:47" x14ac:dyDescent="0.45">
      <c r="A21" s="154">
        <v>2513150066</v>
      </c>
      <c r="B21" s="154">
        <v>131</v>
      </c>
      <c r="C21" s="154" t="s">
        <v>1462</v>
      </c>
      <c r="D21" s="154">
        <v>130</v>
      </c>
      <c r="E21" s="154" t="s">
        <v>1402</v>
      </c>
      <c r="F21" s="154" t="s">
        <v>2455</v>
      </c>
      <c r="G21" s="154" t="s">
        <v>2456</v>
      </c>
      <c r="H21" s="154">
        <v>1</v>
      </c>
      <c r="I21" s="154" t="s">
        <v>2457</v>
      </c>
      <c r="J21" s="154" t="s">
        <v>1403</v>
      </c>
      <c r="K21" s="154">
        <v>2025</v>
      </c>
      <c r="L21" s="155">
        <v>2025</v>
      </c>
      <c r="M21" s="156">
        <v>45544</v>
      </c>
      <c r="N21" s="154" t="s">
        <v>36</v>
      </c>
      <c r="O21" s="154" t="s">
        <v>698</v>
      </c>
      <c r="P21" s="154">
        <v>502</v>
      </c>
      <c r="Q21" s="154" t="s">
        <v>1500</v>
      </c>
      <c r="R21" s="154">
        <v>2</v>
      </c>
      <c r="S21" s="154">
        <v>5</v>
      </c>
      <c r="T21" s="154" t="s">
        <v>1470</v>
      </c>
      <c r="U21" s="154">
        <v>15</v>
      </c>
      <c r="V21" s="155">
        <v>2522528</v>
      </c>
      <c r="W21" s="155">
        <v>0</v>
      </c>
      <c r="X21" s="155" t="s">
        <v>1406</v>
      </c>
      <c r="Y21" s="154"/>
      <c r="Z21" s="154" t="s">
        <v>32</v>
      </c>
      <c r="AA21" s="156">
        <v>45580</v>
      </c>
      <c r="AB21" s="154">
        <v>25</v>
      </c>
      <c r="AC21" s="154">
        <v>22528</v>
      </c>
      <c r="AD21" s="154">
        <v>131</v>
      </c>
      <c r="AE21" s="154" t="s">
        <v>1462</v>
      </c>
      <c r="AF21" s="154">
        <v>130</v>
      </c>
      <c r="AG21" s="154" t="s">
        <v>1402</v>
      </c>
      <c r="AH21" s="154" t="s">
        <v>36</v>
      </c>
      <c r="AI21" s="154" t="s">
        <v>698</v>
      </c>
      <c r="AJ21" s="154">
        <v>502</v>
      </c>
      <c r="AK21" s="154" t="s">
        <v>1407</v>
      </c>
      <c r="AL21" s="154">
        <v>28095</v>
      </c>
      <c r="AM21" s="154" t="s">
        <v>1421</v>
      </c>
      <c r="AN21" s="154" t="s">
        <v>1435</v>
      </c>
      <c r="AO21" s="154">
        <v>28</v>
      </c>
      <c r="AP21" s="154" t="s">
        <v>1416</v>
      </c>
      <c r="AQ21" s="154">
        <v>0</v>
      </c>
      <c r="AR21" s="154" t="s">
        <v>1410</v>
      </c>
      <c r="AS21" s="154"/>
      <c r="AT21" s="154" t="s">
        <v>1417</v>
      </c>
      <c r="AU21" s="154" t="s">
        <v>1412</v>
      </c>
    </row>
    <row r="22" spans="1:47" x14ac:dyDescent="0.45">
      <c r="A22" s="154">
        <v>2513150067</v>
      </c>
      <c r="B22" s="154">
        <v>131</v>
      </c>
      <c r="C22" s="154" t="s">
        <v>1462</v>
      </c>
      <c r="D22" s="154">
        <v>130</v>
      </c>
      <c r="E22" s="154" t="s">
        <v>1402</v>
      </c>
      <c r="F22" s="154" t="s">
        <v>2458</v>
      </c>
      <c r="G22" s="154" t="s">
        <v>2459</v>
      </c>
      <c r="H22" s="154">
        <v>1</v>
      </c>
      <c r="I22" s="154" t="s">
        <v>2460</v>
      </c>
      <c r="J22" s="154" t="s">
        <v>1403</v>
      </c>
      <c r="K22" s="154">
        <v>2025</v>
      </c>
      <c r="L22" s="155">
        <v>2025</v>
      </c>
      <c r="M22" s="156">
        <v>45548</v>
      </c>
      <c r="N22" s="154" t="s">
        <v>36</v>
      </c>
      <c r="O22" s="154" t="s">
        <v>698</v>
      </c>
      <c r="P22" s="154">
        <v>502</v>
      </c>
      <c r="Q22" s="154" t="s">
        <v>1500</v>
      </c>
      <c r="R22" s="154">
        <v>2</v>
      </c>
      <c r="S22" s="154">
        <v>5</v>
      </c>
      <c r="T22" s="154" t="s">
        <v>1470</v>
      </c>
      <c r="U22" s="154">
        <v>15</v>
      </c>
      <c r="V22" s="155">
        <v>2522523</v>
      </c>
      <c r="W22" s="155">
        <v>166</v>
      </c>
      <c r="X22" s="155" t="s">
        <v>1501</v>
      </c>
      <c r="Y22" s="154"/>
      <c r="Z22" s="154" t="s">
        <v>32</v>
      </c>
      <c r="AA22" s="156">
        <v>45580</v>
      </c>
      <c r="AB22" s="154">
        <v>25</v>
      </c>
      <c r="AC22" s="154">
        <v>22523</v>
      </c>
      <c r="AD22" s="154">
        <v>131</v>
      </c>
      <c r="AE22" s="154" t="s">
        <v>1462</v>
      </c>
      <c r="AF22" s="154">
        <v>130</v>
      </c>
      <c r="AG22" s="154" t="s">
        <v>1402</v>
      </c>
      <c r="AH22" s="154" t="s">
        <v>36</v>
      </c>
      <c r="AI22" s="154" t="s">
        <v>698</v>
      </c>
      <c r="AJ22" s="154">
        <v>502</v>
      </c>
      <c r="AK22" s="154" t="s">
        <v>1407</v>
      </c>
      <c r="AL22" s="154">
        <v>28095</v>
      </c>
      <c r="AM22" s="154" t="s">
        <v>1421</v>
      </c>
      <c r="AN22" s="154" t="s">
        <v>1435</v>
      </c>
      <c r="AO22" s="154">
        <v>28</v>
      </c>
      <c r="AP22" s="154" t="s">
        <v>1416</v>
      </c>
      <c r="AQ22" s="154">
        <v>0</v>
      </c>
      <c r="AR22" s="154" t="s">
        <v>1410</v>
      </c>
      <c r="AS22" s="154"/>
      <c r="AT22" s="154" t="s">
        <v>1417</v>
      </c>
      <c r="AU22" s="154" t="s">
        <v>1412</v>
      </c>
    </row>
    <row r="23" spans="1:47" x14ac:dyDescent="0.45">
      <c r="A23" s="154">
        <v>2513150068</v>
      </c>
      <c r="B23" s="154">
        <v>131</v>
      </c>
      <c r="C23" s="154" t="s">
        <v>1462</v>
      </c>
      <c r="D23" s="154">
        <v>130</v>
      </c>
      <c r="E23" s="154" t="s">
        <v>1402</v>
      </c>
      <c r="F23" s="154" t="s">
        <v>2461</v>
      </c>
      <c r="G23" s="154" t="s">
        <v>2462</v>
      </c>
      <c r="H23" s="154">
        <v>1</v>
      </c>
      <c r="I23" s="154" t="s">
        <v>2294</v>
      </c>
      <c r="J23" s="154" t="s">
        <v>1403</v>
      </c>
      <c r="K23" s="154">
        <v>2025</v>
      </c>
      <c r="L23" s="155">
        <v>2025</v>
      </c>
      <c r="M23" s="156">
        <v>45538</v>
      </c>
      <c r="N23" s="154" t="s">
        <v>36</v>
      </c>
      <c r="O23" s="154" t="s">
        <v>741</v>
      </c>
      <c r="P23" s="154">
        <v>581</v>
      </c>
      <c r="Q23" s="154" t="s">
        <v>1489</v>
      </c>
      <c r="R23" s="154">
        <v>2</v>
      </c>
      <c r="S23" s="154">
        <v>10</v>
      </c>
      <c r="T23" s="154" t="s">
        <v>1490</v>
      </c>
      <c r="U23" s="154">
        <v>9</v>
      </c>
      <c r="V23" s="155">
        <v>2522512</v>
      </c>
      <c r="W23" s="155">
        <v>0</v>
      </c>
      <c r="X23" s="155" t="s">
        <v>1406</v>
      </c>
      <c r="Y23" s="154"/>
      <c r="Z23" s="154" t="s">
        <v>32</v>
      </c>
      <c r="AA23" s="156">
        <v>45568</v>
      </c>
      <c r="AB23" s="154">
        <v>25</v>
      </c>
      <c r="AC23" s="154">
        <v>22512</v>
      </c>
      <c r="AD23" s="154">
        <v>131</v>
      </c>
      <c r="AE23" s="154" t="s">
        <v>1462</v>
      </c>
      <c r="AF23" s="154">
        <v>130</v>
      </c>
      <c r="AG23" s="154" t="s">
        <v>1402</v>
      </c>
      <c r="AH23" s="154" t="s">
        <v>36</v>
      </c>
      <c r="AI23" s="154" t="s">
        <v>741</v>
      </c>
      <c r="AJ23" s="154">
        <v>581</v>
      </c>
      <c r="AK23" s="154" t="s">
        <v>1407</v>
      </c>
      <c r="AL23" s="154">
        <v>28247</v>
      </c>
      <c r="AM23" s="154" t="s">
        <v>1418</v>
      </c>
      <c r="AN23" s="154" t="s">
        <v>1419</v>
      </c>
      <c r="AO23" s="154">
        <v>28</v>
      </c>
      <c r="AP23" s="154" t="s">
        <v>1416</v>
      </c>
      <c r="AQ23" s="154">
        <v>0</v>
      </c>
      <c r="AR23" s="154" t="s">
        <v>1410</v>
      </c>
      <c r="AS23" s="154"/>
      <c r="AT23" s="154" t="s">
        <v>1417</v>
      </c>
      <c r="AU23" s="154" t="s">
        <v>1412</v>
      </c>
    </row>
    <row r="24" spans="1:47" x14ac:dyDescent="0.45">
      <c r="A24" s="154">
        <v>2513150069</v>
      </c>
      <c r="B24" s="154">
        <v>131</v>
      </c>
      <c r="C24" s="154" t="s">
        <v>1462</v>
      </c>
      <c r="D24" s="154">
        <v>130</v>
      </c>
      <c r="E24" s="154" t="s">
        <v>1402</v>
      </c>
      <c r="F24" s="154" t="s">
        <v>2464</v>
      </c>
      <c r="G24" s="154" t="s">
        <v>2465</v>
      </c>
      <c r="H24" s="154">
        <v>2</v>
      </c>
      <c r="I24" s="154" t="s">
        <v>2466</v>
      </c>
      <c r="J24" s="154" t="s">
        <v>1468</v>
      </c>
      <c r="K24" s="154">
        <v>2025</v>
      </c>
      <c r="L24" s="155">
        <v>2025</v>
      </c>
      <c r="M24" s="156">
        <v>45572</v>
      </c>
      <c r="N24" s="154" t="s">
        <v>36</v>
      </c>
      <c r="O24" s="154" t="s">
        <v>741</v>
      </c>
      <c r="P24" s="154">
        <v>581</v>
      </c>
      <c r="Q24" s="154" t="s">
        <v>1489</v>
      </c>
      <c r="R24" s="154">
        <v>2</v>
      </c>
      <c r="S24" s="154">
        <v>10</v>
      </c>
      <c r="T24" s="154" t="s">
        <v>1490</v>
      </c>
      <c r="U24" s="154">
        <v>9</v>
      </c>
      <c r="V24" s="155">
        <v>0</v>
      </c>
      <c r="W24" s="155">
        <v>0</v>
      </c>
      <c r="X24" s="155" t="s">
        <v>1406</v>
      </c>
      <c r="Y24" s="156">
        <v>45678</v>
      </c>
      <c r="Z24" s="154" t="s">
        <v>32</v>
      </c>
      <c r="AA24" s="154"/>
      <c r="AB24" s="154">
        <v>0</v>
      </c>
      <c r="AC24" s="154">
        <v>0</v>
      </c>
      <c r="AD24" s="154">
        <v>0</v>
      </c>
      <c r="AE24" s="154" t="s">
        <v>1446</v>
      </c>
      <c r="AF24" s="154"/>
      <c r="AG24" s="154" t="s">
        <v>1446</v>
      </c>
      <c r="AH24" s="154"/>
      <c r="AI24" s="154"/>
      <c r="AJ24" s="154">
        <v>0</v>
      </c>
      <c r="AK24" s="154" t="s">
        <v>1410</v>
      </c>
      <c r="AL24" s="154">
        <v>33018</v>
      </c>
      <c r="AM24" s="154" t="s">
        <v>1418</v>
      </c>
      <c r="AN24" s="154" t="s">
        <v>2845</v>
      </c>
      <c r="AO24" s="154">
        <v>33</v>
      </c>
      <c r="AP24" s="154" t="s">
        <v>1427</v>
      </c>
      <c r="AQ24" s="154">
        <v>0</v>
      </c>
      <c r="AR24" s="154" t="s">
        <v>1410</v>
      </c>
      <c r="AS24" s="154"/>
      <c r="AT24" s="154" t="s">
        <v>1417</v>
      </c>
      <c r="AU24" s="154" t="s">
        <v>1412</v>
      </c>
    </row>
    <row r="25" spans="1:47" x14ac:dyDescent="0.45">
      <c r="A25" s="154">
        <v>2513150070</v>
      </c>
      <c r="B25" s="154">
        <v>131</v>
      </c>
      <c r="C25" s="154" t="s">
        <v>1462</v>
      </c>
      <c r="D25" s="154">
        <v>130</v>
      </c>
      <c r="E25" s="154" t="s">
        <v>1402</v>
      </c>
      <c r="F25" s="154" t="s">
        <v>2467</v>
      </c>
      <c r="G25" s="154" t="s">
        <v>2468</v>
      </c>
      <c r="H25" s="154">
        <v>2</v>
      </c>
      <c r="I25" s="154" t="s">
        <v>2469</v>
      </c>
      <c r="J25" s="154" t="s">
        <v>1403</v>
      </c>
      <c r="K25" s="154">
        <v>2025</v>
      </c>
      <c r="L25" s="155">
        <v>2025</v>
      </c>
      <c r="M25" s="156">
        <v>45541</v>
      </c>
      <c r="N25" s="154" t="s">
        <v>36</v>
      </c>
      <c r="O25" s="154" t="s">
        <v>741</v>
      </c>
      <c r="P25" s="154">
        <v>1680</v>
      </c>
      <c r="Q25" s="154" t="s">
        <v>2836</v>
      </c>
      <c r="R25" s="154">
        <v>2</v>
      </c>
      <c r="S25" s="154">
        <v>10</v>
      </c>
      <c r="T25" s="154" t="s">
        <v>1490</v>
      </c>
      <c r="U25" s="154">
        <v>9</v>
      </c>
      <c r="V25" s="155">
        <v>2522597</v>
      </c>
      <c r="W25" s="155">
        <v>0</v>
      </c>
      <c r="X25" s="155" t="s">
        <v>1406</v>
      </c>
      <c r="Y25" s="154"/>
      <c r="Z25" s="154" t="s">
        <v>32</v>
      </c>
      <c r="AA25" s="156">
        <v>45688</v>
      </c>
      <c r="AB25" s="154">
        <v>25</v>
      </c>
      <c r="AC25" s="154">
        <v>22597</v>
      </c>
      <c r="AD25" s="154">
        <v>131</v>
      </c>
      <c r="AE25" s="154" t="s">
        <v>1462</v>
      </c>
      <c r="AF25" s="154">
        <v>130</v>
      </c>
      <c r="AG25" s="154" t="s">
        <v>1402</v>
      </c>
      <c r="AH25" s="154" t="s">
        <v>36</v>
      </c>
      <c r="AI25" s="154" t="s">
        <v>741</v>
      </c>
      <c r="AJ25" s="154">
        <v>1680</v>
      </c>
      <c r="AK25" s="154" t="s">
        <v>1407</v>
      </c>
      <c r="AL25" s="154">
        <v>28168</v>
      </c>
      <c r="AM25" s="154" t="s">
        <v>1418</v>
      </c>
      <c r="AN25" s="154" t="s">
        <v>1475</v>
      </c>
      <c r="AO25" s="154">
        <v>28</v>
      </c>
      <c r="AP25" s="154" t="s">
        <v>1416</v>
      </c>
      <c r="AQ25" s="154">
        <v>0</v>
      </c>
      <c r="AR25" s="154" t="s">
        <v>1410</v>
      </c>
      <c r="AS25" s="154"/>
      <c r="AT25" s="154" t="s">
        <v>1417</v>
      </c>
      <c r="AU25" s="154" t="s">
        <v>1412</v>
      </c>
    </row>
    <row r="26" spans="1:47" x14ac:dyDescent="0.45">
      <c r="A26" s="154">
        <v>2513150071</v>
      </c>
      <c r="B26" s="154">
        <v>131</v>
      </c>
      <c r="C26" s="154" t="s">
        <v>1462</v>
      </c>
      <c r="D26" s="154">
        <v>130</v>
      </c>
      <c r="E26" s="154" t="s">
        <v>1402</v>
      </c>
      <c r="F26" s="154" t="s">
        <v>2470</v>
      </c>
      <c r="G26" s="154" t="s">
        <v>2471</v>
      </c>
      <c r="H26" s="154">
        <v>1</v>
      </c>
      <c r="I26" s="154" t="s">
        <v>2472</v>
      </c>
      <c r="J26" s="154" t="s">
        <v>1403</v>
      </c>
      <c r="K26" s="154">
        <v>2025</v>
      </c>
      <c r="L26" s="155">
        <v>2025</v>
      </c>
      <c r="M26" s="156">
        <v>45552</v>
      </c>
      <c r="N26" s="154" t="s">
        <v>36</v>
      </c>
      <c r="O26" s="154" t="s">
        <v>708</v>
      </c>
      <c r="P26" s="154">
        <v>969</v>
      </c>
      <c r="Q26" s="154" t="s">
        <v>1582</v>
      </c>
      <c r="R26" s="154">
        <v>2</v>
      </c>
      <c r="S26" s="154">
        <v>3</v>
      </c>
      <c r="T26" s="154" t="s">
        <v>1477</v>
      </c>
      <c r="U26" s="154">
        <v>4</v>
      </c>
      <c r="V26" s="155">
        <v>2522527</v>
      </c>
      <c r="W26" s="155">
        <v>0</v>
      </c>
      <c r="X26" s="155" t="s">
        <v>1406</v>
      </c>
      <c r="Y26" s="154"/>
      <c r="Z26" s="154" t="s">
        <v>32</v>
      </c>
      <c r="AA26" s="156">
        <v>45580</v>
      </c>
      <c r="AB26" s="154">
        <v>25</v>
      </c>
      <c r="AC26" s="154">
        <v>22527</v>
      </c>
      <c r="AD26" s="154">
        <v>131</v>
      </c>
      <c r="AE26" s="154" t="s">
        <v>1462</v>
      </c>
      <c r="AF26" s="154">
        <v>130</v>
      </c>
      <c r="AG26" s="154" t="s">
        <v>1402</v>
      </c>
      <c r="AH26" s="154" t="s">
        <v>36</v>
      </c>
      <c r="AI26" s="154" t="s">
        <v>708</v>
      </c>
      <c r="AJ26" s="154">
        <v>969</v>
      </c>
      <c r="AK26" s="154" t="s">
        <v>1407</v>
      </c>
      <c r="AL26" s="154">
        <v>28330</v>
      </c>
      <c r="AM26" s="154" t="s">
        <v>1421</v>
      </c>
      <c r="AN26" s="154" t="s">
        <v>2868</v>
      </c>
      <c r="AO26" s="154">
        <v>28</v>
      </c>
      <c r="AP26" s="154" t="s">
        <v>1416</v>
      </c>
      <c r="AQ26" s="154">
        <v>0</v>
      </c>
      <c r="AR26" s="154" t="s">
        <v>1410</v>
      </c>
      <c r="AS26" s="154"/>
      <c r="AT26" s="154" t="s">
        <v>1417</v>
      </c>
      <c r="AU26" s="154" t="s">
        <v>1412</v>
      </c>
    </row>
    <row r="27" spans="1:47" x14ac:dyDescent="0.45">
      <c r="A27" s="154">
        <v>2513150072</v>
      </c>
      <c r="B27" s="154">
        <v>131</v>
      </c>
      <c r="C27" s="154" t="s">
        <v>1462</v>
      </c>
      <c r="D27" s="154">
        <v>130</v>
      </c>
      <c r="E27" s="154" t="s">
        <v>1402</v>
      </c>
      <c r="F27" s="154" t="s">
        <v>2473</v>
      </c>
      <c r="G27" s="154" t="s">
        <v>2474</v>
      </c>
      <c r="H27" s="154">
        <v>1</v>
      </c>
      <c r="I27" s="154" t="s">
        <v>519</v>
      </c>
      <c r="J27" s="154" t="s">
        <v>1403</v>
      </c>
      <c r="K27" s="154">
        <v>2025</v>
      </c>
      <c r="L27" s="155">
        <v>2025</v>
      </c>
      <c r="M27" s="156">
        <v>45544</v>
      </c>
      <c r="N27" s="154" t="s">
        <v>36</v>
      </c>
      <c r="O27" s="154" t="s">
        <v>793</v>
      </c>
      <c r="P27" s="154">
        <v>427</v>
      </c>
      <c r="Q27" s="154" t="s">
        <v>1479</v>
      </c>
      <c r="R27" s="154">
        <v>1</v>
      </c>
      <c r="S27" s="154">
        <v>2</v>
      </c>
      <c r="T27" s="154" t="s">
        <v>1464</v>
      </c>
      <c r="U27" s="154">
        <v>1</v>
      </c>
      <c r="V27" s="155">
        <v>0</v>
      </c>
      <c r="W27" s="155">
        <v>0</v>
      </c>
      <c r="X27" s="155" t="s">
        <v>1406</v>
      </c>
      <c r="Y27" s="156">
        <v>45572</v>
      </c>
      <c r="Z27" s="154" t="s">
        <v>32</v>
      </c>
      <c r="AA27" s="154"/>
      <c r="AB27" s="154">
        <v>0</v>
      </c>
      <c r="AC27" s="154">
        <v>0</v>
      </c>
      <c r="AD27" s="154">
        <v>0</v>
      </c>
      <c r="AE27" s="154" t="s">
        <v>1446</v>
      </c>
      <c r="AF27" s="154"/>
      <c r="AG27" s="154" t="s">
        <v>1446</v>
      </c>
      <c r="AH27" s="154"/>
      <c r="AI27" s="154"/>
      <c r="AJ27" s="154">
        <v>0</v>
      </c>
      <c r="AK27" s="154" t="s">
        <v>1473</v>
      </c>
      <c r="AL27" s="154">
        <v>28185</v>
      </c>
      <c r="AM27" s="154" t="s">
        <v>1418</v>
      </c>
      <c r="AN27" s="154" t="s">
        <v>1438</v>
      </c>
      <c r="AO27" s="154">
        <v>28</v>
      </c>
      <c r="AP27" s="154" t="s">
        <v>1416</v>
      </c>
      <c r="AQ27" s="154">
        <v>0</v>
      </c>
      <c r="AR27" s="154" t="s">
        <v>1410</v>
      </c>
      <c r="AS27" s="154"/>
      <c r="AT27" s="154" t="s">
        <v>1417</v>
      </c>
      <c r="AU27" s="154" t="s">
        <v>1412</v>
      </c>
    </row>
    <row r="28" spans="1:47" x14ac:dyDescent="0.45">
      <c r="A28" s="154">
        <v>2513150073</v>
      </c>
      <c r="B28" s="154">
        <v>131</v>
      </c>
      <c r="C28" s="154" t="s">
        <v>1462</v>
      </c>
      <c r="D28" s="154">
        <v>130</v>
      </c>
      <c r="E28" s="154" t="s">
        <v>1402</v>
      </c>
      <c r="F28" s="154" t="s">
        <v>2475</v>
      </c>
      <c r="G28" s="154" t="s">
        <v>2476</v>
      </c>
      <c r="H28" s="154">
        <v>2</v>
      </c>
      <c r="I28" s="154" t="s">
        <v>2477</v>
      </c>
      <c r="J28" s="154" t="s">
        <v>1403</v>
      </c>
      <c r="K28" s="154">
        <v>2025</v>
      </c>
      <c r="L28" s="155">
        <v>2025</v>
      </c>
      <c r="M28" s="156">
        <v>45537</v>
      </c>
      <c r="N28" s="154" t="s">
        <v>36</v>
      </c>
      <c r="O28" s="154" t="s">
        <v>698</v>
      </c>
      <c r="P28" s="154">
        <v>870</v>
      </c>
      <c r="Q28" s="154" t="s">
        <v>1610</v>
      </c>
      <c r="R28" s="154">
        <v>2</v>
      </c>
      <c r="S28" s="154">
        <v>5</v>
      </c>
      <c r="T28" s="154" t="s">
        <v>1470</v>
      </c>
      <c r="U28" s="154">
        <v>15</v>
      </c>
      <c r="V28" s="155">
        <v>2522513</v>
      </c>
      <c r="W28" s="155">
        <v>0</v>
      </c>
      <c r="X28" s="155" t="s">
        <v>1406</v>
      </c>
      <c r="Y28" s="154"/>
      <c r="Z28" s="154" t="s">
        <v>32</v>
      </c>
      <c r="AA28" s="156">
        <v>45572</v>
      </c>
      <c r="AB28" s="154">
        <v>25</v>
      </c>
      <c r="AC28" s="154">
        <v>22513</v>
      </c>
      <c r="AD28" s="154">
        <v>131</v>
      </c>
      <c r="AE28" s="154" t="s">
        <v>1462</v>
      </c>
      <c r="AF28" s="154">
        <v>130</v>
      </c>
      <c r="AG28" s="154" t="s">
        <v>1402</v>
      </c>
      <c r="AH28" s="154" t="s">
        <v>36</v>
      </c>
      <c r="AI28" s="154" t="s">
        <v>698</v>
      </c>
      <c r="AJ28" s="154">
        <v>870</v>
      </c>
      <c r="AK28" s="154" t="s">
        <v>1407</v>
      </c>
      <c r="AL28" s="154">
        <v>28098</v>
      </c>
      <c r="AM28" s="154" t="s">
        <v>1418</v>
      </c>
      <c r="AN28" s="154" t="s">
        <v>1448</v>
      </c>
      <c r="AO28" s="154">
        <v>28</v>
      </c>
      <c r="AP28" s="154" t="s">
        <v>1416</v>
      </c>
      <c r="AQ28" s="154">
        <v>0</v>
      </c>
      <c r="AR28" s="154" t="s">
        <v>1410</v>
      </c>
      <c r="AS28" s="154"/>
      <c r="AT28" s="154" t="s">
        <v>1417</v>
      </c>
      <c r="AU28" s="154" t="s">
        <v>1412</v>
      </c>
    </row>
    <row r="29" spans="1:47" x14ac:dyDescent="0.45">
      <c r="A29" s="154">
        <v>2513150074</v>
      </c>
      <c r="B29" s="154">
        <v>131</v>
      </c>
      <c r="C29" s="154" t="s">
        <v>1462</v>
      </c>
      <c r="D29" s="154">
        <v>130</v>
      </c>
      <c r="E29" s="154" t="s">
        <v>1402</v>
      </c>
      <c r="F29" s="154" t="s">
        <v>2478</v>
      </c>
      <c r="G29" s="154" t="s">
        <v>2479</v>
      </c>
      <c r="H29" s="154">
        <v>1</v>
      </c>
      <c r="I29" s="154" t="s">
        <v>2480</v>
      </c>
      <c r="J29" s="154" t="s">
        <v>1403</v>
      </c>
      <c r="K29" s="154">
        <v>2025</v>
      </c>
      <c r="L29" s="155">
        <v>2025</v>
      </c>
      <c r="M29" s="156">
        <v>45544</v>
      </c>
      <c r="N29" s="154" t="s">
        <v>36</v>
      </c>
      <c r="O29" s="154" t="s">
        <v>698</v>
      </c>
      <c r="P29" s="154">
        <v>502</v>
      </c>
      <c r="Q29" s="154" t="s">
        <v>1500</v>
      </c>
      <c r="R29" s="154">
        <v>2</v>
      </c>
      <c r="S29" s="154">
        <v>5</v>
      </c>
      <c r="T29" s="154" t="s">
        <v>1470</v>
      </c>
      <c r="U29" s="154">
        <v>15</v>
      </c>
      <c r="V29" s="155">
        <v>2522580</v>
      </c>
      <c r="W29" s="155">
        <v>0</v>
      </c>
      <c r="X29" s="155" t="s">
        <v>1406</v>
      </c>
      <c r="Y29" s="154"/>
      <c r="Z29" s="154" t="s">
        <v>32</v>
      </c>
      <c r="AA29" s="156">
        <v>45649</v>
      </c>
      <c r="AB29" s="154">
        <v>25</v>
      </c>
      <c r="AC29" s="154">
        <v>22580</v>
      </c>
      <c r="AD29" s="154">
        <v>131</v>
      </c>
      <c r="AE29" s="154" t="s">
        <v>1462</v>
      </c>
      <c r="AF29" s="154">
        <v>130</v>
      </c>
      <c r="AG29" s="154" t="s">
        <v>1402</v>
      </c>
      <c r="AH29" s="154" t="s">
        <v>36</v>
      </c>
      <c r="AI29" s="154" t="s">
        <v>698</v>
      </c>
      <c r="AJ29" s="154">
        <v>502</v>
      </c>
      <c r="AK29" s="154" t="s">
        <v>1407</v>
      </c>
      <c r="AL29" s="154">
        <v>28094</v>
      </c>
      <c r="AM29" s="154" t="s">
        <v>1421</v>
      </c>
      <c r="AN29" s="154" t="s">
        <v>1437</v>
      </c>
      <c r="AO29" s="154">
        <v>28</v>
      </c>
      <c r="AP29" s="154" t="s">
        <v>1416</v>
      </c>
      <c r="AQ29" s="154">
        <v>0</v>
      </c>
      <c r="AR29" s="154" t="s">
        <v>1410</v>
      </c>
      <c r="AS29" s="154"/>
      <c r="AT29" s="154" t="s">
        <v>1417</v>
      </c>
      <c r="AU29" s="154" t="s">
        <v>1412</v>
      </c>
    </row>
    <row r="30" spans="1:47" x14ac:dyDescent="0.45">
      <c r="A30" s="154">
        <v>2513150075</v>
      </c>
      <c r="B30" s="154">
        <v>131</v>
      </c>
      <c r="C30" s="154" t="s">
        <v>1462</v>
      </c>
      <c r="D30" s="154">
        <v>130</v>
      </c>
      <c r="E30" s="154" t="s">
        <v>1402</v>
      </c>
      <c r="F30" s="154" t="s">
        <v>2481</v>
      </c>
      <c r="G30" s="154" t="s">
        <v>2482</v>
      </c>
      <c r="H30" s="154">
        <v>1</v>
      </c>
      <c r="I30" s="154" t="s">
        <v>2353</v>
      </c>
      <c r="J30" s="154" t="s">
        <v>1403</v>
      </c>
      <c r="K30" s="154">
        <v>2025</v>
      </c>
      <c r="L30" s="155">
        <v>2025</v>
      </c>
      <c r="M30" s="156">
        <v>45568</v>
      </c>
      <c r="N30" s="154" t="s">
        <v>36</v>
      </c>
      <c r="O30" s="154" t="s">
        <v>698</v>
      </c>
      <c r="P30" s="154">
        <v>502</v>
      </c>
      <c r="Q30" s="154" t="s">
        <v>1500</v>
      </c>
      <c r="R30" s="154">
        <v>2</v>
      </c>
      <c r="S30" s="154">
        <v>5</v>
      </c>
      <c r="T30" s="154" t="s">
        <v>1470</v>
      </c>
      <c r="U30" s="154">
        <v>15</v>
      </c>
      <c r="V30" s="155">
        <v>2522579</v>
      </c>
      <c r="W30" s="155">
        <v>0</v>
      </c>
      <c r="X30" s="155" t="s">
        <v>1406</v>
      </c>
      <c r="Y30" s="154"/>
      <c r="Z30" s="154" t="s">
        <v>32</v>
      </c>
      <c r="AA30" s="156">
        <v>45649</v>
      </c>
      <c r="AB30" s="154">
        <v>25</v>
      </c>
      <c r="AC30" s="154">
        <v>22579</v>
      </c>
      <c r="AD30" s="154">
        <v>131</v>
      </c>
      <c r="AE30" s="154" t="s">
        <v>1462</v>
      </c>
      <c r="AF30" s="154">
        <v>130</v>
      </c>
      <c r="AG30" s="154" t="s">
        <v>1402</v>
      </c>
      <c r="AH30" s="154" t="s">
        <v>36</v>
      </c>
      <c r="AI30" s="154" t="s">
        <v>698</v>
      </c>
      <c r="AJ30" s="154">
        <v>502</v>
      </c>
      <c r="AK30" s="154" t="s">
        <v>1407</v>
      </c>
      <c r="AL30" s="154">
        <v>28157</v>
      </c>
      <c r="AM30" s="154" t="s">
        <v>1414</v>
      </c>
      <c r="AN30" s="154" t="s">
        <v>1415</v>
      </c>
      <c r="AO30" s="154">
        <v>28</v>
      </c>
      <c r="AP30" s="154" t="s">
        <v>1416</v>
      </c>
      <c r="AQ30" s="154">
        <v>0</v>
      </c>
      <c r="AR30" s="154" t="s">
        <v>1410</v>
      </c>
      <c r="AS30" s="154"/>
      <c r="AT30" s="154" t="s">
        <v>1417</v>
      </c>
      <c r="AU30" s="154" t="s">
        <v>1412</v>
      </c>
    </row>
    <row r="31" spans="1:47" x14ac:dyDescent="0.45">
      <c r="A31" s="154">
        <v>2513150076</v>
      </c>
      <c r="B31" s="154">
        <v>131</v>
      </c>
      <c r="C31" s="154" t="s">
        <v>1462</v>
      </c>
      <c r="D31" s="154">
        <v>130</v>
      </c>
      <c r="E31" s="154" t="s">
        <v>1402</v>
      </c>
      <c r="F31" s="154" t="s">
        <v>2483</v>
      </c>
      <c r="G31" s="154" t="s">
        <v>2484</v>
      </c>
      <c r="H31" s="154">
        <v>1</v>
      </c>
      <c r="I31" s="154" t="s">
        <v>2485</v>
      </c>
      <c r="J31" s="154" t="s">
        <v>1403</v>
      </c>
      <c r="K31" s="154">
        <v>2025</v>
      </c>
      <c r="L31" s="155">
        <v>2025</v>
      </c>
      <c r="M31" s="156">
        <v>45572</v>
      </c>
      <c r="N31" s="154" t="s">
        <v>36</v>
      </c>
      <c r="O31" s="154" t="s">
        <v>708</v>
      </c>
      <c r="P31" s="154">
        <v>1044</v>
      </c>
      <c r="Q31" s="154" t="s">
        <v>1476</v>
      </c>
      <c r="R31" s="154">
        <v>2</v>
      </c>
      <c r="S31" s="154">
        <v>3</v>
      </c>
      <c r="T31" s="154" t="s">
        <v>1477</v>
      </c>
      <c r="U31" s="154">
        <v>4</v>
      </c>
      <c r="V31" s="155">
        <v>2522600</v>
      </c>
      <c r="W31" s="155">
        <v>0</v>
      </c>
      <c r="X31" s="155" t="s">
        <v>1406</v>
      </c>
      <c r="Y31" s="154"/>
      <c r="Z31" s="154" t="s">
        <v>32</v>
      </c>
      <c r="AA31" s="156">
        <v>45692</v>
      </c>
      <c r="AB31" s="154">
        <v>25</v>
      </c>
      <c r="AC31" s="154">
        <v>22600</v>
      </c>
      <c r="AD31" s="154">
        <v>131</v>
      </c>
      <c r="AE31" s="154" t="s">
        <v>1462</v>
      </c>
      <c r="AF31" s="154">
        <v>130</v>
      </c>
      <c r="AG31" s="154" t="s">
        <v>1402</v>
      </c>
      <c r="AH31" s="154" t="s">
        <v>36</v>
      </c>
      <c r="AI31" s="154" t="s">
        <v>708</v>
      </c>
      <c r="AJ31" s="154">
        <v>1044</v>
      </c>
      <c r="AK31" s="154" t="s">
        <v>1407</v>
      </c>
      <c r="AL31" s="154">
        <v>28240</v>
      </c>
      <c r="AM31" s="154" t="s">
        <v>1418</v>
      </c>
      <c r="AN31" s="154" t="s">
        <v>1523</v>
      </c>
      <c r="AO31" s="154">
        <v>28</v>
      </c>
      <c r="AP31" s="154" t="s">
        <v>1416</v>
      </c>
      <c r="AQ31" s="154">
        <v>0</v>
      </c>
      <c r="AR31" s="154" t="s">
        <v>1410</v>
      </c>
      <c r="AS31" s="154"/>
      <c r="AT31" s="154" t="s">
        <v>1417</v>
      </c>
      <c r="AU31" s="154" t="s">
        <v>1412</v>
      </c>
    </row>
    <row r="32" spans="1:47" x14ac:dyDescent="0.45">
      <c r="A32" s="154">
        <v>2513150077</v>
      </c>
      <c r="B32" s="154">
        <v>131</v>
      </c>
      <c r="C32" s="154" t="s">
        <v>1462</v>
      </c>
      <c r="D32" s="154">
        <v>130</v>
      </c>
      <c r="E32" s="154" t="s">
        <v>1402</v>
      </c>
      <c r="F32" s="154" t="s">
        <v>2486</v>
      </c>
      <c r="G32" s="154" t="s">
        <v>2487</v>
      </c>
      <c r="H32" s="154">
        <v>2</v>
      </c>
      <c r="I32" s="154" t="s">
        <v>1361</v>
      </c>
      <c r="J32" s="154" t="s">
        <v>1403</v>
      </c>
      <c r="K32" s="154">
        <v>2025</v>
      </c>
      <c r="L32" s="155">
        <v>2025</v>
      </c>
      <c r="M32" s="156">
        <v>45572</v>
      </c>
      <c r="N32" s="154" t="s">
        <v>36</v>
      </c>
      <c r="O32" s="154" t="s">
        <v>793</v>
      </c>
      <c r="P32" s="154">
        <v>427</v>
      </c>
      <c r="Q32" s="154" t="s">
        <v>1479</v>
      </c>
      <c r="R32" s="154">
        <v>1</v>
      </c>
      <c r="S32" s="154">
        <v>2</v>
      </c>
      <c r="T32" s="154" t="s">
        <v>1464</v>
      </c>
      <c r="U32" s="154">
        <v>1</v>
      </c>
      <c r="V32" s="155">
        <v>0</v>
      </c>
      <c r="W32" s="155">
        <v>0</v>
      </c>
      <c r="X32" s="155" t="s">
        <v>1406</v>
      </c>
      <c r="Y32" s="156">
        <v>45671</v>
      </c>
      <c r="Z32" s="154" t="s">
        <v>32</v>
      </c>
      <c r="AA32" s="154"/>
      <c r="AB32" s="154">
        <v>0</v>
      </c>
      <c r="AC32" s="154">
        <v>0</v>
      </c>
      <c r="AD32" s="154">
        <v>0</v>
      </c>
      <c r="AE32" s="154" t="s">
        <v>1446</v>
      </c>
      <c r="AF32" s="154"/>
      <c r="AG32" s="154" t="s">
        <v>1446</v>
      </c>
      <c r="AH32" s="154"/>
      <c r="AI32" s="154"/>
      <c r="AJ32" s="154">
        <v>0</v>
      </c>
      <c r="AK32" s="154" t="s">
        <v>1473</v>
      </c>
      <c r="AL32" s="154">
        <v>28193</v>
      </c>
      <c r="AM32" s="154" t="s">
        <v>1418</v>
      </c>
      <c r="AN32" s="154" t="s">
        <v>1439</v>
      </c>
      <c r="AO32" s="154">
        <v>28</v>
      </c>
      <c r="AP32" s="154" t="s">
        <v>1416</v>
      </c>
      <c r="AQ32" s="154">
        <v>0</v>
      </c>
      <c r="AR32" s="154" t="s">
        <v>1410</v>
      </c>
      <c r="AS32" s="154"/>
      <c r="AT32" s="154" t="s">
        <v>1417</v>
      </c>
      <c r="AU32" s="154" t="s">
        <v>1412</v>
      </c>
    </row>
    <row r="33" spans="1:47" x14ac:dyDescent="0.45">
      <c r="A33" s="154">
        <v>2513150080</v>
      </c>
      <c r="B33" s="154">
        <v>131</v>
      </c>
      <c r="C33" s="154" t="s">
        <v>1462</v>
      </c>
      <c r="D33" s="154">
        <v>130</v>
      </c>
      <c r="E33" s="154" t="s">
        <v>1402</v>
      </c>
      <c r="F33" s="154" t="s">
        <v>2494</v>
      </c>
      <c r="G33" s="154" t="s">
        <v>2495</v>
      </c>
      <c r="H33" s="154">
        <v>1</v>
      </c>
      <c r="I33" s="154" t="s">
        <v>2496</v>
      </c>
      <c r="J33" s="154" t="s">
        <v>1468</v>
      </c>
      <c r="K33" s="154">
        <v>2025</v>
      </c>
      <c r="L33" s="155">
        <v>2025</v>
      </c>
      <c r="M33" s="156">
        <v>45567</v>
      </c>
      <c r="N33" s="154" t="s">
        <v>36</v>
      </c>
      <c r="O33" s="154" t="s">
        <v>698</v>
      </c>
      <c r="P33" s="154">
        <v>112</v>
      </c>
      <c r="Q33" s="154" t="s">
        <v>1522</v>
      </c>
      <c r="R33" s="154">
        <v>2</v>
      </c>
      <c r="S33" s="154">
        <v>5</v>
      </c>
      <c r="T33" s="154" t="s">
        <v>1470</v>
      </c>
      <c r="U33" s="154">
        <v>15</v>
      </c>
      <c r="V33" s="155">
        <v>2522584</v>
      </c>
      <c r="W33" s="155">
        <v>0</v>
      </c>
      <c r="X33" s="155" t="s">
        <v>1406</v>
      </c>
      <c r="Y33" s="154"/>
      <c r="Z33" s="154" t="s">
        <v>32</v>
      </c>
      <c r="AA33" s="156">
        <v>45667</v>
      </c>
      <c r="AB33" s="154">
        <v>25</v>
      </c>
      <c r="AC33" s="154">
        <v>22584</v>
      </c>
      <c r="AD33" s="154">
        <v>131</v>
      </c>
      <c r="AE33" s="154" t="s">
        <v>1462</v>
      </c>
      <c r="AF33" s="154">
        <v>130</v>
      </c>
      <c r="AG33" s="154" t="s">
        <v>1402</v>
      </c>
      <c r="AH33" s="154" t="s">
        <v>36</v>
      </c>
      <c r="AI33" s="154" t="s">
        <v>698</v>
      </c>
      <c r="AJ33" s="154">
        <v>112</v>
      </c>
      <c r="AK33" s="154" t="s">
        <v>1407</v>
      </c>
      <c r="AL33" s="154">
        <v>33076</v>
      </c>
      <c r="AM33" s="154" t="s">
        <v>1421</v>
      </c>
      <c r="AN33" s="154" t="s">
        <v>2846</v>
      </c>
      <c r="AO33" s="154">
        <v>33</v>
      </c>
      <c r="AP33" s="154" t="s">
        <v>1427</v>
      </c>
      <c r="AQ33" s="154">
        <v>0</v>
      </c>
      <c r="AR33" s="154" t="s">
        <v>1410</v>
      </c>
      <c r="AS33" s="154"/>
      <c r="AT33" s="154" t="s">
        <v>1417</v>
      </c>
      <c r="AU33" s="154" t="s">
        <v>1412</v>
      </c>
    </row>
    <row r="34" spans="1:47" x14ac:dyDescent="0.45">
      <c r="A34" s="154">
        <v>2513150082</v>
      </c>
      <c r="B34" s="154">
        <v>131</v>
      </c>
      <c r="C34" s="154" t="s">
        <v>1462</v>
      </c>
      <c r="D34" s="154">
        <v>130</v>
      </c>
      <c r="E34" s="154" t="s">
        <v>1402</v>
      </c>
      <c r="F34" s="154" t="s">
        <v>2500</v>
      </c>
      <c r="G34" s="154" t="s">
        <v>2501</v>
      </c>
      <c r="H34" s="154">
        <v>1</v>
      </c>
      <c r="I34" s="154" t="s">
        <v>2502</v>
      </c>
      <c r="J34" s="154" t="s">
        <v>1403</v>
      </c>
      <c r="K34" s="154">
        <v>2025</v>
      </c>
      <c r="L34" s="155">
        <v>2025</v>
      </c>
      <c r="M34" s="156">
        <v>45596</v>
      </c>
      <c r="N34" s="154" t="s">
        <v>36</v>
      </c>
      <c r="O34" s="154" t="s">
        <v>793</v>
      </c>
      <c r="P34" s="154">
        <v>427</v>
      </c>
      <c r="Q34" s="154" t="s">
        <v>1479</v>
      </c>
      <c r="R34" s="154">
        <v>1</v>
      </c>
      <c r="S34" s="154">
        <v>2</v>
      </c>
      <c r="T34" s="154" t="s">
        <v>1464</v>
      </c>
      <c r="U34" s="154">
        <v>1</v>
      </c>
      <c r="V34" s="155">
        <v>0</v>
      </c>
      <c r="W34" s="155">
        <v>0</v>
      </c>
      <c r="X34" s="155" t="s">
        <v>1406</v>
      </c>
      <c r="Y34" s="156">
        <v>45672</v>
      </c>
      <c r="Z34" s="154" t="s">
        <v>32</v>
      </c>
      <c r="AA34" s="154"/>
      <c r="AB34" s="154">
        <v>0</v>
      </c>
      <c r="AC34" s="154">
        <v>0</v>
      </c>
      <c r="AD34" s="154">
        <v>0</v>
      </c>
      <c r="AE34" s="154" t="s">
        <v>1446</v>
      </c>
      <c r="AF34" s="154"/>
      <c r="AG34" s="154" t="s">
        <v>1446</v>
      </c>
      <c r="AH34" s="154"/>
      <c r="AI34" s="154"/>
      <c r="AJ34" s="154">
        <v>0</v>
      </c>
      <c r="AK34" s="154" t="s">
        <v>1473</v>
      </c>
      <c r="AL34" s="154">
        <v>28098</v>
      </c>
      <c r="AM34" s="154" t="s">
        <v>1418</v>
      </c>
      <c r="AN34" s="154" t="s">
        <v>1448</v>
      </c>
      <c r="AO34" s="154">
        <v>28</v>
      </c>
      <c r="AP34" s="154" t="s">
        <v>1416</v>
      </c>
      <c r="AQ34" s="154">
        <v>0</v>
      </c>
      <c r="AR34" s="154" t="s">
        <v>1410</v>
      </c>
      <c r="AS34" s="154"/>
      <c r="AT34" s="154" t="s">
        <v>1417</v>
      </c>
      <c r="AU34" s="154" t="s">
        <v>1412</v>
      </c>
    </row>
    <row r="35" spans="1:47" x14ac:dyDescent="0.45">
      <c r="A35" s="154">
        <v>2513150084</v>
      </c>
      <c r="B35" s="154">
        <v>131</v>
      </c>
      <c r="C35" s="154" t="s">
        <v>1462</v>
      </c>
      <c r="D35" s="154">
        <v>130</v>
      </c>
      <c r="E35" s="154" t="s">
        <v>1402</v>
      </c>
      <c r="F35" s="154" t="s">
        <v>2506</v>
      </c>
      <c r="G35" s="154" t="s">
        <v>2507</v>
      </c>
      <c r="H35" s="154">
        <v>2</v>
      </c>
      <c r="I35" s="154" t="s">
        <v>2508</v>
      </c>
      <c r="J35" s="154" t="s">
        <v>1403</v>
      </c>
      <c r="K35" s="154">
        <v>2025</v>
      </c>
      <c r="L35" s="155">
        <v>2025</v>
      </c>
      <c r="M35" s="156">
        <v>45573</v>
      </c>
      <c r="N35" s="154" t="s">
        <v>36</v>
      </c>
      <c r="O35" s="154" t="s">
        <v>704</v>
      </c>
      <c r="P35" s="154">
        <v>785</v>
      </c>
      <c r="Q35" s="154" t="s">
        <v>1491</v>
      </c>
      <c r="R35" s="154">
        <v>2</v>
      </c>
      <c r="S35" s="154">
        <v>2</v>
      </c>
      <c r="T35" s="154" t="s">
        <v>1464</v>
      </c>
      <c r="U35" s="154">
        <v>1</v>
      </c>
      <c r="V35" s="155">
        <v>0</v>
      </c>
      <c r="W35" s="155">
        <v>0</v>
      </c>
      <c r="X35" s="155" t="s">
        <v>1406</v>
      </c>
      <c r="Y35" s="156">
        <v>45614</v>
      </c>
      <c r="Z35" s="154" t="s">
        <v>32</v>
      </c>
      <c r="AA35" s="154"/>
      <c r="AB35" s="154">
        <v>0</v>
      </c>
      <c r="AC35" s="154">
        <v>0</v>
      </c>
      <c r="AD35" s="154">
        <v>0</v>
      </c>
      <c r="AE35" s="154" t="s">
        <v>1446</v>
      </c>
      <c r="AF35" s="154"/>
      <c r="AG35" s="154" t="s">
        <v>1446</v>
      </c>
      <c r="AH35" s="154"/>
      <c r="AI35" s="154"/>
      <c r="AJ35" s="154">
        <v>0</v>
      </c>
      <c r="AK35" s="154" t="s">
        <v>1473</v>
      </c>
      <c r="AL35" s="154">
        <v>28177</v>
      </c>
      <c r="AM35" s="154" t="s">
        <v>1418</v>
      </c>
      <c r="AN35" s="154" t="s">
        <v>2839</v>
      </c>
      <c r="AO35" s="154">
        <v>28</v>
      </c>
      <c r="AP35" s="154" t="s">
        <v>1416</v>
      </c>
      <c r="AQ35" s="154">
        <v>0</v>
      </c>
      <c r="AR35" s="154" t="s">
        <v>1410</v>
      </c>
      <c r="AS35" s="154"/>
      <c r="AT35" s="154" t="s">
        <v>1417</v>
      </c>
      <c r="AU35" s="154" t="s">
        <v>1412</v>
      </c>
    </row>
    <row r="36" spans="1:47" x14ac:dyDescent="0.45">
      <c r="A36" s="154">
        <v>2513150085</v>
      </c>
      <c r="B36" s="154">
        <v>131</v>
      </c>
      <c r="C36" s="154" t="s">
        <v>1462</v>
      </c>
      <c r="D36" s="154">
        <v>130</v>
      </c>
      <c r="E36" s="154" t="s">
        <v>1402</v>
      </c>
      <c r="F36" s="154" t="s">
        <v>2509</v>
      </c>
      <c r="G36" s="154" t="s">
        <v>2510</v>
      </c>
      <c r="H36" s="154">
        <v>1</v>
      </c>
      <c r="I36" s="154" t="s">
        <v>2511</v>
      </c>
      <c r="J36" s="154" t="s">
        <v>1403</v>
      </c>
      <c r="K36" s="154">
        <v>2025</v>
      </c>
      <c r="L36" s="155">
        <v>2025</v>
      </c>
      <c r="M36" s="156">
        <v>45588</v>
      </c>
      <c r="N36" s="154" t="s">
        <v>36</v>
      </c>
      <c r="O36" s="154" t="s">
        <v>704</v>
      </c>
      <c r="P36" s="154">
        <v>968</v>
      </c>
      <c r="Q36" s="154" t="s">
        <v>1474</v>
      </c>
      <c r="R36" s="154">
        <v>2</v>
      </c>
      <c r="S36" s="154">
        <v>2</v>
      </c>
      <c r="T36" s="154" t="s">
        <v>1464</v>
      </c>
      <c r="U36" s="154">
        <v>1</v>
      </c>
      <c r="V36" s="155">
        <v>0</v>
      </c>
      <c r="W36" s="155">
        <v>0</v>
      </c>
      <c r="X36" s="155" t="s">
        <v>1406</v>
      </c>
      <c r="Y36" s="156">
        <v>45729</v>
      </c>
      <c r="Z36" s="154" t="s">
        <v>32</v>
      </c>
      <c r="AA36" s="154"/>
      <c r="AB36" s="154">
        <v>0</v>
      </c>
      <c r="AC36" s="154">
        <v>0</v>
      </c>
      <c r="AD36" s="154">
        <v>0</v>
      </c>
      <c r="AE36" s="154" t="s">
        <v>1446</v>
      </c>
      <c r="AF36" s="154"/>
      <c r="AG36" s="154" t="s">
        <v>1446</v>
      </c>
      <c r="AH36" s="154"/>
      <c r="AI36" s="154"/>
      <c r="AJ36" s="154">
        <v>0</v>
      </c>
      <c r="AK36" s="154" t="s">
        <v>1473</v>
      </c>
      <c r="AL36" s="154">
        <v>28178</v>
      </c>
      <c r="AM36" s="154" t="s">
        <v>1418</v>
      </c>
      <c r="AN36" s="154" t="s">
        <v>1507</v>
      </c>
      <c r="AO36" s="154">
        <v>28</v>
      </c>
      <c r="AP36" s="154" t="s">
        <v>1416</v>
      </c>
      <c r="AQ36" s="154">
        <v>0</v>
      </c>
      <c r="AR36" s="154" t="s">
        <v>1410</v>
      </c>
      <c r="AS36" s="154"/>
      <c r="AT36" s="154" t="s">
        <v>1417</v>
      </c>
      <c r="AU36" s="154" t="s">
        <v>1412</v>
      </c>
    </row>
    <row r="37" spans="1:47" x14ac:dyDescent="0.45">
      <c r="A37" s="154">
        <v>2513150086</v>
      </c>
      <c r="B37" s="154">
        <v>131</v>
      </c>
      <c r="C37" s="154" t="s">
        <v>1462</v>
      </c>
      <c r="D37" s="154">
        <v>130</v>
      </c>
      <c r="E37" s="154" t="s">
        <v>1402</v>
      </c>
      <c r="F37" s="154" t="s">
        <v>2512</v>
      </c>
      <c r="G37" s="154" t="s">
        <v>2513</v>
      </c>
      <c r="H37" s="154">
        <v>1</v>
      </c>
      <c r="I37" s="154" t="s">
        <v>2514</v>
      </c>
      <c r="J37" s="154" t="s">
        <v>1403</v>
      </c>
      <c r="K37" s="154">
        <v>2025</v>
      </c>
      <c r="L37" s="155">
        <v>2025</v>
      </c>
      <c r="M37" s="156">
        <v>45559</v>
      </c>
      <c r="N37" s="154" t="s">
        <v>36</v>
      </c>
      <c r="O37" s="154" t="s">
        <v>708</v>
      </c>
      <c r="P37" s="154">
        <v>1756</v>
      </c>
      <c r="Q37" s="154" t="s">
        <v>2784</v>
      </c>
      <c r="R37" s="154">
        <v>2</v>
      </c>
      <c r="S37" s="154">
        <v>3</v>
      </c>
      <c r="T37" s="154" t="s">
        <v>1477</v>
      </c>
      <c r="U37" s="154">
        <v>4</v>
      </c>
      <c r="V37" s="155">
        <v>2522520</v>
      </c>
      <c r="W37" s="155">
        <v>0</v>
      </c>
      <c r="X37" s="155" t="s">
        <v>1406</v>
      </c>
      <c r="Y37" s="154"/>
      <c r="Z37" s="154" t="s">
        <v>32</v>
      </c>
      <c r="AA37" s="156">
        <v>45576</v>
      </c>
      <c r="AB37" s="154">
        <v>25</v>
      </c>
      <c r="AC37" s="154">
        <v>22520</v>
      </c>
      <c r="AD37" s="154">
        <v>131</v>
      </c>
      <c r="AE37" s="154" t="s">
        <v>1462</v>
      </c>
      <c r="AF37" s="154">
        <v>130</v>
      </c>
      <c r="AG37" s="154" t="s">
        <v>1402</v>
      </c>
      <c r="AH37" s="154" t="s">
        <v>36</v>
      </c>
      <c r="AI37" s="154" t="s">
        <v>708</v>
      </c>
      <c r="AJ37" s="154">
        <v>1756</v>
      </c>
      <c r="AK37" s="154" t="s">
        <v>1407</v>
      </c>
      <c r="AL37" s="154">
        <v>28178</v>
      </c>
      <c r="AM37" s="154" t="s">
        <v>1418</v>
      </c>
      <c r="AN37" s="154" t="s">
        <v>1507</v>
      </c>
      <c r="AO37" s="154">
        <v>28</v>
      </c>
      <c r="AP37" s="154" t="s">
        <v>1416</v>
      </c>
      <c r="AQ37" s="154">
        <v>0</v>
      </c>
      <c r="AR37" s="154" t="s">
        <v>1410</v>
      </c>
      <c r="AS37" s="154"/>
      <c r="AT37" s="154" t="s">
        <v>1417</v>
      </c>
      <c r="AU37" s="154" t="s">
        <v>1412</v>
      </c>
    </row>
    <row r="38" spans="1:47" x14ac:dyDescent="0.45">
      <c r="A38" s="154">
        <v>2513150087</v>
      </c>
      <c r="B38" s="154">
        <v>131</v>
      </c>
      <c r="C38" s="154" t="s">
        <v>1462</v>
      </c>
      <c r="D38" s="154">
        <v>130</v>
      </c>
      <c r="E38" s="154" t="s">
        <v>1402</v>
      </c>
      <c r="F38" s="154" t="s">
        <v>2515</v>
      </c>
      <c r="G38" s="154" t="s">
        <v>2516</v>
      </c>
      <c r="H38" s="154">
        <v>2</v>
      </c>
      <c r="I38" s="154" t="s">
        <v>1363</v>
      </c>
      <c r="J38" s="154" t="s">
        <v>1403</v>
      </c>
      <c r="K38" s="154">
        <v>2025</v>
      </c>
      <c r="L38" s="155">
        <v>2025</v>
      </c>
      <c r="M38" s="156">
        <v>45544</v>
      </c>
      <c r="N38" s="154" t="s">
        <v>36</v>
      </c>
      <c r="O38" s="154" t="s">
        <v>698</v>
      </c>
      <c r="P38" s="154">
        <v>112</v>
      </c>
      <c r="Q38" s="154" t="s">
        <v>1522</v>
      </c>
      <c r="R38" s="154">
        <v>2</v>
      </c>
      <c r="S38" s="154">
        <v>5</v>
      </c>
      <c r="T38" s="154" t="s">
        <v>1470</v>
      </c>
      <c r="U38" s="154">
        <v>15</v>
      </c>
      <c r="V38" s="155">
        <v>2522607</v>
      </c>
      <c r="W38" s="155">
        <v>0</v>
      </c>
      <c r="X38" s="155" t="s">
        <v>1406</v>
      </c>
      <c r="Y38" s="154"/>
      <c r="Z38" s="154" t="s">
        <v>32</v>
      </c>
      <c r="AA38" s="156">
        <v>45708</v>
      </c>
      <c r="AB38" s="154">
        <v>25</v>
      </c>
      <c r="AC38" s="154">
        <v>22607</v>
      </c>
      <c r="AD38" s="154">
        <v>131</v>
      </c>
      <c r="AE38" s="154" t="s">
        <v>1462</v>
      </c>
      <c r="AF38" s="154">
        <v>130</v>
      </c>
      <c r="AG38" s="154" t="s">
        <v>1402</v>
      </c>
      <c r="AH38" s="154" t="s">
        <v>36</v>
      </c>
      <c r="AI38" s="154" t="s">
        <v>698</v>
      </c>
      <c r="AJ38" s="154">
        <v>112</v>
      </c>
      <c r="AK38" s="154" t="s">
        <v>1407</v>
      </c>
      <c r="AL38" s="154">
        <v>28107</v>
      </c>
      <c r="AM38" s="154" t="s">
        <v>1418</v>
      </c>
      <c r="AN38" s="154" t="s">
        <v>1484</v>
      </c>
      <c r="AO38" s="154">
        <v>28</v>
      </c>
      <c r="AP38" s="154" t="s">
        <v>1416</v>
      </c>
      <c r="AQ38" s="154">
        <v>0</v>
      </c>
      <c r="AR38" s="154" t="s">
        <v>1410</v>
      </c>
      <c r="AS38" s="154"/>
      <c r="AT38" s="154" t="s">
        <v>1417</v>
      </c>
      <c r="AU38" s="154" t="s">
        <v>1412</v>
      </c>
    </row>
    <row r="39" spans="1:47" x14ac:dyDescent="0.45">
      <c r="A39" s="154">
        <v>2513150088</v>
      </c>
      <c r="B39" s="154">
        <v>131</v>
      </c>
      <c r="C39" s="154" t="s">
        <v>1462</v>
      </c>
      <c r="D39" s="154">
        <v>130</v>
      </c>
      <c r="E39" s="154" t="s">
        <v>1402</v>
      </c>
      <c r="F39" s="154" t="s">
        <v>2517</v>
      </c>
      <c r="G39" s="154" t="s">
        <v>2518</v>
      </c>
      <c r="H39" s="154">
        <v>2</v>
      </c>
      <c r="I39" s="154" t="s">
        <v>621</v>
      </c>
      <c r="J39" s="154" t="s">
        <v>1403</v>
      </c>
      <c r="K39" s="154">
        <v>2025</v>
      </c>
      <c r="L39" s="155">
        <v>2025</v>
      </c>
      <c r="M39" s="156">
        <v>45586</v>
      </c>
      <c r="N39" s="154" t="s">
        <v>36</v>
      </c>
      <c r="O39" s="154" t="s">
        <v>741</v>
      </c>
      <c r="P39" s="154">
        <v>581</v>
      </c>
      <c r="Q39" s="154" t="s">
        <v>1489</v>
      </c>
      <c r="R39" s="154">
        <v>2</v>
      </c>
      <c r="S39" s="154">
        <v>10</v>
      </c>
      <c r="T39" s="154" t="s">
        <v>1490</v>
      </c>
      <c r="U39" s="154">
        <v>9</v>
      </c>
      <c r="V39" s="155">
        <v>2522560</v>
      </c>
      <c r="W39" s="155">
        <v>0</v>
      </c>
      <c r="X39" s="155" t="s">
        <v>1406</v>
      </c>
      <c r="Y39" s="154"/>
      <c r="Z39" s="154" t="s">
        <v>32</v>
      </c>
      <c r="AA39" s="156">
        <v>45607</v>
      </c>
      <c r="AB39" s="154">
        <v>25</v>
      </c>
      <c r="AC39" s="154">
        <v>22560</v>
      </c>
      <c r="AD39" s="154">
        <v>131</v>
      </c>
      <c r="AE39" s="154" t="s">
        <v>1462</v>
      </c>
      <c r="AF39" s="154">
        <v>130</v>
      </c>
      <c r="AG39" s="154" t="s">
        <v>1402</v>
      </c>
      <c r="AH39" s="154" t="s">
        <v>36</v>
      </c>
      <c r="AI39" s="154" t="s">
        <v>741</v>
      </c>
      <c r="AJ39" s="154">
        <v>581</v>
      </c>
      <c r="AK39" s="154" t="s">
        <v>1407</v>
      </c>
      <c r="AL39" s="154">
        <v>28107</v>
      </c>
      <c r="AM39" s="154" t="s">
        <v>1418</v>
      </c>
      <c r="AN39" s="154" t="s">
        <v>1484</v>
      </c>
      <c r="AO39" s="154">
        <v>28</v>
      </c>
      <c r="AP39" s="154" t="s">
        <v>1416</v>
      </c>
      <c r="AQ39" s="154">
        <v>0</v>
      </c>
      <c r="AR39" s="154" t="s">
        <v>1410</v>
      </c>
      <c r="AS39" s="154"/>
      <c r="AT39" s="154" t="s">
        <v>1417</v>
      </c>
      <c r="AU39" s="154" t="s">
        <v>1412</v>
      </c>
    </row>
    <row r="40" spans="1:47" x14ac:dyDescent="0.45">
      <c r="A40" s="154">
        <v>2513150090</v>
      </c>
      <c r="B40" s="154">
        <v>131</v>
      </c>
      <c r="C40" s="154" t="s">
        <v>1462</v>
      </c>
      <c r="D40" s="154">
        <v>130</v>
      </c>
      <c r="E40" s="154" t="s">
        <v>1402</v>
      </c>
      <c r="F40" s="154" t="s">
        <v>2522</v>
      </c>
      <c r="G40" s="154" t="s">
        <v>2523</v>
      </c>
      <c r="H40" s="154">
        <v>1</v>
      </c>
      <c r="I40" s="154" t="s">
        <v>224</v>
      </c>
      <c r="J40" s="154" t="s">
        <v>1403</v>
      </c>
      <c r="K40" s="154">
        <v>2025</v>
      </c>
      <c r="L40" s="155">
        <v>2025</v>
      </c>
      <c r="M40" s="156">
        <v>45555</v>
      </c>
      <c r="N40" s="154" t="s">
        <v>36</v>
      </c>
      <c r="O40" s="154" t="s">
        <v>704</v>
      </c>
      <c r="P40" s="154">
        <v>428</v>
      </c>
      <c r="Q40" s="154" t="s">
        <v>1463</v>
      </c>
      <c r="R40" s="154">
        <v>2</v>
      </c>
      <c r="S40" s="154">
        <v>2</v>
      </c>
      <c r="T40" s="154" t="s">
        <v>1464</v>
      </c>
      <c r="U40" s="154">
        <v>1</v>
      </c>
      <c r="V40" s="155">
        <v>0</v>
      </c>
      <c r="W40" s="155">
        <v>0</v>
      </c>
      <c r="X40" s="155" t="s">
        <v>1406</v>
      </c>
      <c r="Y40" s="156">
        <v>45716</v>
      </c>
      <c r="Z40" s="154" t="s">
        <v>32</v>
      </c>
      <c r="AA40" s="154"/>
      <c r="AB40" s="154">
        <v>0</v>
      </c>
      <c r="AC40" s="154">
        <v>0</v>
      </c>
      <c r="AD40" s="154">
        <v>0</v>
      </c>
      <c r="AE40" s="154" t="s">
        <v>1446</v>
      </c>
      <c r="AF40" s="154"/>
      <c r="AG40" s="154" t="s">
        <v>1446</v>
      </c>
      <c r="AH40" s="154"/>
      <c r="AI40" s="154"/>
      <c r="AJ40" s="154">
        <v>0</v>
      </c>
      <c r="AK40" s="154" t="s">
        <v>1473</v>
      </c>
      <c r="AL40" s="154">
        <v>28107</v>
      </c>
      <c r="AM40" s="154" t="s">
        <v>1418</v>
      </c>
      <c r="AN40" s="154" t="s">
        <v>1484</v>
      </c>
      <c r="AO40" s="154">
        <v>28</v>
      </c>
      <c r="AP40" s="154" t="s">
        <v>1416</v>
      </c>
      <c r="AQ40" s="154">
        <v>0</v>
      </c>
      <c r="AR40" s="154" t="s">
        <v>1410</v>
      </c>
      <c r="AS40" s="154"/>
      <c r="AT40" s="154" t="s">
        <v>1417</v>
      </c>
      <c r="AU40" s="154" t="s">
        <v>1412</v>
      </c>
    </row>
    <row r="41" spans="1:47" x14ac:dyDescent="0.45">
      <c r="A41" s="154">
        <v>2513150091</v>
      </c>
      <c r="B41" s="154">
        <v>131</v>
      </c>
      <c r="C41" s="154" t="s">
        <v>1462</v>
      </c>
      <c r="D41" s="154">
        <v>130</v>
      </c>
      <c r="E41" s="154" t="s">
        <v>1402</v>
      </c>
      <c r="F41" s="154" t="s">
        <v>2524</v>
      </c>
      <c r="G41" s="154" t="s">
        <v>2525</v>
      </c>
      <c r="H41" s="154">
        <v>1</v>
      </c>
      <c r="I41" s="154" t="s">
        <v>915</v>
      </c>
      <c r="J41" s="154" t="s">
        <v>1403</v>
      </c>
      <c r="K41" s="154">
        <v>2025</v>
      </c>
      <c r="L41" s="155">
        <v>2025</v>
      </c>
      <c r="M41" s="156">
        <v>45594</v>
      </c>
      <c r="N41" s="154" t="s">
        <v>36</v>
      </c>
      <c r="O41" s="154" t="s">
        <v>704</v>
      </c>
      <c r="P41" s="154">
        <v>968</v>
      </c>
      <c r="Q41" s="154" t="s">
        <v>1474</v>
      </c>
      <c r="R41" s="154">
        <v>2</v>
      </c>
      <c r="S41" s="154">
        <v>2</v>
      </c>
      <c r="T41" s="154" t="s">
        <v>1464</v>
      </c>
      <c r="U41" s="154">
        <v>1</v>
      </c>
      <c r="V41" s="155">
        <v>2522602</v>
      </c>
      <c r="W41" s="155">
        <v>0</v>
      </c>
      <c r="X41" s="155" t="s">
        <v>1406</v>
      </c>
      <c r="Y41" s="154"/>
      <c r="Z41" s="154" t="s">
        <v>32</v>
      </c>
      <c r="AA41" s="156">
        <v>45694</v>
      </c>
      <c r="AB41" s="154">
        <v>25</v>
      </c>
      <c r="AC41" s="154">
        <v>22602</v>
      </c>
      <c r="AD41" s="154">
        <v>131</v>
      </c>
      <c r="AE41" s="154" t="s">
        <v>1462</v>
      </c>
      <c r="AF41" s="154">
        <v>130</v>
      </c>
      <c r="AG41" s="154" t="s">
        <v>1402</v>
      </c>
      <c r="AH41" s="154" t="s">
        <v>36</v>
      </c>
      <c r="AI41" s="154" t="s">
        <v>704</v>
      </c>
      <c r="AJ41" s="154">
        <v>968</v>
      </c>
      <c r="AK41" s="154" t="s">
        <v>1407</v>
      </c>
      <c r="AL41" s="154">
        <v>28205</v>
      </c>
      <c r="AM41" s="154" t="s">
        <v>1418</v>
      </c>
      <c r="AN41" s="154" t="s">
        <v>1436</v>
      </c>
      <c r="AO41" s="154">
        <v>28</v>
      </c>
      <c r="AP41" s="154" t="s">
        <v>1416</v>
      </c>
      <c r="AQ41" s="154">
        <v>0</v>
      </c>
      <c r="AR41" s="154" t="s">
        <v>1410</v>
      </c>
      <c r="AS41" s="154"/>
      <c r="AT41" s="154" t="s">
        <v>1417</v>
      </c>
      <c r="AU41" s="154" t="s">
        <v>1412</v>
      </c>
    </row>
    <row r="42" spans="1:47" x14ac:dyDescent="0.45">
      <c r="A42" s="154">
        <v>2513150095</v>
      </c>
      <c r="B42" s="154">
        <v>131</v>
      </c>
      <c r="C42" s="154" t="s">
        <v>1462</v>
      </c>
      <c r="D42" s="154">
        <v>130</v>
      </c>
      <c r="E42" s="154" t="s">
        <v>1402</v>
      </c>
      <c r="F42" s="154" t="s">
        <v>2534</v>
      </c>
      <c r="G42" s="154" t="s">
        <v>2535</v>
      </c>
      <c r="H42" s="154">
        <v>1</v>
      </c>
      <c r="I42" s="154" t="s">
        <v>531</v>
      </c>
      <c r="J42" s="154" t="s">
        <v>1403</v>
      </c>
      <c r="K42" s="154">
        <v>2025</v>
      </c>
      <c r="L42" s="155">
        <v>2025</v>
      </c>
      <c r="M42" s="156">
        <v>45537</v>
      </c>
      <c r="N42" s="154" t="s">
        <v>36</v>
      </c>
      <c r="O42" s="154" t="s">
        <v>704</v>
      </c>
      <c r="P42" s="154">
        <v>428</v>
      </c>
      <c r="Q42" s="154" t="s">
        <v>1463</v>
      </c>
      <c r="R42" s="154">
        <v>2</v>
      </c>
      <c r="S42" s="154">
        <v>2</v>
      </c>
      <c r="T42" s="154" t="s">
        <v>1464</v>
      </c>
      <c r="U42" s="154">
        <v>1</v>
      </c>
      <c r="V42" s="155">
        <v>2522514</v>
      </c>
      <c r="W42" s="155">
        <v>0</v>
      </c>
      <c r="X42" s="155" t="s">
        <v>1406</v>
      </c>
      <c r="Y42" s="154"/>
      <c r="Z42" s="154" t="s">
        <v>32</v>
      </c>
      <c r="AA42" s="156">
        <v>45572</v>
      </c>
      <c r="AB42" s="154">
        <v>25</v>
      </c>
      <c r="AC42" s="154">
        <v>22514</v>
      </c>
      <c r="AD42" s="154">
        <v>131</v>
      </c>
      <c r="AE42" s="154" t="s">
        <v>1462</v>
      </c>
      <c r="AF42" s="154">
        <v>130</v>
      </c>
      <c r="AG42" s="154" t="s">
        <v>1402</v>
      </c>
      <c r="AH42" s="154" t="s">
        <v>36</v>
      </c>
      <c r="AI42" s="154" t="s">
        <v>704</v>
      </c>
      <c r="AJ42" s="154">
        <v>428</v>
      </c>
      <c r="AK42" s="154" t="s">
        <v>1407</v>
      </c>
      <c r="AL42" s="154">
        <v>28174</v>
      </c>
      <c r="AM42" s="154" t="s">
        <v>1418</v>
      </c>
      <c r="AN42" s="154" t="s">
        <v>1543</v>
      </c>
      <c r="AO42" s="154">
        <v>28</v>
      </c>
      <c r="AP42" s="154" t="s">
        <v>1416</v>
      </c>
      <c r="AQ42" s="154">
        <v>0</v>
      </c>
      <c r="AR42" s="154" t="s">
        <v>1410</v>
      </c>
      <c r="AS42" s="154"/>
      <c r="AT42" s="154" t="s">
        <v>1417</v>
      </c>
      <c r="AU42" s="154" t="s">
        <v>1412</v>
      </c>
    </row>
    <row r="43" spans="1:47" x14ac:dyDescent="0.45">
      <c r="A43" s="154">
        <v>2513150096</v>
      </c>
      <c r="B43" s="154">
        <v>131</v>
      </c>
      <c r="C43" s="154" t="s">
        <v>1462</v>
      </c>
      <c r="D43" s="154">
        <v>130</v>
      </c>
      <c r="E43" s="154" t="s">
        <v>1402</v>
      </c>
      <c r="F43" s="154" t="s">
        <v>2536</v>
      </c>
      <c r="G43" s="154" t="s">
        <v>2537</v>
      </c>
      <c r="H43" s="154">
        <v>1</v>
      </c>
      <c r="I43" s="154" t="s">
        <v>2538</v>
      </c>
      <c r="J43" s="154" t="s">
        <v>1485</v>
      </c>
      <c r="K43" s="154">
        <v>2025</v>
      </c>
      <c r="L43" s="155">
        <v>2025</v>
      </c>
      <c r="M43" s="156">
        <v>45559</v>
      </c>
      <c r="N43" s="154" t="s">
        <v>36</v>
      </c>
      <c r="O43" s="154" t="s">
        <v>704</v>
      </c>
      <c r="P43" s="154">
        <v>968</v>
      </c>
      <c r="Q43" s="154" t="s">
        <v>1474</v>
      </c>
      <c r="R43" s="154">
        <v>2</v>
      </c>
      <c r="S43" s="154">
        <v>2</v>
      </c>
      <c r="T43" s="154" t="s">
        <v>1464</v>
      </c>
      <c r="U43" s="154">
        <v>1</v>
      </c>
      <c r="V43" s="155">
        <v>2522509</v>
      </c>
      <c r="W43" s="155">
        <v>0</v>
      </c>
      <c r="X43" s="155" t="s">
        <v>1406</v>
      </c>
      <c r="Y43" s="154"/>
      <c r="Z43" s="154" t="s">
        <v>32</v>
      </c>
      <c r="AA43" s="156">
        <v>45568</v>
      </c>
      <c r="AB43" s="154">
        <v>25</v>
      </c>
      <c r="AC43" s="154">
        <v>22509</v>
      </c>
      <c r="AD43" s="154">
        <v>131</v>
      </c>
      <c r="AE43" s="154" t="s">
        <v>1462</v>
      </c>
      <c r="AF43" s="154">
        <v>130</v>
      </c>
      <c r="AG43" s="154" t="s">
        <v>1402</v>
      </c>
      <c r="AH43" s="154" t="s">
        <v>36</v>
      </c>
      <c r="AI43" s="154" t="s">
        <v>704</v>
      </c>
      <c r="AJ43" s="154">
        <v>968</v>
      </c>
      <c r="AK43" s="154" t="s">
        <v>1407</v>
      </c>
      <c r="AL43" s="154">
        <v>31006</v>
      </c>
      <c r="AM43" s="154" t="s">
        <v>1421</v>
      </c>
      <c r="AN43" s="154" t="s">
        <v>1486</v>
      </c>
      <c r="AO43" s="154">
        <v>31</v>
      </c>
      <c r="AP43" s="154" t="s">
        <v>1487</v>
      </c>
      <c r="AQ43" s="154">
        <v>0</v>
      </c>
      <c r="AR43" s="154" t="s">
        <v>1410</v>
      </c>
      <c r="AS43" s="154"/>
      <c r="AT43" s="154" t="s">
        <v>1417</v>
      </c>
      <c r="AU43" s="154" t="s">
        <v>1412</v>
      </c>
    </row>
    <row r="44" spans="1:47" x14ac:dyDescent="0.45">
      <c r="A44" s="154">
        <v>2513150099</v>
      </c>
      <c r="B44" s="154">
        <v>131</v>
      </c>
      <c r="C44" s="154" t="s">
        <v>1462</v>
      </c>
      <c r="D44" s="154">
        <v>130</v>
      </c>
      <c r="E44" s="154" t="s">
        <v>1402</v>
      </c>
      <c r="F44" s="154" t="s">
        <v>2544</v>
      </c>
      <c r="G44" s="154" t="s">
        <v>2545</v>
      </c>
      <c r="H44" s="154">
        <v>2</v>
      </c>
      <c r="I44" s="154" t="s">
        <v>2546</v>
      </c>
      <c r="J44" s="154" t="s">
        <v>1403</v>
      </c>
      <c r="K44" s="154">
        <v>2025</v>
      </c>
      <c r="L44" s="155">
        <v>2025</v>
      </c>
      <c r="M44" s="156">
        <v>45572</v>
      </c>
      <c r="N44" s="154" t="s">
        <v>36</v>
      </c>
      <c r="O44" s="154" t="s">
        <v>704</v>
      </c>
      <c r="P44" s="154">
        <v>859</v>
      </c>
      <c r="Q44" s="154" t="s">
        <v>1494</v>
      </c>
      <c r="R44" s="154">
        <v>2</v>
      </c>
      <c r="S44" s="154">
        <v>2</v>
      </c>
      <c r="T44" s="154" t="s">
        <v>1464</v>
      </c>
      <c r="U44" s="154">
        <v>1</v>
      </c>
      <c r="V44" s="155">
        <v>0</v>
      </c>
      <c r="W44" s="155">
        <v>0</v>
      </c>
      <c r="X44" s="155" t="s">
        <v>1406</v>
      </c>
      <c r="Y44" s="156">
        <v>45681</v>
      </c>
      <c r="Z44" s="154" t="s">
        <v>32</v>
      </c>
      <c r="AA44" s="154"/>
      <c r="AB44" s="154">
        <v>0</v>
      </c>
      <c r="AC44" s="154">
        <v>0</v>
      </c>
      <c r="AD44" s="154">
        <v>0</v>
      </c>
      <c r="AE44" s="154" t="s">
        <v>1446</v>
      </c>
      <c r="AF44" s="154"/>
      <c r="AG44" s="154" t="s">
        <v>1446</v>
      </c>
      <c r="AH44" s="154"/>
      <c r="AI44" s="154"/>
      <c r="AJ44" s="154">
        <v>0</v>
      </c>
      <c r="AK44" s="154" t="s">
        <v>1473</v>
      </c>
      <c r="AL44" s="154">
        <v>28098</v>
      </c>
      <c r="AM44" s="154" t="s">
        <v>1418</v>
      </c>
      <c r="AN44" s="154" t="s">
        <v>1448</v>
      </c>
      <c r="AO44" s="154">
        <v>28</v>
      </c>
      <c r="AP44" s="154" t="s">
        <v>1416</v>
      </c>
      <c r="AQ44" s="154">
        <v>0</v>
      </c>
      <c r="AR44" s="154" t="s">
        <v>1410</v>
      </c>
      <c r="AS44" s="154"/>
      <c r="AT44" s="154" t="s">
        <v>1417</v>
      </c>
      <c r="AU44" s="154" t="s">
        <v>1412</v>
      </c>
    </row>
    <row r="45" spans="1:47" x14ac:dyDescent="0.45">
      <c r="A45" s="154">
        <v>2513150100</v>
      </c>
      <c r="B45" s="154">
        <v>131</v>
      </c>
      <c r="C45" s="154" t="s">
        <v>1462</v>
      </c>
      <c r="D45" s="154">
        <v>130</v>
      </c>
      <c r="E45" s="154" t="s">
        <v>1402</v>
      </c>
      <c r="F45" s="154" t="s">
        <v>2547</v>
      </c>
      <c r="G45" s="154" t="s">
        <v>2548</v>
      </c>
      <c r="H45" s="154">
        <v>2</v>
      </c>
      <c r="I45" s="154" t="s">
        <v>2549</v>
      </c>
      <c r="J45" s="154" t="s">
        <v>1403</v>
      </c>
      <c r="K45" s="154">
        <v>2025</v>
      </c>
      <c r="L45" s="155">
        <v>2025</v>
      </c>
      <c r="M45" s="156">
        <v>45565</v>
      </c>
      <c r="N45" s="154" t="s">
        <v>36</v>
      </c>
      <c r="O45" s="154" t="s">
        <v>708</v>
      </c>
      <c r="P45" s="154">
        <v>1044</v>
      </c>
      <c r="Q45" s="154" t="s">
        <v>1476</v>
      </c>
      <c r="R45" s="154">
        <v>2</v>
      </c>
      <c r="S45" s="154">
        <v>3</v>
      </c>
      <c r="T45" s="154" t="s">
        <v>1477</v>
      </c>
      <c r="U45" s="154">
        <v>4</v>
      </c>
      <c r="V45" s="155">
        <v>2522593</v>
      </c>
      <c r="W45" s="155">
        <v>0</v>
      </c>
      <c r="X45" s="155" t="s">
        <v>1406</v>
      </c>
      <c r="Y45" s="154"/>
      <c r="Z45" s="154" t="s">
        <v>32</v>
      </c>
      <c r="AA45" s="156">
        <v>45686</v>
      </c>
      <c r="AB45" s="154">
        <v>25</v>
      </c>
      <c r="AC45" s="154">
        <v>22593</v>
      </c>
      <c r="AD45" s="154">
        <v>131</v>
      </c>
      <c r="AE45" s="154" t="s">
        <v>1462</v>
      </c>
      <c r="AF45" s="154">
        <v>130</v>
      </c>
      <c r="AG45" s="154" t="s">
        <v>1402</v>
      </c>
      <c r="AH45" s="154" t="s">
        <v>36</v>
      </c>
      <c r="AI45" s="154" t="s">
        <v>708</v>
      </c>
      <c r="AJ45" s="154">
        <v>1044</v>
      </c>
      <c r="AK45" s="154" t="s">
        <v>1407</v>
      </c>
      <c r="AL45" s="154">
        <v>28091</v>
      </c>
      <c r="AM45" s="154" t="s">
        <v>1421</v>
      </c>
      <c r="AN45" s="154" t="s">
        <v>1452</v>
      </c>
      <c r="AO45" s="154">
        <v>28</v>
      </c>
      <c r="AP45" s="154" t="s">
        <v>1416</v>
      </c>
      <c r="AQ45" s="154">
        <v>0</v>
      </c>
      <c r="AR45" s="154" t="s">
        <v>1410</v>
      </c>
      <c r="AS45" s="154"/>
      <c r="AT45" s="154" t="s">
        <v>1417</v>
      </c>
      <c r="AU45" s="154" t="s">
        <v>1412</v>
      </c>
    </row>
    <row r="46" spans="1:47" x14ac:dyDescent="0.45">
      <c r="A46" s="154">
        <v>2513150102</v>
      </c>
      <c r="B46" s="154">
        <v>131</v>
      </c>
      <c r="C46" s="154" t="s">
        <v>1462</v>
      </c>
      <c r="D46" s="154">
        <v>130</v>
      </c>
      <c r="E46" s="154" t="s">
        <v>1402</v>
      </c>
      <c r="F46" s="154" t="s">
        <v>2551</v>
      </c>
      <c r="G46" s="154" t="s">
        <v>2552</v>
      </c>
      <c r="H46" s="154">
        <v>2</v>
      </c>
      <c r="I46" s="154" t="s">
        <v>2553</v>
      </c>
      <c r="J46" s="154" t="s">
        <v>1485</v>
      </c>
      <c r="K46" s="154">
        <v>2025</v>
      </c>
      <c r="L46" s="155">
        <v>2025</v>
      </c>
      <c r="M46" s="156">
        <v>45559</v>
      </c>
      <c r="N46" s="154" t="s">
        <v>36</v>
      </c>
      <c r="O46" s="154" t="s">
        <v>708</v>
      </c>
      <c r="P46" s="154">
        <v>121</v>
      </c>
      <c r="Q46" s="154" t="s">
        <v>1502</v>
      </c>
      <c r="R46" s="154">
        <v>2</v>
      </c>
      <c r="S46" s="154">
        <v>8</v>
      </c>
      <c r="T46" s="154" t="s">
        <v>1503</v>
      </c>
      <c r="U46" s="154">
        <v>6</v>
      </c>
      <c r="V46" s="155">
        <v>2522517</v>
      </c>
      <c r="W46" s="155">
        <v>0</v>
      </c>
      <c r="X46" s="155" t="s">
        <v>1406</v>
      </c>
      <c r="Y46" s="154"/>
      <c r="Z46" s="154" t="s">
        <v>32</v>
      </c>
      <c r="AA46" s="156">
        <v>45576</v>
      </c>
      <c r="AB46" s="154">
        <v>25</v>
      </c>
      <c r="AC46" s="154">
        <v>22517</v>
      </c>
      <c r="AD46" s="154">
        <v>131</v>
      </c>
      <c r="AE46" s="154" t="s">
        <v>1462</v>
      </c>
      <c r="AF46" s="154">
        <v>130</v>
      </c>
      <c r="AG46" s="154" t="s">
        <v>1402</v>
      </c>
      <c r="AH46" s="154" t="s">
        <v>36</v>
      </c>
      <c r="AI46" s="154" t="s">
        <v>708</v>
      </c>
      <c r="AJ46" s="154">
        <v>121</v>
      </c>
      <c r="AK46" s="154" t="s">
        <v>1407</v>
      </c>
      <c r="AL46" s="154">
        <v>31015</v>
      </c>
      <c r="AM46" s="154" t="s">
        <v>1418</v>
      </c>
      <c r="AN46" s="154" t="s">
        <v>2847</v>
      </c>
      <c r="AO46" s="154">
        <v>31</v>
      </c>
      <c r="AP46" s="154" t="s">
        <v>1487</v>
      </c>
      <c r="AQ46" s="154">
        <v>0</v>
      </c>
      <c r="AR46" s="154" t="s">
        <v>1410</v>
      </c>
      <c r="AS46" s="154"/>
      <c r="AT46" s="154" t="s">
        <v>1417</v>
      </c>
      <c r="AU46" s="154" t="s">
        <v>1412</v>
      </c>
    </row>
    <row r="47" spans="1:47" x14ac:dyDescent="0.45">
      <c r="A47" s="154">
        <v>2513150103</v>
      </c>
      <c r="B47" s="154">
        <v>131</v>
      </c>
      <c r="C47" s="154" t="s">
        <v>1462</v>
      </c>
      <c r="D47" s="154">
        <v>130</v>
      </c>
      <c r="E47" s="154" t="s">
        <v>1402</v>
      </c>
      <c r="F47" s="154" t="s">
        <v>2554</v>
      </c>
      <c r="G47" s="154" t="s">
        <v>2555</v>
      </c>
      <c r="H47" s="154">
        <v>1</v>
      </c>
      <c r="I47" s="154" t="s">
        <v>2143</v>
      </c>
      <c r="J47" s="154" t="s">
        <v>1403</v>
      </c>
      <c r="K47" s="154">
        <v>2025</v>
      </c>
      <c r="L47" s="155">
        <v>2025</v>
      </c>
      <c r="M47" s="156">
        <v>45547</v>
      </c>
      <c r="N47" s="154" t="s">
        <v>36</v>
      </c>
      <c r="O47" s="154" t="s">
        <v>704</v>
      </c>
      <c r="P47" s="154">
        <v>428</v>
      </c>
      <c r="Q47" s="154" t="s">
        <v>1463</v>
      </c>
      <c r="R47" s="154">
        <v>2</v>
      </c>
      <c r="S47" s="154">
        <v>2</v>
      </c>
      <c r="T47" s="154" t="s">
        <v>1464</v>
      </c>
      <c r="U47" s="154">
        <v>1</v>
      </c>
      <c r="V47" s="155">
        <v>2522598</v>
      </c>
      <c r="W47" s="155">
        <v>0</v>
      </c>
      <c r="X47" s="155" t="s">
        <v>1406</v>
      </c>
      <c r="Y47" s="154"/>
      <c r="Z47" s="154" t="s">
        <v>32</v>
      </c>
      <c r="AA47" s="156">
        <v>45692</v>
      </c>
      <c r="AB47" s="154">
        <v>25</v>
      </c>
      <c r="AC47" s="154">
        <v>22598</v>
      </c>
      <c r="AD47" s="154">
        <v>131</v>
      </c>
      <c r="AE47" s="154" t="s">
        <v>1462</v>
      </c>
      <c r="AF47" s="154">
        <v>130</v>
      </c>
      <c r="AG47" s="154" t="s">
        <v>1402</v>
      </c>
      <c r="AH47" s="154" t="s">
        <v>36</v>
      </c>
      <c r="AI47" s="154" t="s">
        <v>704</v>
      </c>
      <c r="AJ47" s="154">
        <v>428</v>
      </c>
      <c r="AK47" s="154" t="s">
        <v>1473</v>
      </c>
      <c r="AL47" s="154">
        <v>28103</v>
      </c>
      <c r="AM47" s="154" t="s">
        <v>1418</v>
      </c>
      <c r="AN47" s="154" t="s">
        <v>1505</v>
      </c>
      <c r="AO47" s="154">
        <v>28</v>
      </c>
      <c r="AP47" s="154" t="s">
        <v>1416</v>
      </c>
      <c r="AQ47" s="154">
        <v>0</v>
      </c>
      <c r="AR47" s="154" t="s">
        <v>1410</v>
      </c>
      <c r="AS47" s="154"/>
      <c r="AT47" s="154" t="s">
        <v>1417</v>
      </c>
      <c r="AU47" s="154" t="s">
        <v>1412</v>
      </c>
    </row>
    <row r="48" spans="1:47" x14ac:dyDescent="0.45">
      <c r="A48" s="154">
        <v>2513150104</v>
      </c>
      <c r="B48" s="154">
        <v>131</v>
      </c>
      <c r="C48" s="154" t="s">
        <v>1462</v>
      </c>
      <c r="D48" s="154">
        <v>130</v>
      </c>
      <c r="E48" s="154" t="s">
        <v>1402</v>
      </c>
      <c r="F48" s="154" t="s">
        <v>2556</v>
      </c>
      <c r="G48" s="154" t="s">
        <v>2557</v>
      </c>
      <c r="H48" s="154">
        <v>1</v>
      </c>
      <c r="I48" s="154" t="s">
        <v>1016</v>
      </c>
      <c r="J48" s="154" t="s">
        <v>1403</v>
      </c>
      <c r="K48" s="154">
        <v>2025</v>
      </c>
      <c r="L48" s="155">
        <v>2025</v>
      </c>
      <c r="M48" s="156">
        <v>45587</v>
      </c>
      <c r="N48" s="154" t="s">
        <v>36</v>
      </c>
      <c r="O48" s="154" t="s">
        <v>704</v>
      </c>
      <c r="P48" s="154">
        <v>428</v>
      </c>
      <c r="Q48" s="154" t="s">
        <v>1463</v>
      </c>
      <c r="R48" s="154">
        <v>2</v>
      </c>
      <c r="S48" s="154">
        <v>2</v>
      </c>
      <c r="T48" s="154" t="s">
        <v>1464</v>
      </c>
      <c r="U48" s="154">
        <v>1</v>
      </c>
      <c r="V48" s="155">
        <v>2522574</v>
      </c>
      <c r="W48" s="155">
        <v>0</v>
      </c>
      <c r="X48" s="155" t="s">
        <v>1406</v>
      </c>
      <c r="Y48" s="154"/>
      <c r="Z48" s="154" t="s">
        <v>32</v>
      </c>
      <c r="AA48" s="156">
        <v>45643</v>
      </c>
      <c r="AB48" s="154">
        <v>25</v>
      </c>
      <c r="AC48" s="154">
        <v>22574</v>
      </c>
      <c r="AD48" s="154">
        <v>131</v>
      </c>
      <c r="AE48" s="154" t="s">
        <v>1462</v>
      </c>
      <c r="AF48" s="154">
        <v>130</v>
      </c>
      <c r="AG48" s="154" t="s">
        <v>1402</v>
      </c>
      <c r="AH48" s="154" t="s">
        <v>36</v>
      </c>
      <c r="AI48" s="154" t="s">
        <v>793</v>
      </c>
      <c r="AJ48" s="154">
        <v>428</v>
      </c>
      <c r="AK48" s="154" t="s">
        <v>1473</v>
      </c>
      <c r="AL48" s="154">
        <v>28103</v>
      </c>
      <c r="AM48" s="154" t="s">
        <v>1418</v>
      </c>
      <c r="AN48" s="154" t="s">
        <v>1505</v>
      </c>
      <c r="AO48" s="154">
        <v>28</v>
      </c>
      <c r="AP48" s="154" t="s">
        <v>1416</v>
      </c>
      <c r="AQ48" s="154">
        <v>0</v>
      </c>
      <c r="AR48" s="154" t="s">
        <v>1410</v>
      </c>
      <c r="AS48" s="154"/>
      <c r="AT48" s="154" t="s">
        <v>1417</v>
      </c>
      <c r="AU48" s="154" t="s">
        <v>1412</v>
      </c>
    </row>
    <row r="49" spans="1:47" x14ac:dyDescent="0.45">
      <c r="A49" s="154">
        <v>2513150106</v>
      </c>
      <c r="B49" s="154">
        <v>131</v>
      </c>
      <c r="C49" s="154" t="s">
        <v>1462</v>
      </c>
      <c r="D49" s="154">
        <v>130</v>
      </c>
      <c r="E49" s="154" t="s">
        <v>1402</v>
      </c>
      <c r="F49" s="154" t="s">
        <v>2562</v>
      </c>
      <c r="G49" s="154" t="s">
        <v>2563</v>
      </c>
      <c r="H49" s="154">
        <v>1</v>
      </c>
      <c r="I49" s="154" t="s">
        <v>991</v>
      </c>
      <c r="J49" s="154" t="s">
        <v>1403</v>
      </c>
      <c r="K49" s="154">
        <v>2025</v>
      </c>
      <c r="L49" s="155">
        <v>2025</v>
      </c>
      <c r="M49" s="156">
        <v>45597</v>
      </c>
      <c r="N49" s="154" t="s">
        <v>36</v>
      </c>
      <c r="O49" s="154" t="s">
        <v>704</v>
      </c>
      <c r="P49" s="154">
        <v>427</v>
      </c>
      <c r="Q49" s="154" t="s">
        <v>1479</v>
      </c>
      <c r="R49" s="154">
        <v>2</v>
      </c>
      <c r="S49" s="154">
        <v>2</v>
      </c>
      <c r="T49" s="154" t="s">
        <v>1464</v>
      </c>
      <c r="U49" s="154">
        <v>1</v>
      </c>
      <c r="V49" s="155">
        <v>2522627</v>
      </c>
      <c r="W49" s="155">
        <v>0</v>
      </c>
      <c r="X49" s="155" t="s">
        <v>1406</v>
      </c>
      <c r="Y49" s="154"/>
      <c r="Z49" s="154" t="s">
        <v>32</v>
      </c>
      <c r="AA49" s="156">
        <v>45749</v>
      </c>
      <c r="AB49" s="154">
        <v>25</v>
      </c>
      <c r="AC49" s="154">
        <v>22627</v>
      </c>
      <c r="AD49" s="154">
        <v>131</v>
      </c>
      <c r="AE49" s="154" t="s">
        <v>1462</v>
      </c>
      <c r="AF49" s="154">
        <v>130</v>
      </c>
      <c r="AG49" s="154" t="s">
        <v>1402</v>
      </c>
      <c r="AH49" s="154" t="s">
        <v>36</v>
      </c>
      <c r="AI49" s="154" t="s">
        <v>704</v>
      </c>
      <c r="AJ49" s="154">
        <v>427</v>
      </c>
      <c r="AK49" s="154" t="s">
        <v>1473</v>
      </c>
      <c r="AL49" s="154">
        <v>28024</v>
      </c>
      <c r="AM49" s="154" t="s">
        <v>1421</v>
      </c>
      <c r="AN49" s="154" t="s">
        <v>1535</v>
      </c>
      <c r="AO49" s="154">
        <v>28</v>
      </c>
      <c r="AP49" s="154" t="s">
        <v>1416</v>
      </c>
      <c r="AQ49" s="154">
        <v>0</v>
      </c>
      <c r="AR49" s="154" t="s">
        <v>1410</v>
      </c>
      <c r="AS49" s="154"/>
      <c r="AT49" s="154" t="s">
        <v>1417</v>
      </c>
      <c r="AU49" s="154" t="s">
        <v>1412</v>
      </c>
    </row>
    <row r="50" spans="1:47" x14ac:dyDescent="0.45">
      <c r="A50" s="154">
        <v>2513150107</v>
      </c>
      <c r="B50" s="154">
        <v>131</v>
      </c>
      <c r="C50" s="154" t="s">
        <v>1462</v>
      </c>
      <c r="D50" s="154">
        <v>130</v>
      </c>
      <c r="E50" s="154" t="s">
        <v>1402</v>
      </c>
      <c r="F50" s="154" t="s">
        <v>2564</v>
      </c>
      <c r="G50" s="154" t="s">
        <v>2565</v>
      </c>
      <c r="H50" s="154">
        <v>1</v>
      </c>
      <c r="I50" s="154" t="s">
        <v>2566</v>
      </c>
      <c r="J50" s="154" t="s">
        <v>1403</v>
      </c>
      <c r="K50" s="154">
        <v>2025</v>
      </c>
      <c r="L50" s="155">
        <v>2025</v>
      </c>
      <c r="M50" s="156">
        <v>45588</v>
      </c>
      <c r="N50" s="154" t="s">
        <v>36</v>
      </c>
      <c r="O50" s="154" t="s">
        <v>704</v>
      </c>
      <c r="P50" s="154">
        <v>427</v>
      </c>
      <c r="Q50" s="154" t="s">
        <v>1479</v>
      </c>
      <c r="R50" s="154">
        <v>2</v>
      </c>
      <c r="S50" s="154">
        <v>2</v>
      </c>
      <c r="T50" s="154" t="s">
        <v>1464</v>
      </c>
      <c r="U50" s="154">
        <v>1</v>
      </c>
      <c r="V50" s="155">
        <v>2522608</v>
      </c>
      <c r="W50" s="155">
        <v>0</v>
      </c>
      <c r="X50" s="155" t="s">
        <v>1406</v>
      </c>
      <c r="Y50" s="154"/>
      <c r="Z50" s="154" t="s">
        <v>32</v>
      </c>
      <c r="AA50" s="156">
        <v>45715</v>
      </c>
      <c r="AB50" s="154">
        <v>25</v>
      </c>
      <c r="AC50" s="154">
        <v>22608</v>
      </c>
      <c r="AD50" s="154">
        <v>131</v>
      </c>
      <c r="AE50" s="154" t="s">
        <v>1462</v>
      </c>
      <c r="AF50" s="154">
        <v>130</v>
      </c>
      <c r="AG50" s="154" t="s">
        <v>1402</v>
      </c>
      <c r="AH50" s="154" t="s">
        <v>36</v>
      </c>
      <c r="AI50" s="154" t="s">
        <v>704</v>
      </c>
      <c r="AJ50" s="154">
        <v>427</v>
      </c>
      <c r="AK50" s="154" t="s">
        <v>1473</v>
      </c>
      <c r="AL50" s="154">
        <v>28087</v>
      </c>
      <c r="AM50" s="154" t="s">
        <v>1418</v>
      </c>
      <c r="AN50" s="154" t="s">
        <v>1518</v>
      </c>
      <c r="AO50" s="154">
        <v>28</v>
      </c>
      <c r="AP50" s="154" t="s">
        <v>1416</v>
      </c>
      <c r="AQ50" s="154">
        <v>0</v>
      </c>
      <c r="AR50" s="154" t="s">
        <v>1410</v>
      </c>
      <c r="AS50" s="154"/>
      <c r="AT50" s="154" t="s">
        <v>1417</v>
      </c>
      <c r="AU50" s="154" t="s">
        <v>1412</v>
      </c>
    </row>
    <row r="51" spans="1:47" x14ac:dyDescent="0.45">
      <c r="A51" s="154">
        <v>2513150108</v>
      </c>
      <c r="B51" s="154">
        <v>131</v>
      </c>
      <c r="C51" s="154" t="s">
        <v>1462</v>
      </c>
      <c r="D51" s="154">
        <v>130</v>
      </c>
      <c r="E51" s="154" t="s">
        <v>1402</v>
      </c>
      <c r="F51" s="154" t="s">
        <v>2567</v>
      </c>
      <c r="G51" s="154" t="s">
        <v>2568</v>
      </c>
      <c r="H51" s="154">
        <v>1</v>
      </c>
      <c r="I51" s="154" t="s">
        <v>982</v>
      </c>
      <c r="J51" s="154" t="s">
        <v>1403</v>
      </c>
      <c r="K51" s="154">
        <v>2025</v>
      </c>
      <c r="L51" s="155">
        <v>2025</v>
      </c>
      <c r="M51" s="156">
        <v>45552</v>
      </c>
      <c r="N51" s="154" t="s">
        <v>36</v>
      </c>
      <c r="O51" s="154" t="s">
        <v>704</v>
      </c>
      <c r="P51" s="154">
        <v>260</v>
      </c>
      <c r="Q51" s="154" t="s">
        <v>1519</v>
      </c>
      <c r="R51" s="154">
        <v>2</v>
      </c>
      <c r="S51" s="154">
        <v>2</v>
      </c>
      <c r="T51" s="154" t="s">
        <v>1464</v>
      </c>
      <c r="U51" s="154">
        <v>1</v>
      </c>
      <c r="V51" s="155">
        <v>2522572</v>
      </c>
      <c r="W51" s="155">
        <v>0</v>
      </c>
      <c r="X51" s="155" t="s">
        <v>1406</v>
      </c>
      <c r="Y51" s="154"/>
      <c r="Z51" s="154" t="s">
        <v>32</v>
      </c>
      <c r="AA51" s="156">
        <v>45629</v>
      </c>
      <c r="AB51" s="154">
        <v>25</v>
      </c>
      <c r="AC51" s="154">
        <v>22572</v>
      </c>
      <c r="AD51" s="154">
        <v>131</v>
      </c>
      <c r="AE51" s="154" t="s">
        <v>1462</v>
      </c>
      <c r="AF51" s="154">
        <v>130</v>
      </c>
      <c r="AG51" s="154" t="s">
        <v>1402</v>
      </c>
      <c r="AH51" s="154" t="s">
        <v>36</v>
      </c>
      <c r="AI51" s="154" t="s">
        <v>704</v>
      </c>
      <c r="AJ51" s="154">
        <v>260</v>
      </c>
      <c r="AK51" s="154" t="s">
        <v>1407</v>
      </c>
      <c r="AL51" s="154">
        <v>28094</v>
      </c>
      <c r="AM51" s="154" t="s">
        <v>1421</v>
      </c>
      <c r="AN51" s="154" t="s">
        <v>1437</v>
      </c>
      <c r="AO51" s="154">
        <v>28</v>
      </c>
      <c r="AP51" s="154" t="s">
        <v>1416</v>
      </c>
      <c r="AQ51" s="154">
        <v>0</v>
      </c>
      <c r="AR51" s="154" t="s">
        <v>1410</v>
      </c>
      <c r="AS51" s="154"/>
      <c r="AT51" s="154" t="s">
        <v>1417</v>
      </c>
      <c r="AU51" s="154" t="s">
        <v>1412</v>
      </c>
    </row>
    <row r="52" spans="1:47" x14ac:dyDescent="0.45">
      <c r="A52" s="154">
        <v>2513150109</v>
      </c>
      <c r="B52" s="154">
        <v>131</v>
      </c>
      <c r="C52" s="154" t="s">
        <v>1462</v>
      </c>
      <c r="D52" s="154">
        <v>130</v>
      </c>
      <c r="E52" s="154" t="s">
        <v>1402</v>
      </c>
      <c r="F52" s="154" t="s">
        <v>2569</v>
      </c>
      <c r="G52" s="154" t="s">
        <v>2570</v>
      </c>
      <c r="H52" s="154">
        <v>2</v>
      </c>
      <c r="I52" s="154" t="s">
        <v>2571</v>
      </c>
      <c r="J52" s="154" t="s">
        <v>1403</v>
      </c>
      <c r="K52" s="154">
        <v>2025</v>
      </c>
      <c r="L52" s="155">
        <v>2025</v>
      </c>
      <c r="M52" s="156">
        <v>45572</v>
      </c>
      <c r="N52" s="154" t="s">
        <v>36</v>
      </c>
      <c r="O52" s="154" t="s">
        <v>793</v>
      </c>
      <c r="P52" s="154">
        <v>857</v>
      </c>
      <c r="Q52" s="154" t="s">
        <v>1481</v>
      </c>
      <c r="R52" s="154">
        <v>1</v>
      </c>
      <c r="S52" s="154">
        <v>2</v>
      </c>
      <c r="T52" s="154" t="s">
        <v>1464</v>
      </c>
      <c r="U52" s="154">
        <v>1</v>
      </c>
      <c r="V52" s="155">
        <v>0</v>
      </c>
      <c r="W52" s="155">
        <v>0</v>
      </c>
      <c r="X52" s="155" t="s">
        <v>1406</v>
      </c>
      <c r="Y52" s="156">
        <v>45646</v>
      </c>
      <c r="Z52" s="154" t="s">
        <v>32</v>
      </c>
      <c r="AA52" s="154"/>
      <c r="AB52" s="154">
        <v>0</v>
      </c>
      <c r="AC52" s="154">
        <v>0</v>
      </c>
      <c r="AD52" s="154">
        <v>0</v>
      </c>
      <c r="AE52" s="154" t="s">
        <v>1446</v>
      </c>
      <c r="AF52" s="154"/>
      <c r="AG52" s="154" t="s">
        <v>1446</v>
      </c>
      <c r="AH52" s="154"/>
      <c r="AI52" s="154"/>
      <c r="AJ52" s="154">
        <v>0</v>
      </c>
      <c r="AK52" s="154" t="s">
        <v>1473</v>
      </c>
      <c r="AL52" s="154">
        <v>28200</v>
      </c>
      <c r="AM52" s="154" t="s">
        <v>1418</v>
      </c>
      <c r="AN52" s="154" t="s">
        <v>1520</v>
      </c>
      <c r="AO52" s="154">
        <v>28</v>
      </c>
      <c r="AP52" s="154" t="s">
        <v>1416</v>
      </c>
      <c r="AQ52" s="154">
        <v>0</v>
      </c>
      <c r="AR52" s="154" t="s">
        <v>1410</v>
      </c>
      <c r="AS52" s="154"/>
      <c r="AT52" s="154" t="s">
        <v>1417</v>
      </c>
      <c r="AU52" s="154" t="s">
        <v>1412</v>
      </c>
    </row>
    <row r="53" spans="1:47" x14ac:dyDescent="0.45">
      <c r="A53" s="154">
        <v>2513150111</v>
      </c>
      <c r="B53" s="154">
        <v>131</v>
      </c>
      <c r="C53" s="154" t="s">
        <v>1462</v>
      </c>
      <c r="D53" s="154">
        <v>130</v>
      </c>
      <c r="E53" s="154" t="s">
        <v>1402</v>
      </c>
      <c r="F53" s="154" t="s">
        <v>2575</v>
      </c>
      <c r="G53" s="154" t="s">
        <v>2576</v>
      </c>
      <c r="H53" s="154">
        <v>1</v>
      </c>
      <c r="I53" s="154" t="s">
        <v>2577</v>
      </c>
      <c r="J53" s="154" t="s">
        <v>1403</v>
      </c>
      <c r="K53" s="154">
        <v>2025</v>
      </c>
      <c r="L53" s="155">
        <v>2025</v>
      </c>
      <c r="M53" s="156">
        <v>45562</v>
      </c>
      <c r="N53" s="154" t="s">
        <v>36</v>
      </c>
      <c r="O53" s="154" t="s">
        <v>704</v>
      </c>
      <c r="P53" s="154">
        <v>968</v>
      </c>
      <c r="Q53" s="154" t="s">
        <v>1474</v>
      </c>
      <c r="R53" s="154">
        <v>2</v>
      </c>
      <c r="S53" s="154">
        <v>2</v>
      </c>
      <c r="T53" s="154" t="s">
        <v>1464</v>
      </c>
      <c r="U53" s="154">
        <v>1</v>
      </c>
      <c r="V53" s="155">
        <v>2522543</v>
      </c>
      <c r="W53" s="155">
        <v>0</v>
      </c>
      <c r="X53" s="155" t="s">
        <v>1406</v>
      </c>
      <c r="Y53" s="154"/>
      <c r="Z53" s="154" t="s">
        <v>32</v>
      </c>
      <c r="AA53" s="156">
        <v>45595</v>
      </c>
      <c r="AB53" s="154">
        <v>25</v>
      </c>
      <c r="AC53" s="154">
        <v>22543</v>
      </c>
      <c r="AD53" s="154">
        <v>131</v>
      </c>
      <c r="AE53" s="154" t="s">
        <v>1462</v>
      </c>
      <c r="AF53" s="154">
        <v>130</v>
      </c>
      <c r="AG53" s="154" t="s">
        <v>1402</v>
      </c>
      <c r="AH53" s="154" t="s">
        <v>36</v>
      </c>
      <c r="AI53" s="154" t="s">
        <v>704</v>
      </c>
      <c r="AJ53" s="154">
        <v>968</v>
      </c>
      <c r="AK53" s="154" t="s">
        <v>1407</v>
      </c>
      <c r="AL53" s="154">
        <v>28098</v>
      </c>
      <c r="AM53" s="154" t="s">
        <v>1418</v>
      </c>
      <c r="AN53" s="154" t="s">
        <v>1448</v>
      </c>
      <c r="AO53" s="154">
        <v>28</v>
      </c>
      <c r="AP53" s="154" t="s">
        <v>1416</v>
      </c>
      <c r="AQ53" s="154">
        <v>0</v>
      </c>
      <c r="AR53" s="154" t="s">
        <v>1410</v>
      </c>
      <c r="AS53" s="154"/>
      <c r="AT53" s="154" t="s">
        <v>1417</v>
      </c>
      <c r="AU53" s="154" t="s">
        <v>1412</v>
      </c>
    </row>
    <row r="54" spans="1:47" x14ac:dyDescent="0.45">
      <c r="A54" s="154">
        <v>2513150112</v>
      </c>
      <c r="B54" s="154">
        <v>131</v>
      </c>
      <c r="C54" s="154" t="s">
        <v>1462</v>
      </c>
      <c r="D54" s="154">
        <v>130</v>
      </c>
      <c r="E54" s="154" t="s">
        <v>1402</v>
      </c>
      <c r="F54" s="154" t="s">
        <v>2578</v>
      </c>
      <c r="G54" s="154" t="s">
        <v>2579</v>
      </c>
      <c r="H54" s="154">
        <v>1</v>
      </c>
      <c r="I54" s="154" t="s">
        <v>840</v>
      </c>
      <c r="J54" s="154" t="s">
        <v>1403</v>
      </c>
      <c r="K54" s="154">
        <v>2025</v>
      </c>
      <c r="L54" s="155">
        <v>2025</v>
      </c>
      <c r="M54" s="156">
        <v>45567</v>
      </c>
      <c r="N54" s="154" t="s">
        <v>36</v>
      </c>
      <c r="O54" s="154" t="s">
        <v>704</v>
      </c>
      <c r="P54" s="154">
        <v>428</v>
      </c>
      <c r="Q54" s="154" t="s">
        <v>1463</v>
      </c>
      <c r="R54" s="154">
        <v>2</v>
      </c>
      <c r="S54" s="154">
        <v>2</v>
      </c>
      <c r="T54" s="154" t="s">
        <v>1464</v>
      </c>
      <c r="U54" s="154">
        <v>1</v>
      </c>
      <c r="V54" s="155">
        <v>2522526</v>
      </c>
      <c r="W54" s="155">
        <v>0</v>
      </c>
      <c r="X54" s="155" t="s">
        <v>1406</v>
      </c>
      <c r="Y54" s="154"/>
      <c r="Z54" s="154" t="s">
        <v>32</v>
      </c>
      <c r="AA54" s="156">
        <v>45580</v>
      </c>
      <c r="AB54" s="154">
        <v>25</v>
      </c>
      <c r="AC54" s="154">
        <v>22526</v>
      </c>
      <c r="AD54" s="154">
        <v>131</v>
      </c>
      <c r="AE54" s="154" t="s">
        <v>1462</v>
      </c>
      <c r="AF54" s="154">
        <v>130</v>
      </c>
      <c r="AG54" s="154" t="s">
        <v>1402</v>
      </c>
      <c r="AH54" s="154" t="s">
        <v>36</v>
      </c>
      <c r="AI54" s="154" t="s">
        <v>704</v>
      </c>
      <c r="AJ54" s="154">
        <v>428</v>
      </c>
      <c r="AK54" s="154" t="s">
        <v>1407</v>
      </c>
      <c r="AL54" s="154">
        <v>28095</v>
      </c>
      <c r="AM54" s="154" t="s">
        <v>1421</v>
      </c>
      <c r="AN54" s="154" t="s">
        <v>1435</v>
      </c>
      <c r="AO54" s="154">
        <v>28</v>
      </c>
      <c r="AP54" s="154" t="s">
        <v>1416</v>
      </c>
      <c r="AQ54" s="154">
        <v>0</v>
      </c>
      <c r="AR54" s="154" t="s">
        <v>1410</v>
      </c>
      <c r="AS54" s="154"/>
      <c r="AT54" s="154" t="s">
        <v>1417</v>
      </c>
      <c r="AU54" s="154" t="s">
        <v>1412</v>
      </c>
    </row>
    <row r="55" spans="1:47" x14ac:dyDescent="0.45">
      <c r="A55" s="154">
        <v>2513150113</v>
      </c>
      <c r="B55" s="154">
        <v>131</v>
      </c>
      <c r="C55" s="154" t="s">
        <v>1462</v>
      </c>
      <c r="D55" s="154">
        <v>130</v>
      </c>
      <c r="E55" s="154" t="s">
        <v>1402</v>
      </c>
      <c r="F55" s="154" t="s">
        <v>2580</v>
      </c>
      <c r="G55" s="154" t="s">
        <v>2581</v>
      </c>
      <c r="H55" s="154">
        <v>1</v>
      </c>
      <c r="I55" s="154" t="s">
        <v>972</v>
      </c>
      <c r="J55" s="154" t="s">
        <v>1403</v>
      </c>
      <c r="K55" s="154">
        <v>2025</v>
      </c>
      <c r="L55" s="155">
        <v>2025</v>
      </c>
      <c r="M55" s="156">
        <v>45554</v>
      </c>
      <c r="N55" s="154" t="s">
        <v>36</v>
      </c>
      <c r="O55" s="154" t="s">
        <v>704</v>
      </c>
      <c r="P55" s="154">
        <v>290</v>
      </c>
      <c r="Q55" s="154" t="s">
        <v>1496</v>
      </c>
      <c r="R55" s="154">
        <v>2</v>
      </c>
      <c r="S55" s="154">
        <v>2</v>
      </c>
      <c r="T55" s="154" t="s">
        <v>1464</v>
      </c>
      <c r="U55" s="154">
        <v>1</v>
      </c>
      <c r="V55" s="155">
        <v>2522506</v>
      </c>
      <c r="W55" s="155">
        <v>0</v>
      </c>
      <c r="X55" s="155" t="s">
        <v>1406</v>
      </c>
      <c r="Y55" s="154"/>
      <c r="Z55" s="154" t="s">
        <v>32</v>
      </c>
      <c r="AA55" s="156">
        <v>45565</v>
      </c>
      <c r="AB55" s="154">
        <v>25</v>
      </c>
      <c r="AC55" s="154">
        <v>22506</v>
      </c>
      <c r="AD55" s="154">
        <v>131</v>
      </c>
      <c r="AE55" s="154" t="s">
        <v>1462</v>
      </c>
      <c r="AF55" s="154">
        <v>130</v>
      </c>
      <c r="AG55" s="154" t="s">
        <v>1402</v>
      </c>
      <c r="AH55" s="154" t="s">
        <v>36</v>
      </c>
      <c r="AI55" s="154" t="s">
        <v>704</v>
      </c>
      <c r="AJ55" s="154">
        <v>290</v>
      </c>
      <c r="AK55" s="154" t="s">
        <v>1407</v>
      </c>
      <c r="AL55" s="154">
        <v>28144</v>
      </c>
      <c r="AM55" s="154" t="s">
        <v>1418</v>
      </c>
      <c r="AN55" s="154" t="s">
        <v>1510</v>
      </c>
      <c r="AO55" s="154">
        <v>28</v>
      </c>
      <c r="AP55" s="154" t="s">
        <v>1416</v>
      </c>
      <c r="AQ55" s="154">
        <v>0</v>
      </c>
      <c r="AR55" s="154" t="s">
        <v>1410</v>
      </c>
      <c r="AS55" s="154"/>
      <c r="AT55" s="154" t="s">
        <v>1417</v>
      </c>
      <c r="AU55" s="154" t="s">
        <v>1412</v>
      </c>
    </row>
    <row r="56" spans="1:47" x14ac:dyDescent="0.45">
      <c r="A56" s="154">
        <v>2513150116</v>
      </c>
      <c r="B56" s="154">
        <v>131</v>
      </c>
      <c r="C56" s="154" t="s">
        <v>1462</v>
      </c>
      <c r="D56" s="154">
        <v>130</v>
      </c>
      <c r="E56" s="154" t="s">
        <v>1402</v>
      </c>
      <c r="F56" s="154" t="s">
        <v>2587</v>
      </c>
      <c r="G56" s="154" t="s">
        <v>2588</v>
      </c>
      <c r="H56" s="154">
        <v>2</v>
      </c>
      <c r="I56" s="154" t="s">
        <v>2589</v>
      </c>
      <c r="J56" s="154" t="s">
        <v>1403</v>
      </c>
      <c r="K56" s="154">
        <v>2025</v>
      </c>
      <c r="L56" s="155">
        <v>2025</v>
      </c>
      <c r="M56" s="156">
        <v>45574</v>
      </c>
      <c r="N56" s="154" t="s">
        <v>36</v>
      </c>
      <c r="O56" s="154" t="s">
        <v>698</v>
      </c>
      <c r="P56" s="154">
        <v>504</v>
      </c>
      <c r="Q56" s="154" t="s">
        <v>1509</v>
      </c>
      <c r="R56" s="154">
        <v>2</v>
      </c>
      <c r="S56" s="154">
        <v>5</v>
      </c>
      <c r="T56" s="154" t="s">
        <v>1470</v>
      </c>
      <c r="U56" s="154">
        <v>15</v>
      </c>
      <c r="V56" s="155">
        <v>2522555</v>
      </c>
      <c r="W56" s="155">
        <v>0</v>
      </c>
      <c r="X56" s="155" t="s">
        <v>1406</v>
      </c>
      <c r="Y56" s="154"/>
      <c r="Z56" s="154" t="s">
        <v>32</v>
      </c>
      <c r="AA56" s="156">
        <v>45602</v>
      </c>
      <c r="AB56" s="154">
        <v>25</v>
      </c>
      <c r="AC56" s="154">
        <v>22555</v>
      </c>
      <c r="AD56" s="154">
        <v>131</v>
      </c>
      <c r="AE56" s="154" t="s">
        <v>1462</v>
      </c>
      <c r="AF56" s="154">
        <v>130</v>
      </c>
      <c r="AG56" s="154" t="s">
        <v>1402</v>
      </c>
      <c r="AH56" s="154" t="s">
        <v>36</v>
      </c>
      <c r="AI56" s="154" t="s">
        <v>698</v>
      </c>
      <c r="AJ56" s="154">
        <v>504</v>
      </c>
      <c r="AK56" s="154" t="s">
        <v>1407</v>
      </c>
      <c r="AL56" s="154">
        <v>28087</v>
      </c>
      <c r="AM56" s="154" t="s">
        <v>1418</v>
      </c>
      <c r="AN56" s="154" t="s">
        <v>1518</v>
      </c>
      <c r="AO56" s="154">
        <v>28</v>
      </c>
      <c r="AP56" s="154" t="s">
        <v>1416</v>
      </c>
      <c r="AQ56" s="154">
        <v>0</v>
      </c>
      <c r="AR56" s="154" t="s">
        <v>1410</v>
      </c>
      <c r="AS56" s="154"/>
      <c r="AT56" s="154" t="s">
        <v>1417</v>
      </c>
      <c r="AU56" s="154" t="s">
        <v>1412</v>
      </c>
    </row>
    <row r="57" spans="1:47" x14ac:dyDescent="0.45">
      <c r="A57" s="154">
        <v>2513150121</v>
      </c>
      <c r="B57" s="154">
        <v>131</v>
      </c>
      <c r="C57" s="154" t="s">
        <v>1462</v>
      </c>
      <c r="D57" s="154">
        <v>130</v>
      </c>
      <c r="E57" s="154" t="s">
        <v>1402</v>
      </c>
      <c r="F57" s="154" t="s">
        <v>2601</v>
      </c>
      <c r="G57" s="154" t="s">
        <v>2602</v>
      </c>
      <c r="H57" s="154">
        <v>1</v>
      </c>
      <c r="I57" s="154" t="s">
        <v>2603</v>
      </c>
      <c r="J57" s="154" t="s">
        <v>1403</v>
      </c>
      <c r="K57" s="154">
        <v>2025</v>
      </c>
      <c r="L57" s="155">
        <v>2025</v>
      </c>
      <c r="M57" s="156">
        <v>45566</v>
      </c>
      <c r="N57" s="154" t="s">
        <v>36</v>
      </c>
      <c r="O57" s="154" t="s">
        <v>708</v>
      </c>
      <c r="P57" s="154">
        <v>645</v>
      </c>
      <c r="Q57" s="154" t="s">
        <v>1544</v>
      </c>
      <c r="R57" s="154">
        <v>2</v>
      </c>
      <c r="S57" s="154">
        <v>3</v>
      </c>
      <c r="T57" s="154" t="s">
        <v>1477</v>
      </c>
      <c r="U57" s="154">
        <v>4</v>
      </c>
      <c r="V57" s="155">
        <v>2522564</v>
      </c>
      <c r="W57" s="155">
        <v>0</v>
      </c>
      <c r="X57" s="155" t="s">
        <v>1406</v>
      </c>
      <c r="Y57" s="154"/>
      <c r="Z57" s="154" t="s">
        <v>32</v>
      </c>
      <c r="AA57" s="156">
        <v>45611</v>
      </c>
      <c r="AB57" s="154">
        <v>25</v>
      </c>
      <c r="AC57" s="154">
        <v>22564</v>
      </c>
      <c r="AD57" s="154">
        <v>131</v>
      </c>
      <c r="AE57" s="154" t="s">
        <v>1462</v>
      </c>
      <c r="AF57" s="154">
        <v>130</v>
      </c>
      <c r="AG57" s="154" t="s">
        <v>1402</v>
      </c>
      <c r="AH57" s="154" t="s">
        <v>36</v>
      </c>
      <c r="AI57" s="154" t="s">
        <v>708</v>
      </c>
      <c r="AJ57" s="154">
        <v>645</v>
      </c>
      <c r="AK57" s="154" t="s">
        <v>1407</v>
      </c>
      <c r="AL57" s="154">
        <v>28127</v>
      </c>
      <c r="AM57" s="154" t="s">
        <v>1418</v>
      </c>
      <c r="AN57" s="154" t="s">
        <v>1539</v>
      </c>
      <c r="AO57" s="154">
        <v>28</v>
      </c>
      <c r="AP57" s="154" t="s">
        <v>1416</v>
      </c>
      <c r="AQ57" s="154">
        <v>0</v>
      </c>
      <c r="AR57" s="154" t="s">
        <v>1410</v>
      </c>
      <c r="AS57" s="154"/>
      <c r="AT57" s="154" t="s">
        <v>1417</v>
      </c>
      <c r="AU57" s="154" t="s">
        <v>1412</v>
      </c>
    </row>
    <row r="58" spans="1:47" x14ac:dyDescent="0.45">
      <c r="A58" s="154">
        <v>2513150123</v>
      </c>
      <c r="B58" s="154">
        <v>131</v>
      </c>
      <c r="C58" s="154" t="s">
        <v>1462</v>
      </c>
      <c r="D58" s="154">
        <v>130</v>
      </c>
      <c r="E58" s="154" t="s">
        <v>1402</v>
      </c>
      <c r="F58" s="154" t="s">
        <v>2606</v>
      </c>
      <c r="G58" s="154" t="s">
        <v>2607</v>
      </c>
      <c r="H58" s="154">
        <v>1</v>
      </c>
      <c r="I58" s="154" t="s">
        <v>179</v>
      </c>
      <c r="J58" s="154" t="s">
        <v>1403</v>
      </c>
      <c r="K58" s="154">
        <v>2025</v>
      </c>
      <c r="L58" s="155">
        <v>2025</v>
      </c>
      <c r="M58" s="156">
        <v>45562</v>
      </c>
      <c r="N58" s="154" t="s">
        <v>36</v>
      </c>
      <c r="O58" s="154" t="s">
        <v>741</v>
      </c>
      <c r="P58" s="154">
        <v>581</v>
      </c>
      <c r="Q58" s="154" t="s">
        <v>1489</v>
      </c>
      <c r="R58" s="154">
        <v>2</v>
      </c>
      <c r="S58" s="154">
        <v>10</v>
      </c>
      <c r="T58" s="154" t="s">
        <v>1490</v>
      </c>
      <c r="U58" s="154">
        <v>9</v>
      </c>
      <c r="V58" s="155">
        <v>2522533</v>
      </c>
      <c r="W58" s="155">
        <v>0</v>
      </c>
      <c r="X58" s="155" t="s">
        <v>1406</v>
      </c>
      <c r="Y58" s="154"/>
      <c r="Z58" s="154" t="s">
        <v>32</v>
      </c>
      <c r="AA58" s="156">
        <v>45581</v>
      </c>
      <c r="AB58" s="154">
        <v>25</v>
      </c>
      <c r="AC58" s="154">
        <v>22533</v>
      </c>
      <c r="AD58" s="154">
        <v>131</v>
      </c>
      <c r="AE58" s="154" t="s">
        <v>1462</v>
      </c>
      <c r="AF58" s="154">
        <v>130</v>
      </c>
      <c r="AG58" s="154" t="s">
        <v>1402</v>
      </c>
      <c r="AH58" s="154" t="s">
        <v>36</v>
      </c>
      <c r="AI58" s="154" t="s">
        <v>741</v>
      </c>
      <c r="AJ58" s="154">
        <v>581</v>
      </c>
      <c r="AK58" s="154" t="s">
        <v>1407</v>
      </c>
      <c r="AL58" s="154">
        <v>28092</v>
      </c>
      <c r="AM58" s="154" t="s">
        <v>1421</v>
      </c>
      <c r="AN58" s="154" t="s">
        <v>2824</v>
      </c>
      <c r="AO58" s="154">
        <v>28</v>
      </c>
      <c r="AP58" s="154" t="s">
        <v>1416</v>
      </c>
      <c r="AQ58" s="154">
        <v>0</v>
      </c>
      <c r="AR58" s="154" t="s">
        <v>1410</v>
      </c>
      <c r="AS58" s="154"/>
      <c r="AT58" s="154" t="s">
        <v>1417</v>
      </c>
      <c r="AU58" s="154" t="s">
        <v>1412</v>
      </c>
    </row>
    <row r="59" spans="1:47" x14ac:dyDescent="0.45">
      <c r="A59" s="154">
        <v>2513150124</v>
      </c>
      <c r="B59" s="154">
        <v>131</v>
      </c>
      <c r="C59" s="154" t="s">
        <v>1462</v>
      </c>
      <c r="D59" s="154">
        <v>130</v>
      </c>
      <c r="E59" s="154" t="s">
        <v>1402</v>
      </c>
      <c r="F59" s="154" t="s">
        <v>2609</v>
      </c>
      <c r="G59" s="154" t="s">
        <v>2610</v>
      </c>
      <c r="H59" s="154">
        <v>1</v>
      </c>
      <c r="I59" s="154" t="s">
        <v>2721</v>
      </c>
      <c r="J59" s="154" t="s">
        <v>1461</v>
      </c>
      <c r="K59" s="154">
        <v>2025</v>
      </c>
      <c r="L59" s="155">
        <v>2025</v>
      </c>
      <c r="M59" s="156">
        <v>45559</v>
      </c>
      <c r="N59" s="154" t="s">
        <v>36</v>
      </c>
      <c r="O59" s="154" t="s">
        <v>698</v>
      </c>
      <c r="P59" s="154">
        <v>504</v>
      </c>
      <c r="Q59" s="154" t="s">
        <v>1509</v>
      </c>
      <c r="R59" s="154">
        <v>2</v>
      </c>
      <c r="S59" s="154">
        <v>5</v>
      </c>
      <c r="T59" s="154" t="s">
        <v>1470</v>
      </c>
      <c r="U59" s="154">
        <v>15</v>
      </c>
      <c r="V59" s="155">
        <v>2522539</v>
      </c>
      <c r="W59" s="155">
        <v>0</v>
      </c>
      <c r="X59" s="155" t="s">
        <v>1406</v>
      </c>
      <c r="Y59" s="154"/>
      <c r="Z59" s="154" t="s">
        <v>32</v>
      </c>
      <c r="AA59" s="156">
        <v>45594</v>
      </c>
      <c r="AB59" s="154">
        <v>25</v>
      </c>
      <c r="AC59" s="154">
        <v>22539</v>
      </c>
      <c r="AD59" s="154">
        <v>131</v>
      </c>
      <c r="AE59" s="154" t="s">
        <v>1462</v>
      </c>
      <c r="AF59" s="154">
        <v>130</v>
      </c>
      <c r="AG59" s="154" t="s">
        <v>1402</v>
      </c>
      <c r="AH59" s="154" t="s">
        <v>36</v>
      </c>
      <c r="AI59" s="154" t="s">
        <v>698</v>
      </c>
      <c r="AJ59" s="154">
        <v>504</v>
      </c>
      <c r="AK59" s="154" t="s">
        <v>1407</v>
      </c>
      <c r="AL59" s="154">
        <v>36018</v>
      </c>
      <c r="AM59" s="154" t="s">
        <v>1418</v>
      </c>
      <c r="AN59" s="154" t="s">
        <v>2848</v>
      </c>
      <c r="AO59" s="154">
        <v>36</v>
      </c>
      <c r="AP59" s="154" t="s">
        <v>1603</v>
      </c>
      <c r="AQ59" s="154">
        <v>0</v>
      </c>
      <c r="AR59" s="154" t="s">
        <v>1410</v>
      </c>
      <c r="AS59" s="154"/>
      <c r="AT59" s="154" t="s">
        <v>1417</v>
      </c>
      <c r="AU59" s="154" t="s">
        <v>1412</v>
      </c>
    </row>
    <row r="60" spans="1:47" x14ac:dyDescent="0.45">
      <c r="A60" s="154">
        <v>2513150125</v>
      </c>
      <c r="B60" s="154">
        <v>131</v>
      </c>
      <c r="C60" s="154" t="s">
        <v>1462</v>
      </c>
      <c r="D60" s="154">
        <v>130</v>
      </c>
      <c r="E60" s="154" t="s">
        <v>1402</v>
      </c>
      <c r="F60" s="154" t="s">
        <v>2611</v>
      </c>
      <c r="G60" s="154" t="s">
        <v>2612</v>
      </c>
      <c r="H60" s="154">
        <v>1</v>
      </c>
      <c r="I60" s="154" t="s">
        <v>179</v>
      </c>
      <c r="J60" s="154" t="s">
        <v>1403</v>
      </c>
      <c r="K60" s="154">
        <v>2025</v>
      </c>
      <c r="L60" s="155">
        <v>2025</v>
      </c>
      <c r="M60" s="156">
        <v>45588</v>
      </c>
      <c r="N60" s="154" t="s">
        <v>36</v>
      </c>
      <c r="O60" s="154" t="s">
        <v>704</v>
      </c>
      <c r="P60" s="154">
        <v>428</v>
      </c>
      <c r="Q60" s="154" t="s">
        <v>1463</v>
      </c>
      <c r="R60" s="154">
        <v>2</v>
      </c>
      <c r="S60" s="154">
        <v>2</v>
      </c>
      <c r="T60" s="154" t="s">
        <v>1464</v>
      </c>
      <c r="U60" s="154">
        <v>1</v>
      </c>
      <c r="V60" s="155">
        <v>0</v>
      </c>
      <c r="W60" s="155">
        <v>0</v>
      </c>
      <c r="X60" s="155" t="s">
        <v>1406</v>
      </c>
      <c r="Y60" s="156">
        <v>45623</v>
      </c>
      <c r="Z60" s="154" t="s">
        <v>32</v>
      </c>
      <c r="AA60" s="154"/>
      <c r="AB60" s="154">
        <v>0</v>
      </c>
      <c r="AC60" s="154">
        <v>0</v>
      </c>
      <c r="AD60" s="154">
        <v>0</v>
      </c>
      <c r="AE60" s="154" t="s">
        <v>1446</v>
      </c>
      <c r="AF60" s="154"/>
      <c r="AG60" s="154" t="s">
        <v>1446</v>
      </c>
      <c r="AH60" s="154"/>
      <c r="AI60" s="154"/>
      <c r="AJ60" s="154">
        <v>0</v>
      </c>
      <c r="AK60" s="154" t="s">
        <v>1407</v>
      </c>
      <c r="AL60" s="154">
        <v>1355</v>
      </c>
      <c r="AM60" s="154" t="s">
        <v>1421</v>
      </c>
      <c r="AN60" s="154" t="s">
        <v>1442</v>
      </c>
      <c r="AO60" s="154">
        <v>1</v>
      </c>
      <c r="AP60" s="154" t="s">
        <v>1443</v>
      </c>
      <c r="AQ60" s="154">
        <v>0</v>
      </c>
      <c r="AR60" s="154" t="s">
        <v>1410</v>
      </c>
      <c r="AS60" s="154"/>
      <c r="AT60" s="154" t="s">
        <v>1417</v>
      </c>
      <c r="AU60" s="154" t="s">
        <v>1412</v>
      </c>
    </row>
    <row r="61" spans="1:47" x14ac:dyDescent="0.45">
      <c r="A61" s="154">
        <v>2513150126</v>
      </c>
      <c r="B61" s="154">
        <v>131</v>
      </c>
      <c r="C61" s="154" t="s">
        <v>1462</v>
      </c>
      <c r="D61" s="154">
        <v>130</v>
      </c>
      <c r="E61" s="154" t="s">
        <v>1402</v>
      </c>
      <c r="F61" s="154" t="s">
        <v>2613</v>
      </c>
      <c r="G61" s="154" t="s">
        <v>2614</v>
      </c>
      <c r="H61" s="154">
        <v>1</v>
      </c>
      <c r="I61" s="154" t="s">
        <v>2615</v>
      </c>
      <c r="J61" s="154" t="s">
        <v>1403</v>
      </c>
      <c r="K61" s="154">
        <v>2025</v>
      </c>
      <c r="L61" s="155">
        <v>2025</v>
      </c>
      <c r="M61" s="156">
        <v>45552</v>
      </c>
      <c r="N61" s="154" t="s">
        <v>36</v>
      </c>
      <c r="O61" s="154" t="s">
        <v>704</v>
      </c>
      <c r="P61" s="154">
        <v>968</v>
      </c>
      <c r="Q61" s="154" t="s">
        <v>1474</v>
      </c>
      <c r="R61" s="154">
        <v>2</v>
      </c>
      <c r="S61" s="154">
        <v>2</v>
      </c>
      <c r="T61" s="154" t="s">
        <v>1464</v>
      </c>
      <c r="U61" s="154">
        <v>1</v>
      </c>
      <c r="V61" s="155">
        <v>2522525</v>
      </c>
      <c r="W61" s="155">
        <v>0</v>
      </c>
      <c r="X61" s="155" t="s">
        <v>1406</v>
      </c>
      <c r="Y61" s="154"/>
      <c r="Z61" s="154" t="s">
        <v>32</v>
      </c>
      <c r="AA61" s="156">
        <v>45580</v>
      </c>
      <c r="AB61" s="154">
        <v>25</v>
      </c>
      <c r="AC61" s="154">
        <v>22525</v>
      </c>
      <c r="AD61" s="154">
        <v>131</v>
      </c>
      <c r="AE61" s="154" t="s">
        <v>1462</v>
      </c>
      <c r="AF61" s="154">
        <v>130</v>
      </c>
      <c r="AG61" s="154" t="s">
        <v>1402</v>
      </c>
      <c r="AH61" s="154" t="s">
        <v>36</v>
      </c>
      <c r="AI61" s="154" t="s">
        <v>704</v>
      </c>
      <c r="AJ61" s="154">
        <v>968</v>
      </c>
      <c r="AK61" s="154" t="s">
        <v>1407</v>
      </c>
      <c r="AL61" s="154">
        <v>28157</v>
      </c>
      <c r="AM61" s="154" t="s">
        <v>1414</v>
      </c>
      <c r="AN61" s="154" t="s">
        <v>1415</v>
      </c>
      <c r="AO61" s="154">
        <v>28</v>
      </c>
      <c r="AP61" s="154" t="s">
        <v>1416</v>
      </c>
      <c r="AQ61" s="154">
        <v>0</v>
      </c>
      <c r="AR61" s="154" t="s">
        <v>1410</v>
      </c>
      <c r="AS61" s="154"/>
      <c r="AT61" s="154" t="s">
        <v>1417</v>
      </c>
      <c r="AU61" s="154" t="s">
        <v>1412</v>
      </c>
    </row>
    <row r="62" spans="1:47" x14ac:dyDescent="0.45">
      <c r="A62" s="154">
        <v>2513150127</v>
      </c>
      <c r="B62" s="154">
        <v>131</v>
      </c>
      <c r="C62" s="154" t="s">
        <v>1462</v>
      </c>
      <c r="D62" s="154">
        <v>130</v>
      </c>
      <c r="E62" s="154" t="s">
        <v>1402</v>
      </c>
      <c r="F62" s="154" t="s">
        <v>2616</v>
      </c>
      <c r="G62" s="154" t="s">
        <v>2617</v>
      </c>
      <c r="H62" s="154">
        <v>1</v>
      </c>
      <c r="I62" s="154" t="s">
        <v>1108</v>
      </c>
      <c r="J62" s="154" t="s">
        <v>1403</v>
      </c>
      <c r="K62" s="154">
        <v>2025</v>
      </c>
      <c r="L62" s="155">
        <v>2025</v>
      </c>
      <c r="M62" s="156">
        <v>45583</v>
      </c>
      <c r="N62" s="154" t="s">
        <v>36</v>
      </c>
      <c r="O62" s="154" t="s">
        <v>704</v>
      </c>
      <c r="P62" s="154">
        <v>428</v>
      </c>
      <c r="Q62" s="154" t="s">
        <v>1463</v>
      </c>
      <c r="R62" s="154">
        <v>2</v>
      </c>
      <c r="S62" s="154">
        <v>2</v>
      </c>
      <c r="T62" s="154" t="s">
        <v>1464</v>
      </c>
      <c r="U62" s="154">
        <v>1</v>
      </c>
      <c r="V62" s="155">
        <v>2522567</v>
      </c>
      <c r="W62" s="155">
        <v>0</v>
      </c>
      <c r="X62" s="155" t="s">
        <v>1406</v>
      </c>
      <c r="Y62" s="154"/>
      <c r="Z62" s="154" t="s">
        <v>32</v>
      </c>
      <c r="AA62" s="156">
        <v>45617</v>
      </c>
      <c r="AB62" s="154">
        <v>25</v>
      </c>
      <c r="AC62" s="154">
        <v>22567</v>
      </c>
      <c r="AD62" s="154">
        <v>131</v>
      </c>
      <c r="AE62" s="154" t="s">
        <v>1462</v>
      </c>
      <c r="AF62" s="154">
        <v>130</v>
      </c>
      <c r="AG62" s="154" t="s">
        <v>1402</v>
      </c>
      <c r="AH62" s="154" t="s">
        <v>36</v>
      </c>
      <c r="AI62" s="154" t="s">
        <v>704</v>
      </c>
      <c r="AJ62" s="154">
        <v>428</v>
      </c>
      <c r="AK62" s="154" t="s">
        <v>1407</v>
      </c>
      <c r="AL62" s="154">
        <v>28187</v>
      </c>
      <c r="AM62" s="154" t="s">
        <v>1418</v>
      </c>
      <c r="AN62" s="154" t="s">
        <v>1425</v>
      </c>
      <c r="AO62" s="154">
        <v>28</v>
      </c>
      <c r="AP62" s="154" t="s">
        <v>1416</v>
      </c>
      <c r="AQ62" s="154">
        <v>0</v>
      </c>
      <c r="AR62" s="154" t="s">
        <v>1410</v>
      </c>
      <c r="AS62" s="154"/>
      <c r="AT62" s="154" t="s">
        <v>1417</v>
      </c>
      <c r="AU62" s="154" t="s">
        <v>1412</v>
      </c>
    </row>
    <row r="63" spans="1:47" x14ac:dyDescent="0.45">
      <c r="A63" s="154">
        <v>2513150128</v>
      </c>
      <c r="B63" s="154">
        <v>131</v>
      </c>
      <c r="C63" s="154" t="s">
        <v>1462</v>
      </c>
      <c r="D63" s="154">
        <v>130</v>
      </c>
      <c r="E63" s="154" t="s">
        <v>1402</v>
      </c>
      <c r="F63" s="154" t="s">
        <v>2618</v>
      </c>
      <c r="G63" s="154" t="s">
        <v>2619</v>
      </c>
      <c r="H63" s="154">
        <v>1</v>
      </c>
      <c r="I63" s="154" t="s">
        <v>2620</v>
      </c>
      <c r="J63" s="154" t="s">
        <v>1403</v>
      </c>
      <c r="K63" s="154">
        <v>2025</v>
      </c>
      <c r="L63" s="155">
        <v>2025</v>
      </c>
      <c r="M63" s="156">
        <v>45537</v>
      </c>
      <c r="N63" s="154" t="s">
        <v>36</v>
      </c>
      <c r="O63" s="154" t="s">
        <v>704</v>
      </c>
      <c r="P63" s="154">
        <v>427</v>
      </c>
      <c r="Q63" s="154" t="s">
        <v>1479</v>
      </c>
      <c r="R63" s="154">
        <v>2</v>
      </c>
      <c r="S63" s="154">
        <v>2</v>
      </c>
      <c r="T63" s="154" t="s">
        <v>1464</v>
      </c>
      <c r="U63" s="154">
        <v>1</v>
      </c>
      <c r="V63" s="155">
        <v>2522504</v>
      </c>
      <c r="W63" s="155">
        <v>0</v>
      </c>
      <c r="X63" s="155" t="s">
        <v>1406</v>
      </c>
      <c r="Y63" s="154"/>
      <c r="Z63" s="154" t="s">
        <v>32</v>
      </c>
      <c r="AA63" s="156">
        <v>45565</v>
      </c>
      <c r="AB63" s="154">
        <v>25</v>
      </c>
      <c r="AC63" s="154">
        <v>22504</v>
      </c>
      <c r="AD63" s="154">
        <v>131</v>
      </c>
      <c r="AE63" s="154" t="s">
        <v>1462</v>
      </c>
      <c r="AF63" s="154">
        <v>130</v>
      </c>
      <c r="AG63" s="154" t="s">
        <v>1402</v>
      </c>
      <c r="AH63" s="154" t="s">
        <v>36</v>
      </c>
      <c r="AI63" s="154" t="s">
        <v>704</v>
      </c>
      <c r="AJ63" s="154">
        <v>427</v>
      </c>
      <c r="AK63" s="154" t="s">
        <v>1407</v>
      </c>
      <c r="AL63" s="154">
        <v>28175</v>
      </c>
      <c r="AM63" s="154" t="s">
        <v>1418</v>
      </c>
      <c r="AN63" s="154" t="s">
        <v>1459</v>
      </c>
      <c r="AO63" s="154">
        <v>28</v>
      </c>
      <c r="AP63" s="154" t="s">
        <v>1416</v>
      </c>
      <c r="AQ63" s="154">
        <v>0</v>
      </c>
      <c r="AR63" s="154" t="s">
        <v>1410</v>
      </c>
      <c r="AS63" s="154"/>
      <c r="AT63" s="154" t="s">
        <v>1417</v>
      </c>
      <c r="AU63" s="154" t="s">
        <v>1412</v>
      </c>
    </row>
    <row r="64" spans="1:47" x14ac:dyDescent="0.45">
      <c r="A64" s="154">
        <v>2513150130</v>
      </c>
      <c r="B64" s="154">
        <v>131</v>
      </c>
      <c r="C64" s="154" t="s">
        <v>1462</v>
      </c>
      <c r="D64" s="154">
        <v>130</v>
      </c>
      <c r="E64" s="154" t="s">
        <v>1402</v>
      </c>
      <c r="F64" s="154" t="s">
        <v>2624</v>
      </c>
      <c r="G64" s="154" t="s">
        <v>2625</v>
      </c>
      <c r="H64" s="154">
        <v>1</v>
      </c>
      <c r="I64" s="154" t="s">
        <v>2626</v>
      </c>
      <c r="J64" s="154" t="s">
        <v>1403</v>
      </c>
      <c r="K64" s="154">
        <v>2025</v>
      </c>
      <c r="L64" s="155">
        <v>2025</v>
      </c>
      <c r="M64" s="156">
        <v>45593</v>
      </c>
      <c r="N64" s="154" t="s">
        <v>36</v>
      </c>
      <c r="O64" s="154" t="s">
        <v>793</v>
      </c>
      <c r="P64" s="154">
        <v>968</v>
      </c>
      <c r="Q64" s="154" t="s">
        <v>1474</v>
      </c>
      <c r="R64" s="154">
        <v>1</v>
      </c>
      <c r="S64" s="154">
        <v>2</v>
      </c>
      <c r="T64" s="154" t="s">
        <v>1464</v>
      </c>
      <c r="U64" s="154">
        <v>1</v>
      </c>
      <c r="V64" s="155">
        <v>0</v>
      </c>
      <c r="W64" s="155">
        <v>0</v>
      </c>
      <c r="X64" s="155" t="s">
        <v>1406</v>
      </c>
      <c r="Y64" s="156">
        <v>45614</v>
      </c>
      <c r="Z64" s="154" t="s">
        <v>32</v>
      </c>
      <c r="AA64" s="154"/>
      <c r="AB64" s="154">
        <v>0</v>
      </c>
      <c r="AC64" s="154">
        <v>0</v>
      </c>
      <c r="AD64" s="154">
        <v>0</v>
      </c>
      <c r="AE64" s="154" t="s">
        <v>1446</v>
      </c>
      <c r="AF64" s="154"/>
      <c r="AG64" s="154" t="s">
        <v>1446</v>
      </c>
      <c r="AH64" s="154"/>
      <c r="AI64" s="154"/>
      <c r="AJ64" s="154">
        <v>0</v>
      </c>
      <c r="AK64" s="154" t="s">
        <v>1473</v>
      </c>
      <c r="AL64" s="154">
        <v>28103</v>
      </c>
      <c r="AM64" s="154" t="s">
        <v>1418</v>
      </c>
      <c r="AN64" s="154" t="s">
        <v>1505</v>
      </c>
      <c r="AO64" s="154">
        <v>28</v>
      </c>
      <c r="AP64" s="154" t="s">
        <v>1416</v>
      </c>
      <c r="AQ64" s="154">
        <v>0</v>
      </c>
      <c r="AR64" s="154" t="s">
        <v>1410</v>
      </c>
      <c r="AS64" s="154"/>
      <c r="AT64" s="154" t="s">
        <v>1417</v>
      </c>
      <c r="AU64" s="154" t="s">
        <v>1412</v>
      </c>
    </row>
    <row r="65" spans="1:47" x14ac:dyDescent="0.45">
      <c r="A65" s="154">
        <v>2513150132</v>
      </c>
      <c r="B65" s="154">
        <v>131</v>
      </c>
      <c r="C65" s="154" t="s">
        <v>1462</v>
      </c>
      <c r="D65" s="154">
        <v>130</v>
      </c>
      <c r="E65" s="154" t="s">
        <v>1402</v>
      </c>
      <c r="F65" s="154" t="s">
        <v>2629</v>
      </c>
      <c r="G65" s="154" t="s">
        <v>2630</v>
      </c>
      <c r="H65" s="154">
        <v>1</v>
      </c>
      <c r="I65" s="154" t="s">
        <v>2631</v>
      </c>
      <c r="J65" s="154" t="s">
        <v>1403</v>
      </c>
      <c r="K65" s="154">
        <v>2025</v>
      </c>
      <c r="L65" s="155">
        <v>2025</v>
      </c>
      <c r="M65" s="156">
        <v>45537</v>
      </c>
      <c r="N65" s="154" t="s">
        <v>36</v>
      </c>
      <c r="O65" s="154" t="s">
        <v>704</v>
      </c>
      <c r="P65" s="154">
        <v>428</v>
      </c>
      <c r="Q65" s="154" t="s">
        <v>1463</v>
      </c>
      <c r="R65" s="154">
        <v>2</v>
      </c>
      <c r="S65" s="154">
        <v>2</v>
      </c>
      <c r="T65" s="154" t="s">
        <v>1464</v>
      </c>
      <c r="U65" s="154">
        <v>1</v>
      </c>
      <c r="V65" s="155">
        <v>2522592</v>
      </c>
      <c r="W65" s="155">
        <v>0</v>
      </c>
      <c r="X65" s="155" t="s">
        <v>1406</v>
      </c>
      <c r="Y65" s="154"/>
      <c r="Z65" s="154" t="s">
        <v>32</v>
      </c>
      <c r="AA65" s="156">
        <v>45684</v>
      </c>
      <c r="AB65" s="154">
        <v>25</v>
      </c>
      <c r="AC65" s="154">
        <v>22592</v>
      </c>
      <c r="AD65" s="154">
        <v>131</v>
      </c>
      <c r="AE65" s="154" t="s">
        <v>1462</v>
      </c>
      <c r="AF65" s="154">
        <v>130</v>
      </c>
      <c r="AG65" s="154" t="s">
        <v>1402</v>
      </c>
      <c r="AH65" s="154" t="s">
        <v>36</v>
      </c>
      <c r="AI65" s="154" t="s">
        <v>704</v>
      </c>
      <c r="AJ65" s="154">
        <v>428</v>
      </c>
      <c r="AK65" s="154" t="s">
        <v>1407</v>
      </c>
      <c r="AL65" s="154">
        <v>33030</v>
      </c>
      <c r="AM65" s="154" t="s">
        <v>1421</v>
      </c>
      <c r="AN65" s="154" t="s">
        <v>1460</v>
      </c>
      <c r="AO65" s="154">
        <v>33</v>
      </c>
      <c r="AP65" s="154" t="s">
        <v>1427</v>
      </c>
      <c r="AQ65" s="154">
        <v>0</v>
      </c>
      <c r="AR65" s="154" t="s">
        <v>1410</v>
      </c>
      <c r="AS65" s="154"/>
      <c r="AT65" s="154" t="s">
        <v>1417</v>
      </c>
      <c r="AU65" s="154" t="s">
        <v>1412</v>
      </c>
    </row>
    <row r="66" spans="1:47" x14ac:dyDescent="0.45">
      <c r="A66" s="154">
        <v>2513150133</v>
      </c>
      <c r="B66" s="154">
        <v>131</v>
      </c>
      <c r="C66" s="154" t="s">
        <v>1462</v>
      </c>
      <c r="D66" s="154">
        <v>130</v>
      </c>
      <c r="E66" s="154" t="s">
        <v>1402</v>
      </c>
      <c r="F66" s="154" t="s">
        <v>2632</v>
      </c>
      <c r="G66" s="154" t="s">
        <v>2633</v>
      </c>
      <c r="H66" s="154">
        <v>2</v>
      </c>
      <c r="I66" s="154" t="s">
        <v>2634</v>
      </c>
      <c r="J66" s="154" t="s">
        <v>1403</v>
      </c>
      <c r="K66" s="154">
        <v>2025</v>
      </c>
      <c r="L66" s="155">
        <v>2025</v>
      </c>
      <c r="M66" s="156">
        <v>45559</v>
      </c>
      <c r="N66" s="154" t="s">
        <v>36</v>
      </c>
      <c r="O66" s="154" t="s">
        <v>741</v>
      </c>
      <c r="P66" s="154">
        <v>581</v>
      </c>
      <c r="Q66" s="154" t="s">
        <v>1489</v>
      </c>
      <c r="R66" s="154">
        <v>2</v>
      </c>
      <c r="S66" s="154">
        <v>10</v>
      </c>
      <c r="T66" s="154" t="s">
        <v>1490</v>
      </c>
      <c r="U66" s="154">
        <v>9</v>
      </c>
      <c r="V66" s="155">
        <v>2522577</v>
      </c>
      <c r="W66" s="155">
        <v>0</v>
      </c>
      <c r="X66" s="155" t="s">
        <v>1406</v>
      </c>
      <c r="Y66" s="154"/>
      <c r="Z66" s="154" t="s">
        <v>32</v>
      </c>
      <c r="AA66" s="156">
        <v>45646</v>
      </c>
      <c r="AB66" s="154">
        <v>25</v>
      </c>
      <c r="AC66" s="154">
        <v>22577</v>
      </c>
      <c r="AD66" s="154">
        <v>131</v>
      </c>
      <c r="AE66" s="154" t="s">
        <v>1462</v>
      </c>
      <c r="AF66" s="154">
        <v>130</v>
      </c>
      <c r="AG66" s="154" t="s">
        <v>1402</v>
      </c>
      <c r="AH66" s="154" t="s">
        <v>36</v>
      </c>
      <c r="AI66" s="154" t="s">
        <v>741</v>
      </c>
      <c r="AJ66" s="154">
        <v>581</v>
      </c>
      <c r="AK66" s="154" t="s">
        <v>1407</v>
      </c>
      <c r="AL66" s="154">
        <v>28168</v>
      </c>
      <c r="AM66" s="154" t="s">
        <v>1418</v>
      </c>
      <c r="AN66" s="154" t="s">
        <v>1475</v>
      </c>
      <c r="AO66" s="154">
        <v>28</v>
      </c>
      <c r="AP66" s="154" t="s">
        <v>1416</v>
      </c>
      <c r="AQ66" s="154">
        <v>0</v>
      </c>
      <c r="AR66" s="154" t="s">
        <v>1410</v>
      </c>
      <c r="AS66" s="154"/>
      <c r="AT66" s="154" t="s">
        <v>1417</v>
      </c>
      <c r="AU66" s="154" t="s">
        <v>1412</v>
      </c>
    </row>
    <row r="67" spans="1:47" x14ac:dyDescent="0.45">
      <c r="A67" s="154">
        <v>2513150134</v>
      </c>
      <c r="B67" s="154">
        <v>131</v>
      </c>
      <c r="C67" s="154" t="s">
        <v>1462</v>
      </c>
      <c r="D67" s="154">
        <v>130</v>
      </c>
      <c r="E67" s="154" t="s">
        <v>1402</v>
      </c>
      <c r="F67" s="154" t="s">
        <v>2635</v>
      </c>
      <c r="G67" s="154" t="s">
        <v>2636</v>
      </c>
      <c r="H67" s="154">
        <v>1</v>
      </c>
      <c r="I67" s="154" t="s">
        <v>1007</v>
      </c>
      <c r="J67" s="154" t="s">
        <v>1403</v>
      </c>
      <c r="K67" s="154">
        <v>2025</v>
      </c>
      <c r="L67" s="155">
        <v>2025</v>
      </c>
      <c r="M67" s="156">
        <v>45546</v>
      </c>
      <c r="N67" s="154" t="s">
        <v>36</v>
      </c>
      <c r="O67" s="154" t="s">
        <v>704</v>
      </c>
      <c r="P67" s="154">
        <v>428</v>
      </c>
      <c r="Q67" s="154" t="s">
        <v>1463</v>
      </c>
      <c r="R67" s="154">
        <v>2</v>
      </c>
      <c r="S67" s="154">
        <v>2</v>
      </c>
      <c r="T67" s="154" t="s">
        <v>1464</v>
      </c>
      <c r="U67" s="154">
        <v>1</v>
      </c>
      <c r="V67" s="155">
        <v>0</v>
      </c>
      <c r="W67" s="155">
        <v>0</v>
      </c>
      <c r="X67" s="155" t="s">
        <v>1406</v>
      </c>
      <c r="Y67" s="156">
        <v>45727</v>
      </c>
      <c r="Z67" s="154" t="s">
        <v>32</v>
      </c>
      <c r="AA67" s="154"/>
      <c r="AB67" s="154">
        <v>0</v>
      </c>
      <c r="AC67" s="154">
        <v>0</v>
      </c>
      <c r="AD67" s="154">
        <v>0</v>
      </c>
      <c r="AE67" s="154" t="s">
        <v>1446</v>
      </c>
      <c r="AF67" s="154"/>
      <c r="AG67" s="154" t="s">
        <v>1446</v>
      </c>
      <c r="AH67" s="154"/>
      <c r="AI67" s="154"/>
      <c r="AJ67" s="154">
        <v>0</v>
      </c>
      <c r="AK67" s="154" t="s">
        <v>1410</v>
      </c>
      <c r="AL67" s="154">
        <v>28103</v>
      </c>
      <c r="AM67" s="154" t="s">
        <v>1418</v>
      </c>
      <c r="AN67" s="154" t="s">
        <v>1505</v>
      </c>
      <c r="AO67" s="154">
        <v>28</v>
      </c>
      <c r="AP67" s="154" t="s">
        <v>1416</v>
      </c>
      <c r="AQ67" s="154">
        <v>0</v>
      </c>
      <c r="AR67" s="154" t="s">
        <v>1410</v>
      </c>
      <c r="AS67" s="154"/>
      <c r="AT67" s="154" t="s">
        <v>1417</v>
      </c>
      <c r="AU67" s="154" t="s">
        <v>1412</v>
      </c>
    </row>
    <row r="68" spans="1:47" x14ac:dyDescent="0.45">
      <c r="A68" s="154">
        <v>2513150138</v>
      </c>
      <c r="B68" s="154">
        <v>131</v>
      </c>
      <c r="C68" s="154" t="s">
        <v>1462</v>
      </c>
      <c r="D68" s="154">
        <v>130</v>
      </c>
      <c r="E68" s="154" t="s">
        <v>1402</v>
      </c>
      <c r="F68" s="154" t="s">
        <v>2643</v>
      </c>
      <c r="G68" s="154" t="s">
        <v>2644</v>
      </c>
      <c r="H68" s="154">
        <v>2</v>
      </c>
      <c r="I68" s="154" t="s">
        <v>2645</v>
      </c>
      <c r="J68" s="154" t="s">
        <v>1403</v>
      </c>
      <c r="K68" s="154">
        <v>2025</v>
      </c>
      <c r="L68" s="155">
        <v>2025</v>
      </c>
      <c r="M68" s="156">
        <v>45568</v>
      </c>
      <c r="N68" s="154" t="s">
        <v>36</v>
      </c>
      <c r="O68" s="154" t="s">
        <v>698</v>
      </c>
      <c r="P68" s="154">
        <v>502</v>
      </c>
      <c r="Q68" s="154" t="s">
        <v>1500</v>
      </c>
      <c r="R68" s="154">
        <v>2</v>
      </c>
      <c r="S68" s="154">
        <v>5</v>
      </c>
      <c r="T68" s="154" t="s">
        <v>1470</v>
      </c>
      <c r="U68" s="154">
        <v>15</v>
      </c>
      <c r="V68" s="155">
        <v>2522603</v>
      </c>
      <c r="W68" s="155">
        <v>0</v>
      </c>
      <c r="X68" s="155" t="s">
        <v>1406</v>
      </c>
      <c r="Y68" s="154"/>
      <c r="Z68" s="154" t="s">
        <v>32</v>
      </c>
      <c r="AA68" s="156">
        <v>45694</v>
      </c>
      <c r="AB68" s="154">
        <v>25</v>
      </c>
      <c r="AC68" s="154">
        <v>22603</v>
      </c>
      <c r="AD68" s="154">
        <v>131</v>
      </c>
      <c r="AE68" s="154" t="s">
        <v>1462</v>
      </c>
      <c r="AF68" s="154">
        <v>130</v>
      </c>
      <c r="AG68" s="154" t="s">
        <v>1402</v>
      </c>
      <c r="AH68" s="154" t="s">
        <v>36</v>
      </c>
      <c r="AI68" s="154" t="s">
        <v>698</v>
      </c>
      <c r="AJ68" s="154">
        <v>502</v>
      </c>
      <c r="AK68" s="154" t="s">
        <v>1407</v>
      </c>
      <c r="AL68" s="154">
        <v>28135</v>
      </c>
      <c r="AM68" s="154" t="s">
        <v>1418</v>
      </c>
      <c r="AN68" s="154" t="s">
        <v>2849</v>
      </c>
      <c r="AO68" s="154">
        <v>28</v>
      </c>
      <c r="AP68" s="154" t="s">
        <v>1416</v>
      </c>
      <c r="AQ68" s="154">
        <v>0</v>
      </c>
      <c r="AR68" s="154" t="s">
        <v>1410</v>
      </c>
      <c r="AS68" s="154"/>
      <c r="AT68" s="154" t="s">
        <v>1417</v>
      </c>
      <c r="AU68" s="154" t="s">
        <v>1412</v>
      </c>
    </row>
    <row r="69" spans="1:47" x14ac:dyDescent="0.45">
      <c r="A69" s="154">
        <v>2513150139</v>
      </c>
      <c r="B69" s="154">
        <v>131</v>
      </c>
      <c r="C69" s="154" t="s">
        <v>1462</v>
      </c>
      <c r="D69" s="154">
        <v>130</v>
      </c>
      <c r="E69" s="154" t="s">
        <v>1402</v>
      </c>
      <c r="F69" s="154" t="s">
        <v>2646</v>
      </c>
      <c r="G69" s="154" t="s">
        <v>2647</v>
      </c>
      <c r="H69" s="154">
        <v>2</v>
      </c>
      <c r="I69" s="154" t="s">
        <v>2133</v>
      </c>
      <c r="J69" s="154" t="s">
        <v>1485</v>
      </c>
      <c r="K69" s="154">
        <v>2025</v>
      </c>
      <c r="L69" s="155">
        <v>2025</v>
      </c>
      <c r="M69" s="156">
        <v>45552</v>
      </c>
      <c r="N69" s="154" t="s">
        <v>36</v>
      </c>
      <c r="O69" s="154" t="s">
        <v>698</v>
      </c>
      <c r="P69" s="154">
        <v>1046</v>
      </c>
      <c r="Q69" s="154" t="s">
        <v>2790</v>
      </c>
      <c r="R69" s="154">
        <v>2</v>
      </c>
      <c r="S69" s="154">
        <v>5</v>
      </c>
      <c r="T69" s="154" t="s">
        <v>1470</v>
      </c>
      <c r="U69" s="154">
        <v>15</v>
      </c>
      <c r="V69" s="155">
        <v>2522566</v>
      </c>
      <c r="W69" s="155">
        <v>0</v>
      </c>
      <c r="X69" s="155" t="s">
        <v>1406</v>
      </c>
      <c r="Y69" s="154"/>
      <c r="Z69" s="154" t="s">
        <v>32</v>
      </c>
      <c r="AA69" s="156">
        <v>45614</v>
      </c>
      <c r="AB69" s="154">
        <v>25</v>
      </c>
      <c r="AC69" s="154">
        <v>22566</v>
      </c>
      <c r="AD69" s="154">
        <v>131</v>
      </c>
      <c r="AE69" s="154" t="s">
        <v>1462</v>
      </c>
      <c r="AF69" s="154">
        <v>130</v>
      </c>
      <c r="AG69" s="154" t="s">
        <v>1402</v>
      </c>
      <c r="AH69" s="154" t="s">
        <v>36</v>
      </c>
      <c r="AI69" s="154" t="s">
        <v>698</v>
      </c>
      <c r="AJ69" s="154">
        <v>1046</v>
      </c>
      <c r="AK69" s="154" t="s">
        <v>1407</v>
      </c>
      <c r="AL69" s="154">
        <v>31039</v>
      </c>
      <c r="AM69" s="154" t="s">
        <v>1418</v>
      </c>
      <c r="AN69" s="154" t="s">
        <v>1614</v>
      </c>
      <c r="AO69" s="154">
        <v>31</v>
      </c>
      <c r="AP69" s="154" t="s">
        <v>1487</v>
      </c>
      <c r="AQ69" s="154">
        <v>0</v>
      </c>
      <c r="AR69" s="154" t="s">
        <v>1410</v>
      </c>
      <c r="AS69" s="154"/>
      <c r="AT69" s="154" t="s">
        <v>1417</v>
      </c>
      <c r="AU69" s="154" t="s">
        <v>1412</v>
      </c>
    </row>
    <row r="70" spans="1:47" x14ac:dyDescent="0.45">
      <c r="A70" s="154">
        <v>2513150140</v>
      </c>
      <c r="B70" s="154">
        <v>131</v>
      </c>
      <c r="C70" s="154" t="s">
        <v>1462</v>
      </c>
      <c r="D70" s="154">
        <v>130</v>
      </c>
      <c r="E70" s="154" t="s">
        <v>1402</v>
      </c>
      <c r="F70" s="154" t="s">
        <v>2648</v>
      </c>
      <c r="G70" s="154" t="s">
        <v>2649</v>
      </c>
      <c r="H70" s="154">
        <v>1</v>
      </c>
      <c r="I70" s="154" t="s">
        <v>2650</v>
      </c>
      <c r="J70" s="154" t="s">
        <v>1403</v>
      </c>
      <c r="K70" s="154">
        <v>2025</v>
      </c>
      <c r="L70" s="155">
        <v>2025</v>
      </c>
      <c r="M70" s="156">
        <v>45553</v>
      </c>
      <c r="N70" s="154" t="s">
        <v>36</v>
      </c>
      <c r="O70" s="154" t="s">
        <v>704</v>
      </c>
      <c r="P70" s="154">
        <v>968</v>
      </c>
      <c r="Q70" s="154" t="s">
        <v>1474</v>
      </c>
      <c r="R70" s="154">
        <v>2</v>
      </c>
      <c r="S70" s="154">
        <v>2</v>
      </c>
      <c r="T70" s="154" t="s">
        <v>1464</v>
      </c>
      <c r="U70" s="154">
        <v>1</v>
      </c>
      <c r="V70" s="155">
        <v>2522521</v>
      </c>
      <c r="W70" s="155">
        <v>0</v>
      </c>
      <c r="X70" s="155" t="s">
        <v>1406</v>
      </c>
      <c r="Y70" s="154"/>
      <c r="Z70" s="154" t="s">
        <v>32</v>
      </c>
      <c r="AA70" s="156">
        <v>45576</v>
      </c>
      <c r="AB70" s="154">
        <v>25</v>
      </c>
      <c r="AC70" s="154">
        <v>22521</v>
      </c>
      <c r="AD70" s="154">
        <v>131</v>
      </c>
      <c r="AE70" s="154" t="s">
        <v>1462</v>
      </c>
      <c r="AF70" s="154">
        <v>130</v>
      </c>
      <c r="AG70" s="154" t="s">
        <v>1402</v>
      </c>
      <c r="AH70" s="154" t="s">
        <v>36</v>
      </c>
      <c r="AI70" s="154" t="s">
        <v>704</v>
      </c>
      <c r="AJ70" s="154">
        <v>968</v>
      </c>
      <c r="AK70" s="154" t="s">
        <v>1407</v>
      </c>
      <c r="AL70" s="154">
        <v>28173</v>
      </c>
      <c r="AM70" s="154" t="s">
        <v>1418</v>
      </c>
      <c r="AN70" s="154" t="s">
        <v>1456</v>
      </c>
      <c r="AO70" s="154">
        <v>28</v>
      </c>
      <c r="AP70" s="154" t="s">
        <v>1416</v>
      </c>
      <c r="AQ70" s="154">
        <v>0</v>
      </c>
      <c r="AR70" s="154" t="s">
        <v>1410</v>
      </c>
      <c r="AS70" s="154"/>
      <c r="AT70" s="154" t="s">
        <v>1417</v>
      </c>
      <c r="AU70" s="154" t="s">
        <v>1412</v>
      </c>
    </row>
    <row r="71" spans="1:47" x14ac:dyDescent="0.45">
      <c r="A71" s="154">
        <v>2513150141</v>
      </c>
      <c r="B71" s="154">
        <v>131</v>
      </c>
      <c r="C71" s="154" t="s">
        <v>1462</v>
      </c>
      <c r="D71" s="154">
        <v>130</v>
      </c>
      <c r="E71" s="154" t="s">
        <v>1402</v>
      </c>
      <c r="F71" s="154" t="s">
        <v>2651</v>
      </c>
      <c r="G71" s="154" t="s">
        <v>2652</v>
      </c>
      <c r="H71" s="154">
        <v>1</v>
      </c>
      <c r="I71" s="154" t="s">
        <v>2653</v>
      </c>
      <c r="J71" s="154" t="s">
        <v>1403</v>
      </c>
      <c r="K71" s="154">
        <v>2025</v>
      </c>
      <c r="L71" s="155">
        <v>2025</v>
      </c>
      <c r="M71" s="156">
        <v>45547</v>
      </c>
      <c r="N71" s="154" t="s">
        <v>36</v>
      </c>
      <c r="O71" s="154" t="s">
        <v>793</v>
      </c>
      <c r="P71" s="154">
        <v>428</v>
      </c>
      <c r="Q71" s="154" t="s">
        <v>1463</v>
      </c>
      <c r="R71" s="154">
        <v>1</v>
      </c>
      <c r="S71" s="154">
        <v>2</v>
      </c>
      <c r="T71" s="154" t="s">
        <v>1464</v>
      </c>
      <c r="U71" s="154">
        <v>1</v>
      </c>
      <c r="V71" s="155">
        <v>2522556</v>
      </c>
      <c r="W71" s="155">
        <v>0</v>
      </c>
      <c r="X71" s="155" t="s">
        <v>1406</v>
      </c>
      <c r="Y71" s="154"/>
      <c r="Z71" s="154" t="s">
        <v>32</v>
      </c>
      <c r="AA71" s="156">
        <v>45607</v>
      </c>
      <c r="AB71" s="154">
        <v>25</v>
      </c>
      <c r="AC71" s="154">
        <v>22556</v>
      </c>
      <c r="AD71" s="154">
        <v>131</v>
      </c>
      <c r="AE71" s="154" t="s">
        <v>1462</v>
      </c>
      <c r="AF71" s="154">
        <v>130</v>
      </c>
      <c r="AG71" s="154" t="s">
        <v>1402</v>
      </c>
      <c r="AH71" s="154" t="s">
        <v>36</v>
      </c>
      <c r="AI71" s="154" t="s">
        <v>793</v>
      </c>
      <c r="AJ71" s="154">
        <v>428</v>
      </c>
      <c r="AK71" s="154" t="s">
        <v>1473</v>
      </c>
      <c r="AL71" s="154">
        <v>28095</v>
      </c>
      <c r="AM71" s="154" t="s">
        <v>1421</v>
      </c>
      <c r="AN71" s="154" t="s">
        <v>1435</v>
      </c>
      <c r="AO71" s="154">
        <v>28</v>
      </c>
      <c r="AP71" s="154" t="s">
        <v>1416</v>
      </c>
      <c r="AQ71" s="154">
        <v>0</v>
      </c>
      <c r="AR71" s="154" t="s">
        <v>1410</v>
      </c>
      <c r="AS71" s="154"/>
      <c r="AT71" s="154" t="s">
        <v>1417</v>
      </c>
      <c r="AU71" s="154" t="s">
        <v>1412</v>
      </c>
    </row>
    <row r="72" spans="1:47" x14ac:dyDescent="0.45">
      <c r="A72" s="154">
        <v>2513150142</v>
      </c>
      <c r="B72" s="154">
        <v>131</v>
      </c>
      <c r="C72" s="154" t="s">
        <v>1462</v>
      </c>
      <c r="D72" s="154">
        <v>130</v>
      </c>
      <c r="E72" s="154" t="s">
        <v>1402</v>
      </c>
      <c r="F72" s="154" t="s">
        <v>2654</v>
      </c>
      <c r="G72" s="154" t="s">
        <v>2655</v>
      </c>
      <c r="H72" s="154">
        <v>1</v>
      </c>
      <c r="I72" s="154" t="s">
        <v>2656</v>
      </c>
      <c r="J72" s="154" t="s">
        <v>1403</v>
      </c>
      <c r="K72" s="154">
        <v>2025</v>
      </c>
      <c r="L72" s="155">
        <v>2025</v>
      </c>
      <c r="M72" s="156">
        <v>45572</v>
      </c>
      <c r="N72" s="154" t="s">
        <v>36</v>
      </c>
      <c r="O72" s="154" t="s">
        <v>793</v>
      </c>
      <c r="P72" s="154">
        <v>427</v>
      </c>
      <c r="Q72" s="154" t="s">
        <v>1479</v>
      </c>
      <c r="R72" s="154">
        <v>1</v>
      </c>
      <c r="S72" s="154">
        <v>2</v>
      </c>
      <c r="T72" s="154" t="s">
        <v>1464</v>
      </c>
      <c r="U72" s="154">
        <v>1</v>
      </c>
      <c r="V72" s="155">
        <v>0</v>
      </c>
      <c r="W72" s="155">
        <v>0</v>
      </c>
      <c r="X72" s="155" t="s">
        <v>1406</v>
      </c>
      <c r="Y72" s="156">
        <v>45664</v>
      </c>
      <c r="Z72" s="154" t="s">
        <v>32</v>
      </c>
      <c r="AA72" s="154"/>
      <c r="AB72" s="154">
        <v>0</v>
      </c>
      <c r="AC72" s="154">
        <v>0</v>
      </c>
      <c r="AD72" s="154">
        <v>0</v>
      </c>
      <c r="AE72" s="154" t="s">
        <v>1446</v>
      </c>
      <c r="AF72" s="154"/>
      <c r="AG72" s="154" t="s">
        <v>1446</v>
      </c>
      <c r="AH72" s="154"/>
      <c r="AI72" s="154"/>
      <c r="AJ72" s="154">
        <v>0</v>
      </c>
      <c r="AK72" s="154" t="s">
        <v>1473</v>
      </c>
      <c r="AL72" s="154">
        <v>28097</v>
      </c>
      <c r="AM72" s="154" t="s">
        <v>1418</v>
      </c>
      <c r="AN72" s="154" t="s">
        <v>1531</v>
      </c>
      <c r="AO72" s="154">
        <v>28</v>
      </c>
      <c r="AP72" s="154" t="s">
        <v>1416</v>
      </c>
      <c r="AQ72" s="154">
        <v>0</v>
      </c>
      <c r="AR72" s="154" t="s">
        <v>1410</v>
      </c>
      <c r="AS72" s="154"/>
      <c r="AT72" s="154" t="s">
        <v>1417</v>
      </c>
      <c r="AU72" s="154" t="s">
        <v>1412</v>
      </c>
    </row>
    <row r="73" spans="1:47" x14ac:dyDescent="0.45">
      <c r="A73" s="154">
        <v>2513150143</v>
      </c>
      <c r="B73" s="154">
        <v>131</v>
      </c>
      <c r="C73" s="154" t="s">
        <v>1462</v>
      </c>
      <c r="D73" s="154">
        <v>130</v>
      </c>
      <c r="E73" s="154" t="s">
        <v>1402</v>
      </c>
      <c r="F73" s="154" t="s">
        <v>2657</v>
      </c>
      <c r="G73" s="154" t="s">
        <v>2658</v>
      </c>
      <c r="H73" s="154">
        <v>2</v>
      </c>
      <c r="I73" s="154" t="s">
        <v>2353</v>
      </c>
      <c r="J73" s="154" t="s">
        <v>1403</v>
      </c>
      <c r="K73" s="154">
        <v>2025</v>
      </c>
      <c r="L73" s="155">
        <v>2025</v>
      </c>
      <c r="M73" s="156">
        <v>45572</v>
      </c>
      <c r="N73" s="154" t="s">
        <v>36</v>
      </c>
      <c r="O73" s="154" t="s">
        <v>708</v>
      </c>
      <c r="P73" s="154">
        <v>1044</v>
      </c>
      <c r="Q73" s="154" t="s">
        <v>1476</v>
      </c>
      <c r="R73" s="154">
        <v>2</v>
      </c>
      <c r="S73" s="154">
        <v>3</v>
      </c>
      <c r="T73" s="154" t="s">
        <v>1477</v>
      </c>
      <c r="U73" s="154">
        <v>4</v>
      </c>
      <c r="V73" s="155">
        <v>2522537</v>
      </c>
      <c r="W73" s="155">
        <v>0</v>
      </c>
      <c r="X73" s="155" t="s">
        <v>1406</v>
      </c>
      <c r="Y73" s="154"/>
      <c r="Z73" s="154" t="s">
        <v>32</v>
      </c>
      <c r="AA73" s="156">
        <v>45586</v>
      </c>
      <c r="AB73" s="154">
        <v>25</v>
      </c>
      <c r="AC73" s="154">
        <v>22537</v>
      </c>
      <c r="AD73" s="154">
        <v>131</v>
      </c>
      <c r="AE73" s="154" t="s">
        <v>1462</v>
      </c>
      <c r="AF73" s="154">
        <v>130</v>
      </c>
      <c r="AG73" s="154" t="s">
        <v>1402</v>
      </c>
      <c r="AH73" s="154" t="s">
        <v>36</v>
      </c>
      <c r="AI73" s="154" t="s">
        <v>708</v>
      </c>
      <c r="AJ73" s="154">
        <v>1044</v>
      </c>
      <c r="AK73" s="154" t="s">
        <v>1407</v>
      </c>
      <c r="AL73" s="154">
        <v>28193</v>
      </c>
      <c r="AM73" s="154" t="s">
        <v>1418</v>
      </c>
      <c r="AN73" s="154" t="s">
        <v>1439</v>
      </c>
      <c r="AO73" s="154">
        <v>28</v>
      </c>
      <c r="AP73" s="154" t="s">
        <v>1416</v>
      </c>
      <c r="AQ73" s="154">
        <v>0</v>
      </c>
      <c r="AR73" s="154" t="s">
        <v>1410</v>
      </c>
      <c r="AS73" s="154"/>
      <c r="AT73" s="154" t="s">
        <v>1417</v>
      </c>
      <c r="AU73" s="154" t="s">
        <v>1412</v>
      </c>
    </row>
    <row r="74" spans="1:47" x14ac:dyDescent="0.45">
      <c r="A74" s="154">
        <v>2513150145</v>
      </c>
      <c r="B74" s="154">
        <v>131</v>
      </c>
      <c r="C74" s="154" t="s">
        <v>1462</v>
      </c>
      <c r="D74" s="154">
        <v>130</v>
      </c>
      <c r="E74" s="154" t="s">
        <v>1402</v>
      </c>
      <c r="F74" s="154" t="s">
        <v>2666</v>
      </c>
      <c r="G74" s="154" t="s">
        <v>2667</v>
      </c>
      <c r="H74" s="154">
        <v>2</v>
      </c>
      <c r="I74" s="154" t="s">
        <v>2668</v>
      </c>
      <c r="J74" s="154" t="s">
        <v>1403</v>
      </c>
      <c r="K74" s="154">
        <v>2025</v>
      </c>
      <c r="L74" s="155">
        <v>2025</v>
      </c>
      <c r="M74" s="156">
        <v>45580</v>
      </c>
      <c r="N74" s="154" t="s">
        <v>36</v>
      </c>
      <c r="O74" s="154" t="s">
        <v>708</v>
      </c>
      <c r="P74" s="154">
        <v>1044</v>
      </c>
      <c r="Q74" s="154" t="s">
        <v>1476</v>
      </c>
      <c r="R74" s="154">
        <v>2</v>
      </c>
      <c r="S74" s="154">
        <v>3</v>
      </c>
      <c r="T74" s="154" t="s">
        <v>1477</v>
      </c>
      <c r="U74" s="154">
        <v>4</v>
      </c>
      <c r="V74" s="155">
        <v>2522540</v>
      </c>
      <c r="W74" s="155">
        <v>0</v>
      </c>
      <c r="X74" s="155" t="s">
        <v>1406</v>
      </c>
      <c r="Y74" s="154"/>
      <c r="Z74" s="154" t="s">
        <v>32</v>
      </c>
      <c r="AA74" s="156">
        <v>45594</v>
      </c>
      <c r="AB74" s="154">
        <v>25</v>
      </c>
      <c r="AC74" s="154">
        <v>22540</v>
      </c>
      <c r="AD74" s="154">
        <v>131</v>
      </c>
      <c r="AE74" s="154" t="s">
        <v>1462</v>
      </c>
      <c r="AF74" s="154">
        <v>130</v>
      </c>
      <c r="AG74" s="154" t="s">
        <v>1402</v>
      </c>
      <c r="AH74" s="154" t="s">
        <v>36</v>
      </c>
      <c r="AI74" s="154" t="s">
        <v>708</v>
      </c>
      <c r="AJ74" s="154">
        <v>1044</v>
      </c>
      <c r="AK74" s="154" t="s">
        <v>1407</v>
      </c>
      <c r="AL74" s="154">
        <v>28970</v>
      </c>
      <c r="AM74" s="154" t="s">
        <v>1421</v>
      </c>
      <c r="AN74" s="154" t="s">
        <v>1521</v>
      </c>
      <c r="AO74" s="154">
        <v>28</v>
      </c>
      <c r="AP74" s="154" t="s">
        <v>1416</v>
      </c>
      <c r="AQ74" s="154">
        <v>0</v>
      </c>
      <c r="AR74" s="154" t="s">
        <v>1410</v>
      </c>
      <c r="AS74" s="154"/>
      <c r="AT74" s="154" t="s">
        <v>1417</v>
      </c>
      <c r="AU74" s="154" t="s">
        <v>1412</v>
      </c>
    </row>
    <row r="75" spans="1:47" x14ac:dyDescent="0.45">
      <c r="A75" s="154">
        <v>2513150146</v>
      </c>
      <c r="B75" s="154">
        <v>131</v>
      </c>
      <c r="C75" s="154" t="s">
        <v>1462</v>
      </c>
      <c r="D75" s="154">
        <v>130</v>
      </c>
      <c r="E75" s="154" t="s">
        <v>1402</v>
      </c>
      <c r="F75" s="154" t="s">
        <v>2669</v>
      </c>
      <c r="G75" s="154" t="s">
        <v>2670</v>
      </c>
      <c r="H75" s="154">
        <v>1</v>
      </c>
      <c r="I75" s="154" t="s">
        <v>2671</v>
      </c>
      <c r="J75" s="154" t="s">
        <v>1403</v>
      </c>
      <c r="K75" s="154">
        <v>2025</v>
      </c>
      <c r="L75" s="155">
        <v>2025</v>
      </c>
      <c r="M75" s="156">
        <v>45572</v>
      </c>
      <c r="N75" s="154" t="s">
        <v>36</v>
      </c>
      <c r="O75" s="154" t="s">
        <v>698</v>
      </c>
      <c r="P75" s="154">
        <v>1046</v>
      </c>
      <c r="Q75" s="154" t="s">
        <v>2790</v>
      </c>
      <c r="R75" s="154">
        <v>2</v>
      </c>
      <c r="S75" s="154">
        <v>5</v>
      </c>
      <c r="T75" s="154" t="s">
        <v>1470</v>
      </c>
      <c r="U75" s="154">
        <v>15</v>
      </c>
      <c r="V75" s="155">
        <v>2522536</v>
      </c>
      <c r="W75" s="155">
        <v>0</v>
      </c>
      <c r="X75" s="155" t="s">
        <v>1406</v>
      </c>
      <c r="Y75" s="154"/>
      <c r="Z75" s="154" t="s">
        <v>32</v>
      </c>
      <c r="AA75" s="156">
        <v>45586</v>
      </c>
      <c r="AB75" s="154">
        <v>25</v>
      </c>
      <c r="AC75" s="154">
        <v>22536</v>
      </c>
      <c r="AD75" s="154">
        <v>131</v>
      </c>
      <c r="AE75" s="154" t="s">
        <v>1462</v>
      </c>
      <c r="AF75" s="154">
        <v>130</v>
      </c>
      <c r="AG75" s="154" t="s">
        <v>1402</v>
      </c>
      <c r="AH75" s="154" t="s">
        <v>36</v>
      </c>
      <c r="AI75" s="154" t="s">
        <v>698</v>
      </c>
      <c r="AJ75" s="154">
        <v>1046</v>
      </c>
      <c r="AK75" s="154" t="s">
        <v>1407</v>
      </c>
      <c r="AL75" s="154">
        <v>28167</v>
      </c>
      <c r="AM75" s="154" t="s">
        <v>1418</v>
      </c>
      <c r="AN75" s="154" t="s">
        <v>2810</v>
      </c>
      <c r="AO75" s="154">
        <v>28</v>
      </c>
      <c r="AP75" s="154" t="s">
        <v>1416</v>
      </c>
      <c r="AQ75" s="154">
        <v>0</v>
      </c>
      <c r="AR75" s="154" t="s">
        <v>1410</v>
      </c>
      <c r="AS75" s="154"/>
      <c r="AT75" s="154" t="s">
        <v>1417</v>
      </c>
      <c r="AU75" s="154" t="s">
        <v>1412</v>
      </c>
    </row>
    <row r="76" spans="1:47" x14ac:dyDescent="0.45">
      <c r="A76" s="154">
        <v>2513150147</v>
      </c>
      <c r="B76" s="154">
        <v>131</v>
      </c>
      <c r="C76" s="154" t="s">
        <v>1462</v>
      </c>
      <c r="D76" s="154">
        <v>130</v>
      </c>
      <c r="E76" s="154" t="s">
        <v>1402</v>
      </c>
      <c r="F76" s="154" t="s">
        <v>2672</v>
      </c>
      <c r="G76" s="154" t="s">
        <v>2673</v>
      </c>
      <c r="H76" s="154">
        <v>2</v>
      </c>
      <c r="I76" s="154" t="s">
        <v>2674</v>
      </c>
      <c r="J76" s="154" t="s">
        <v>1403</v>
      </c>
      <c r="K76" s="154">
        <v>2025</v>
      </c>
      <c r="L76" s="155">
        <v>2025</v>
      </c>
      <c r="M76" s="156">
        <v>45586</v>
      </c>
      <c r="N76" s="154" t="s">
        <v>36</v>
      </c>
      <c r="O76" s="154" t="s">
        <v>708</v>
      </c>
      <c r="P76" s="154">
        <v>1006</v>
      </c>
      <c r="Q76" s="154" t="s">
        <v>1612</v>
      </c>
      <c r="R76" s="154">
        <v>2</v>
      </c>
      <c r="S76" s="154">
        <v>8</v>
      </c>
      <c r="T76" s="154" t="s">
        <v>1503</v>
      </c>
      <c r="U76" s="154">
        <v>6</v>
      </c>
      <c r="V76" s="155">
        <v>2522550</v>
      </c>
      <c r="W76" s="155">
        <v>0</v>
      </c>
      <c r="X76" s="155" t="s">
        <v>1406</v>
      </c>
      <c r="Y76" s="154"/>
      <c r="Z76" s="154" t="s">
        <v>32</v>
      </c>
      <c r="AA76" s="156">
        <v>45602</v>
      </c>
      <c r="AB76" s="154">
        <v>25</v>
      </c>
      <c r="AC76" s="154">
        <v>22550</v>
      </c>
      <c r="AD76" s="154">
        <v>131</v>
      </c>
      <c r="AE76" s="154" t="s">
        <v>1462</v>
      </c>
      <c r="AF76" s="154">
        <v>130</v>
      </c>
      <c r="AG76" s="154" t="s">
        <v>1402</v>
      </c>
      <c r="AH76" s="154" t="s">
        <v>36</v>
      </c>
      <c r="AI76" s="154" t="s">
        <v>708</v>
      </c>
      <c r="AJ76" s="154">
        <v>1006</v>
      </c>
      <c r="AK76" s="154" t="s">
        <v>1407</v>
      </c>
      <c r="AL76" s="154">
        <v>28088</v>
      </c>
      <c r="AM76" s="154" t="s">
        <v>1418</v>
      </c>
      <c r="AN76" s="154" t="s">
        <v>1497</v>
      </c>
      <c r="AO76" s="154">
        <v>28</v>
      </c>
      <c r="AP76" s="154" t="s">
        <v>1416</v>
      </c>
      <c r="AQ76" s="154">
        <v>0</v>
      </c>
      <c r="AR76" s="154" t="s">
        <v>1410</v>
      </c>
      <c r="AS76" s="154"/>
      <c r="AT76" s="154" t="s">
        <v>1417</v>
      </c>
      <c r="AU76" s="154" t="s">
        <v>1412</v>
      </c>
    </row>
    <row r="77" spans="1:47" x14ac:dyDescent="0.45">
      <c r="A77" s="154">
        <v>2513150149</v>
      </c>
      <c r="B77" s="154">
        <v>131</v>
      </c>
      <c r="C77" s="154" t="s">
        <v>1462</v>
      </c>
      <c r="D77" s="154">
        <v>130</v>
      </c>
      <c r="E77" s="154" t="s">
        <v>1402</v>
      </c>
      <c r="F77" s="154" t="s">
        <v>2711</v>
      </c>
      <c r="G77" s="154" t="s">
        <v>2712</v>
      </c>
      <c r="H77" s="154">
        <v>2</v>
      </c>
      <c r="I77" s="154" t="s">
        <v>2713</v>
      </c>
      <c r="J77" s="154" t="s">
        <v>1403</v>
      </c>
      <c r="K77" s="154">
        <v>2025</v>
      </c>
      <c r="L77" s="155">
        <v>2025</v>
      </c>
      <c r="M77" s="156">
        <v>45569</v>
      </c>
      <c r="N77" s="154" t="s">
        <v>36</v>
      </c>
      <c r="O77" s="154" t="s">
        <v>793</v>
      </c>
      <c r="P77" s="154">
        <v>427</v>
      </c>
      <c r="Q77" s="154" t="s">
        <v>1479</v>
      </c>
      <c r="R77" s="154">
        <v>1</v>
      </c>
      <c r="S77" s="154">
        <v>2</v>
      </c>
      <c r="T77" s="154" t="s">
        <v>1464</v>
      </c>
      <c r="U77" s="154">
        <v>1</v>
      </c>
      <c r="V77" s="155">
        <v>2522619</v>
      </c>
      <c r="W77" s="155">
        <v>0</v>
      </c>
      <c r="X77" s="155" t="s">
        <v>1406</v>
      </c>
      <c r="Y77" s="154"/>
      <c r="Z77" s="154" t="s">
        <v>32</v>
      </c>
      <c r="AA77" s="156">
        <v>45744</v>
      </c>
      <c r="AB77" s="154">
        <v>25</v>
      </c>
      <c r="AC77" s="154">
        <v>22619</v>
      </c>
      <c r="AD77" s="154">
        <v>131</v>
      </c>
      <c r="AE77" s="154" t="s">
        <v>1462</v>
      </c>
      <c r="AF77" s="154">
        <v>130</v>
      </c>
      <c r="AG77" s="154" t="s">
        <v>1402</v>
      </c>
      <c r="AH77" s="154" t="s">
        <v>36</v>
      </c>
      <c r="AI77" s="154" t="s">
        <v>793</v>
      </c>
      <c r="AJ77" s="154">
        <v>427</v>
      </c>
      <c r="AK77" s="154" t="s">
        <v>1473</v>
      </c>
      <c r="AL77" s="154">
        <v>28024</v>
      </c>
      <c r="AM77" s="154" t="s">
        <v>1421</v>
      </c>
      <c r="AN77" s="154" t="s">
        <v>1535</v>
      </c>
      <c r="AO77" s="154">
        <v>28</v>
      </c>
      <c r="AP77" s="154" t="s">
        <v>1416</v>
      </c>
      <c r="AQ77" s="154">
        <v>0</v>
      </c>
      <c r="AR77" s="154" t="s">
        <v>1410</v>
      </c>
      <c r="AS77" s="154"/>
      <c r="AT77" s="154" t="s">
        <v>1417</v>
      </c>
      <c r="AU77" s="154" t="s">
        <v>1412</v>
      </c>
    </row>
    <row r="78" spans="1:47" x14ac:dyDescent="0.45">
      <c r="A78" s="154">
        <v>2513150150</v>
      </c>
      <c r="B78" s="154">
        <v>131</v>
      </c>
      <c r="C78" s="154" t="s">
        <v>1462</v>
      </c>
      <c r="D78" s="154">
        <v>130</v>
      </c>
      <c r="E78" s="154" t="s">
        <v>1402</v>
      </c>
      <c r="F78" s="154" t="s">
        <v>2714</v>
      </c>
      <c r="G78" s="154" t="s">
        <v>2715</v>
      </c>
      <c r="H78" s="154">
        <v>2</v>
      </c>
      <c r="I78" s="154" t="s">
        <v>2716</v>
      </c>
      <c r="J78" s="154" t="s">
        <v>1403</v>
      </c>
      <c r="K78" s="154">
        <v>2025</v>
      </c>
      <c r="L78" s="155">
        <v>2025</v>
      </c>
      <c r="M78" s="156">
        <v>45569</v>
      </c>
      <c r="N78" s="154" t="s">
        <v>36</v>
      </c>
      <c r="O78" s="154" t="s">
        <v>793</v>
      </c>
      <c r="P78" s="154">
        <v>427</v>
      </c>
      <c r="Q78" s="154" t="s">
        <v>1479</v>
      </c>
      <c r="R78" s="154">
        <v>1</v>
      </c>
      <c r="S78" s="154">
        <v>2</v>
      </c>
      <c r="T78" s="154" t="s">
        <v>1464</v>
      </c>
      <c r="U78" s="154">
        <v>1</v>
      </c>
      <c r="V78" s="155">
        <v>0</v>
      </c>
      <c r="W78" s="155">
        <v>0</v>
      </c>
      <c r="X78" s="155" t="s">
        <v>1406</v>
      </c>
      <c r="Y78" s="156">
        <v>45744</v>
      </c>
      <c r="Z78" s="154" t="s">
        <v>32</v>
      </c>
      <c r="AA78" s="154"/>
      <c r="AB78" s="154">
        <v>0</v>
      </c>
      <c r="AC78" s="154">
        <v>0</v>
      </c>
      <c r="AD78" s="154">
        <v>0</v>
      </c>
      <c r="AE78" s="154" t="s">
        <v>1446</v>
      </c>
      <c r="AF78" s="154"/>
      <c r="AG78" s="154" t="s">
        <v>1446</v>
      </c>
      <c r="AH78" s="154"/>
      <c r="AI78" s="154"/>
      <c r="AJ78" s="154">
        <v>0</v>
      </c>
      <c r="AK78" s="154" t="s">
        <v>1473</v>
      </c>
      <c r="AL78" s="154">
        <v>28024</v>
      </c>
      <c r="AM78" s="154" t="s">
        <v>1421</v>
      </c>
      <c r="AN78" s="154" t="s">
        <v>1535</v>
      </c>
      <c r="AO78" s="154">
        <v>28</v>
      </c>
      <c r="AP78" s="154" t="s">
        <v>1416</v>
      </c>
      <c r="AQ78" s="154">
        <v>0</v>
      </c>
      <c r="AR78" s="154" t="s">
        <v>1410</v>
      </c>
      <c r="AS78" s="154"/>
      <c r="AT78" s="154" t="s">
        <v>1417</v>
      </c>
      <c r="AU78" s="154" t="s">
        <v>1412</v>
      </c>
    </row>
    <row r="79" spans="1:47" x14ac:dyDescent="0.45">
      <c r="A79" s="154">
        <v>2513150151</v>
      </c>
      <c r="B79" s="154">
        <v>131</v>
      </c>
      <c r="C79" s="154" t="s">
        <v>1462</v>
      </c>
      <c r="D79" s="154">
        <v>130</v>
      </c>
      <c r="E79" s="154" t="s">
        <v>1402</v>
      </c>
      <c r="F79" s="154" t="s">
        <v>2722</v>
      </c>
      <c r="G79" s="154" t="s">
        <v>2723</v>
      </c>
      <c r="H79" s="154">
        <v>1</v>
      </c>
      <c r="I79" s="154" t="s">
        <v>2577</v>
      </c>
      <c r="J79" s="154" t="s">
        <v>1403</v>
      </c>
      <c r="K79" s="154">
        <v>0</v>
      </c>
      <c r="L79" s="155">
        <v>2025</v>
      </c>
      <c r="M79" s="156">
        <v>45586</v>
      </c>
      <c r="N79" s="154" t="s">
        <v>36</v>
      </c>
      <c r="O79" s="154" t="s">
        <v>708</v>
      </c>
      <c r="P79" s="154">
        <v>645</v>
      </c>
      <c r="Q79" s="154" t="s">
        <v>1544</v>
      </c>
      <c r="R79" s="154">
        <v>2</v>
      </c>
      <c r="S79" s="154">
        <v>3</v>
      </c>
      <c r="T79" s="154" t="s">
        <v>1477</v>
      </c>
      <c r="U79" s="154">
        <v>4</v>
      </c>
      <c r="V79" s="155">
        <v>0</v>
      </c>
      <c r="W79" s="155">
        <v>0</v>
      </c>
      <c r="X79" s="155" t="s">
        <v>1406</v>
      </c>
      <c r="Y79" s="156">
        <v>45706</v>
      </c>
      <c r="Z79" s="154" t="s">
        <v>32</v>
      </c>
      <c r="AA79" s="154"/>
      <c r="AB79" s="154">
        <v>0</v>
      </c>
      <c r="AC79" s="154">
        <v>0</v>
      </c>
      <c r="AD79" s="154">
        <v>0</v>
      </c>
      <c r="AE79" s="154" t="s">
        <v>1446</v>
      </c>
      <c r="AF79" s="154"/>
      <c r="AG79" s="154" t="s">
        <v>1446</v>
      </c>
      <c r="AH79" s="154"/>
      <c r="AI79" s="154"/>
      <c r="AJ79" s="154">
        <v>0</v>
      </c>
      <c r="AK79" s="154" t="s">
        <v>1410</v>
      </c>
      <c r="AL79" s="154">
        <v>28157</v>
      </c>
      <c r="AM79" s="154" t="s">
        <v>1414</v>
      </c>
      <c r="AN79" s="154" t="s">
        <v>1415</v>
      </c>
      <c r="AO79" s="154">
        <v>28</v>
      </c>
      <c r="AP79" s="154" t="s">
        <v>1416</v>
      </c>
      <c r="AQ79" s="154">
        <v>0</v>
      </c>
      <c r="AR79" s="154" t="s">
        <v>1410</v>
      </c>
      <c r="AS79" s="154"/>
      <c r="AT79" s="154" t="s">
        <v>1411</v>
      </c>
      <c r="AU79" s="154" t="s">
        <v>1412</v>
      </c>
    </row>
    <row r="80" spans="1:47" x14ac:dyDescent="0.45">
      <c r="A80" s="154">
        <v>2513150152</v>
      </c>
      <c r="B80" s="154">
        <v>131</v>
      </c>
      <c r="C80" s="154" t="s">
        <v>1462</v>
      </c>
      <c r="D80" s="154">
        <v>130</v>
      </c>
      <c r="E80" s="154" t="s">
        <v>1402</v>
      </c>
      <c r="F80" s="154" t="s">
        <v>2724</v>
      </c>
      <c r="G80" s="154" t="s">
        <v>2725</v>
      </c>
      <c r="H80" s="154">
        <v>1</v>
      </c>
      <c r="I80" s="154" t="s">
        <v>1574</v>
      </c>
      <c r="J80" s="154" t="s">
        <v>1403</v>
      </c>
      <c r="K80" s="154">
        <v>0</v>
      </c>
      <c r="L80" s="155">
        <v>2025</v>
      </c>
      <c r="M80" s="156">
        <v>45580</v>
      </c>
      <c r="N80" s="154" t="s">
        <v>36</v>
      </c>
      <c r="O80" s="154" t="s">
        <v>793</v>
      </c>
      <c r="P80" s="154">
        <v>428</v>
      </c>
      <c r="Q80" s="154" t="s">
        <v>1463</v>
      </c>
      <c r="R80" s="154">
        <v>1</v>
      </c>
      <c r="S80" s="154">
        <v>2</v>
      </c>
      <c r="T80" s="154" t="s">
        <v>1464</v>
      </c>
      <c r="U80" s="154">
        <v>1</v>
      </c>
      <c r="V80" s="155">
        <v>2522557</v>
      </c>
      <c r="W80" s="155">
        <v>0</v>
      </c>
      <c r="X80" s="155" t="s">
        <v>1406</v>
      </c>
      <c r="Y80" s="154"/>
      <c r="Z80" s="154" t="s">
        <v>32</v>
      </c>
      <c r="AA80" s="156">
        <v>45607</v>
      </c>
      <c r="AB80" s="154">
        <v>25</v>
      </c>
      <c r="AC80" s="154">
        <v>22557</v>
      </c>
      <c r="AD80" s="154">
        <v>131</v>
      </c>
      <c r="AE80" s="154" t="s">
        <v>1462</v>
      </c>
      <c r="AF80" s="154">
        <v>130</v>
      </c>
      <c r="AG80" s="154" t="s">
        <v>1402</v>
      </c>
      <c r="AH80" s="154" t="s">
        <v>36</v>
      </c>
      <c r="AI80" s="154" t="s">
        <v>793</v>
      </c>
      <c r="AJ80" s="154">
        <v>428</v>
      </c>
      <c r="AK80" s="154" t="s">
        <v>1407</v>
      </c>
      <c r="AL80" s="154">
        <v>28097</v>
      </c>
      <c r="AM80" s="154" t="s">
        <v>1418</v>
      </c>
      <c r="AN80" s="154" t="s">
        <v>1531</v>
      </c>
      <c r="AO80" s="154">
        <v>28</v>
      </c>
      <c r="AP80" s="154" t="s">
        <v>1416</v>
      </c>
      <c r="AQ80" s="154">
        <v>0</v>
      </c>
      <c r="AR80" s="154" t="s">
        <v>1410</v>
      </c>
      <c r="AS80" s="154"/>
      <c r="AT80" s="154" t="s">
        <v>1411</v>
      </c>
      <c r="AU80" s="154" t="s">
        <v>1412</v>
      </c>
    </row>
    <row r="81" spans="1:47" x14ac:dyDescent="0.45">
      <c r="A81" s="154">
        <v>2513150153</v>
      </c>
      <c r="B81" s="154">
        <v>131</v>
      </c>
      <c r="C81" s="154" t="s">
        <v>1462</v>
      </c>
      <c r="D81" s="154">
        <v>130</v>
      </c>
      <c r="E81" s="154" t="s">
        <v>1402</v>
      </c>
      <c r="F81" s="154" t="s">
        <v>2726</v>
      </c>
      <c r="G81" s="154" t="s">
        <v>2727</v>
      </c>
      <c r="H81" s="154">
        <v>1</v>
      </c>
      <c r="I81" s="154" t="s">
        <v>2728</v>
      </c>
      <c r="J81" s="154" t="s">
        <v>1403</v>
      </c>
      <c r="K81" s="154">
        <v>2025</v>
      </c>
      <c r="L81" s="155">
        <v>2025</v>
      </c>
      <c r="M81" s="156">
        <v>45593</v>
      </c>
      <c r="N81" s="154" t="s">
        <v>36</v>
      </c>
      <c r="O81" s="154" t="s">
        <v>704</v>
      </c>
      <c r="P81" s="154">
        <v>428</v>
      </c>
      <c r="Q81" s="154" t="s">
        <v>1463</v>
      </c>
      <c r="R81" s="154">
        <v>2</v>
      </c>
      <c r="S81" s="154">
        <v>2</v>
      </c>
      <c r="T81" s="154" t="s">
        <v>1464</v>
      </c>
      <c r="U81" s="154">
        <v>1</v>
      </c>
      <c r="V81" s="155">
        <v>2522591</v>
      </c>
      <c r="W81" s="155">
        <v>0</v>
      </c>
      <c r="X81" s="155" t="s">
        <v>1406</v>
      </c>
      <c r="Y81" s="154"/>
      <c r="Z81" s="154" t="s">
        <v>32</v>
      </c>
      <c r="AA81" s="156">
        <v>45684</v>
      </c>
      <c r="AB81" s="154">
        <v>25</v>
      </c>
      <c r="AC81" s="154">
        <v>22591</v>
      </c>
      <c r="AD81" s="154">
        <v>131</v>
      </c>
      <c r="AE81" s="154" t="s">
        <v>1462</v>
      </c>
      <c r="AF81" s="154">
        <v>130</v>
      </c>
      <c r="AG81" s="154" t="s">
        <v>1402</v>
      </c>
      <c r="AH81" s="154" t="s">
        <v>36</v>
      </c>
      <c r="AI81" s="154" t="s">
        <v>704</v>
      </c>
      <c r="AJ81" s="154">
        <v>428</v>
      </c>
      <c r="AK81" s="154" t="s">
        <v>1407</v>
      </c>
      <c r="AL81" s="154">
        <v>28168</v>
      </c>
      <c r="AM81" s="154" t="s">
        <v>1418</v>
      </c>
      <c r="AN81" s="154" t="s">
        <v>1475</v>
      </c>
      <c r="AO81" s="154">
        <v>28</v>
      </c>
      <c r="AP81" s="154" t="s">
        <v>1416</v>
      </c>
      <c r="AQ81" s="154">
        <v>0</v>
      </c>
      <c r="AR81" s="154" t="s">
        <v>1410</v>
      </c>
      <c r="AS81" s="154"/>
      <c r="AT81" s="154" t="s">
        <v>1417</v>
      </c>
      <c r="AU81" s="154" t="s">
        <v>1412</v>
      </c>
    </row>
    <row r="82" spans="1:47" x14ac:dyDescent="0.45">
      <c r="A82" s="154">
        <v>2513150154</v>
      </c>
      <c r="B82" s="154">
        <v>131</v>
      </c>
      <c r="C82" s="154" t="s">
        <v>1462</v>
      </c>
      <c r="D82" s="154">
        <v>130</v>
      </c>
      <c r="E82" s="154" t="s">
        <v>1402</v>
      </c>
      <c r="F82" s="154" t="s">
        <v>2730</v>
      </c>
      <c r="G82" s="154" t="s">
        <v>2731</v>
      </c>
      <c r="H82" s="154">
        <v>1</v>
      </c>
      <c r="I82" s="154" t="s">
        <v>2760</v>
      </c>
      <c r="J82" s="154" t="s">
        <v>1403</v>
      </c>
      <c r="K82" s="154">
        <v>2025</v>
      </c>
      <c r="L82" s="155">
        <v>2025</v>
      </c>
      <c r="M82" s="156">
        <v>45562</v>
      </c>
      <c r="N82" s="154" t="s">
        <v>36</v>
      </c>
      <c r="O82" s="154" t="s">
        <v>704</v>
      </c>
      <c r="P82" s="154">
        <v>968</v>
      </c>
      <c r="Q82" s="154" t="s">
        <v>1474</v>
      </c>
      <c r="R82" s="154">
        <v>2</v>
      </c>
      <c r="S82" s="154">
        <v>2</v>
      </c>
      <c r="T82" s="154" t="s">
        <v>1464</v>
      </c>
      <c r="U82" s="154">
        <v>1</v>
      </c>
      <c r="V82" s="155">
        <v>2522583</v>
      </c>
      <c r="W82" s="155">
        <v>0</v>
      </c>
      <c r="X82" s="155" t="s">
        <v>1406</v>
      </c>
      <c r="Y82" s="154"/>
      <c r="Z82" s="154" t="s">
        <v>32</v>
      </c>
      <c r="AA82" s="156">
        <v>45664</v>
      </c>
      <c r="AB82" s="154">
        <v>25</v>
      </c>
      <c r="AC82" s="154">
        <v>22583</v>
      </c>
      <c r="AD82" s="154">
        <v>131</v>
      </c>
      <c r="AE82" s="154" t="s">
        <v>1462</v>
      </c>
      <c r="AF82" s="154">
        <v>130</v>
      </c>
      <c r="AG82" s="154" t="s">
        <v>1402</v>
      </c>
      <c r="AH82" s="154" t="s">
        <v>36</v>
      </c>
      <c r="AI82" s="154" t="s">
        <v>704</v>
      </c>
      <c r="AJ82" s="154">
        <v>968</v>
      </c>
      <c r="AK82" s="154" t="s">
        <v>1473</v>
      </c>
      <c r="AL82" s="154">
        <v>37016</v>
      </c>
      <c r="AM82" s="154" t="s">
        <v>1421</v>
      </c>
      <c r="AN82" s="154" t="s">
        <v>2850</v>
      </c>
      <c r="AO82" s="154">
        <v>37</v>
      </c>
      <c r="AP82" s="154" t="s">
        <v>1573</v>
      </c>
      <c r="AQ82" s="154">
        <v>0</v>
      </c>
      <c r="AR82" s="154" t="s">
        <v>1410</v>
      </c>
      <c r="AS82" s="154"/>
      <c r="AT82" s="154" t="s">
        <v>1417</v>
      </c>
      <c r="AU82" s="154" t="s">
        <v>1412</v>
      </c>
    </row>
    <row r="83" spans="1:47" x14ac:dyDescent="0.45">
      <c r="A83" s="154">
        <v>2513150155</v>
      </c>
      <c r="B83" s="154">
        <v>131</v>
      </c>
      <c r="C83" s="154" t="s">
        <v>1462</v>
      </c>
      <c r="D83" s="154">
        <v>130</v>
      </c>
      <c r="E83" s="154" t="s">
        <v>1402</v>
      </c>
      <c r="F83" s="154" t="s">
        <v>2732</v>
      </c>
      <c r="G83" s="154" t="s">
        <v>2733</v>
      </c>
      <c r="H83" s="154">
        <v>2</v>
      </c>
      <c r="I83" s="154" t="s">
        <v>2225</v>
      </c>
      <c r="J83" s="154" t="s">
        <v>1403</v>
      </c>
      <c r="K83" s="154">
        <v>2025</v>
      </c>
      <c r="L83" s="155">
        <v>2025</v>
      </c>
      <c r="M83" s="156">
        <v>45586</v>
      </c>
      <c r="N83" s="154" t="s">
        <v>36</v>
      </c>
      <c r="O83" s="154" t="s">
        <v>704</v>
      </c>
      <c r="P83" s="154">
        <v>968</v>
      </c>
      <c r="Q83" s="154" t="s">
        <v>1474</v>
      </c>
      <c r="R83" s="154">
        <v>2</v>
      </c>
      <c r="S83" s="154">
        <v>2</v>
      </c>
      <c r="T83" s="154" t="s">
        <v>1464</v>
      </c>
      <c r="U83" s="154">
        <v>1</v>
      </c>
      <c r="V83" s="155">
        <v>2522551</v>
      </c>
      <c r="W83" s="155">
        <v>0</v>
      </c>
      <c r="X83" s="155" t="s">
        <v>1406</v>
      </c>
      <c r="Y83" s="154"/>
      <c r="Z83" s="154" t="s">
        <v>32</v>
      </c>
      <c r="AA83" s="156">
        <v>45602</v>
      </c>
      <c r="AB83" s="154">
        <v>25</v>
      </c>
      <c r="AC83" s="154">
        <v>22551</v>
      </c>
      <c r="AD83" s="154">
        <v>131</v>
      </c>
      <c r="AE83" s="154" t="s">
        <v>1462</v>
      </c>
      <c r="AF83" s="154">
        <v>130</v>
      </c>
      <c r="AG83" s="154" t="s">
        <v>1402</v>
      </c>
      <c r="AH83" s="154" t="s">
        <v>36</v>
      </c>
      <c r="AI83" s="154" t="s">
        <v>704</v>
      </c>
      <c r="AJ83" s="154">
        <v>968</v>
      </c>
      <c r="AK83" s="154" t="s">
        <v>1407</v>
      </c>
      <c r="AL83" s="154">
        <v>28232</v>
      </c>
      <c r="AM83" s="154" t="s">
        <v>1418</v>
      </c>
      <c r="AN83" s="154" t="s">
        <v>1548</v>
      </c>
      <c r="AO83" s="154">
        <v>28</v>
      </c>
      <c r="AP83" s="154" t="s">
        <v>1416</v>
      </c>
      <c r="AQ83" s="154">
        <v>0</v>
      </c>
      <c r="AR83" s="154" t="s">
        <v>1410</v>
      </c>
      <c r="AS83" s="154"/>
      <c r="AT83" s="154" t="s">
        <v>1417</v>
      </c>
      <c r="AU83" s="154" t="s">
        <v>1412</v>
      </c>
    </row>
    <row r="84" spans="1:47" x14ac:dyDescent="0.45">
      <c r="A84" s="154">
        <v>2513150156</v>
      </c>
      <c r="B84" s="154">
        <v>131</v>
      </c>
      <c r="C84" s="154" t="s">
        <v>1462</v>
      </c>
      <c r="D84" s="154">
        <v>130</v>
      </c>
      <c r="E84" s="154" t="s">
        <v>1402</v>
      </c>
      <c r="F84" s="154" t="s">
        <v>2734</v>
      </c>
      <c r="G84" s="154" t="s">
        <v>2735</v>
      </c>
      <c r="H84" s="154">
        <v>1</v>
      </c>
      <c r="I84" s="154" t="s">
        <v>2736</v>
      </c>
      <c r="J84" s="154" t="s">
        <v>1403</v>
      </c>
      <c r="K84" s="154">
        <v>0</v>
      </c>
      <c r="L84" s="155">
        <v>2025</v>
      </c>
      <c r="M84" s="156">
        <v>45580</v>
      </c>
      <c r="N84" s="154" t="s">
        <v>36</v>
      </c>
      <c r="O84" s="154" t="s">
        <v>741</v>
      </c>
      <c r="P84" s="154">
        <v>1680</v>
      </c>
      <c r="Q84" s="154" t="s">
        <v>2836</v>
      </c>
      <c r="R84" s="154">
        <v>2</v>
      </c>
      <c r="S84" s="154">
        <v>10</v>
      </c>
      <c r="T84" s="154" t="s">
        <v>1490</v>
      </c>
      <c r="U84" s="154">
        <v>9</v>
      </c>
      <c r="V84" s="155">
        <v>2522552</v>
      </c>
      <c r="W84" s="155">
        <v>0</v>
      </c>
      <c r="X84" s="155" t="s">
        <v>1406</v>
      </c>
      <c r="Y84" s="154"/>
      <c r="Z84" s="154" t="s">
        <v>32</v>
      </c>
      <c r="AA84" s="156">
        <v>45602</v>
      </c>
      <c r="AB84" s="154">
        <v>25</v>
      </c>
      <c r="AC84" s="154">
        <v>22552</v>
      </c>
      <c r="AD84" s="154">
        <v>131</v>
      </c>
      <c r="AE84" s="154" t="s">
        <v>1462</v>
      </c>
      <c r="AF84" s="154">
        <v>130</v>
      </c>
      <c r="AG84" s="154" t="s">
        <v>1402</v>
      </c>
      <c r="AH84" s="154" t="s">
        <v>36</v>
      </c>
      <c r="AI84" s="154" t="s">
        <v>741</v>
      </c>
      <c r="AJ84" s="154">
        <v>1680</v>
      </c>
      <c r="AK84" s="154" t="s">
        <v>1407</v>
      </c>
      <c r="AL84" s="154">
        <v>28264</v>
      </c>
      <c r="AM84" s="154" t="s">
        <v>1418</v>
      </c>
      <c r="AN84" s="154" t="s">
        <v>1449</v>
      </c>
      <c r="AO84" s="154">
        <v>28</v>
      </c>
      <c r="AP84" s="154" t="s">
        <v>1416</v>
      </c>
      <c r="AQ84" s="154">
        <v>0</v>
      </c>
      <c r="AR84" s="154" t="s">
        <v>1410</v>
      </c>
      <c r="AS84" s="154"/>
      <c r="AT84" s="154" t="s">
        <v>1411</v>
      </c>
      <c r="AU84" s="154" t="s">
        <v>1412</v>
      </c>
    </row>
    <row r="85" spans="1:47" x14ac:dyDescent="0.45">
      <c r="A85" s="154">
        <v>2513150157</v>
      </c>
      <c r="B85" s="154">
        <v>131</v>
      </c>
      <c r="C85" s="154" t="s">
        <v>1462</v>
      </c>
      <c r="D85" s="154">
        <v>130</v>
      </c>
      <c r="E85" s="154" t="s">
        <v>1402</v>
      </c>
      <c r="F85" s="154" t="s">
        <v>2737</v>
      </c>
      <c r="G85" s="154" t="s">
        <v>2738</v>
      </c>
      <c r="H85" s="154">
        <v>1</v>
      </c>
      <c r="I85" s="154" t="s">
        <v>2739</v>
      </c>
      <c r="J85" s="154" t="s">
        <v>1403</v>
      </c>
      <c r="K85" s="154">
        <v>2025</v>
      </c>
      <c r="L85" s="155">
        <v>2025</v>
      </c>
      <c r="M85" s="156">
        <v>45586</v>
      </c>
      <c r="N85" s="154" t="s">
        <v>36</v>
      </c>
      <c r="O85" s="154" t="s">
        <v>698</v>
      </c>
      <c r="P85" s="154">
        <v>1046</v>
      </c>
      <c r="Q85" s="154" t="s">
        <v>2790</v>
      </c>
      <c r="R85" s="154">
        <v>2</v>
      </c>
      <c r="S85" s="154">
        <v>5</v>
      </c>
      <c r="T85" s="154" t="s">
        <v>1470</v>
      </c>
      <c r="U85" s="154">
        <v>15</v>
      </c>
      <c r="V85" s="155">
        <v>2522554</v>
      </c>
      <c r="W85" s="155">
        <v>0</v>
      </c>
      <c r="X85" s="155" t="s">
        <v>1406</v>
      </c>
      <c r="Y85" s="154"/>
      <c r="Z85" s="154" t="s">
        <v>32</v>
      </c>
      <c r="AA85" s="156">
        <v>45602</v>
      </c>
      <c r="AB85" s="154">
        <v>25</v>
      </c>
      <c r="AC85" s="154">
        <v>22554</v>
      </c>
      <c r="AD85" s="154">
        <v>131</v>
      </c>
      <c r="AE85" s="154" t="s">
        <v>1462</v>
      </c>
      <c r="AF85" s="154">
        <v>130</v>
      </c>
      <c r="AG85" s="154" t="s">
        <v>1402</v>
      </c>
      <c r="AH85" s="154" t="s">
        <v>36</v>
      </c>
      <c r="AI85" s="154" t="s">
        <v>698</v>
      </c>
      <c r="AJ85" s="154">
        <v>1046</v>
      </c>
      <c r="AK85" s="154" t="s">
        <v>1407</v>
      </c>
      <c r="AL85" s="154">
        <v>28178</v>
      </c>
      <c r="AM85" s="154" t="s">
        <v>1418</v>
      </c>
      <c r="AN85" s="154" t="s">
        <v>1507</v>
      </c>
      <c r="AO85" s="154">
        <v>28</v>
      </c>
      <c r="AP85" s="154" t="s">
        <v>1416</v>
      </c>
      <c r="AQ85" s="154">
        <v>0</v>
      </c>
      <c r="AR85" s="154" t="s">
        <v>1410</v>
      </c>
      <c r="AS85" s="154"/>
      <c r="AT85" s="154" t="s">
        <v>1417</v>
      </c>
      <c r="AU85" s="154" t="s">
        <v>1412</v>
      </c>
    </row>
    <row r="86" spans="1:47" x14ac:dyDescent="0.45">
      <c r="A86" s="154">
        <v>2513150159</v>
      </c>
      <c r="B86" s="154">
        <v>131</v>
      </c>
      <c r="C86" s="154" t="s">
        <v>1462</v>
      </c>
      <c r="D86" s="154">
        <v>130</v>
      </c>
      <c r="E86" s="154" t="s">
        <v>1402</v>
      </c>
      <c r="F86" s="154" t="s">
        <v>2761</v>
      </c>
      <c r="G86" s="154" t="s">
        <v>2762</v>
      </c>
      <c r="H86" s="154">
        <v>2</v>
      </c>
      <c r="I86" s="154" t="s">
        <v>1558</v>
      </c>
      <c r="J86" s="154" t="s">
        <v>1403</v>
      </c>
      <c r="K86" s="154">
        <v>0</v>
      </c>
      <c r="L86" s="155">
        <v>2025</v>
      </c>
      <c r="M86" s="156">
        <v>45572</v>
      </c>
      <c r="N86" s="154" t="s">
        <v>36</v>
      </c>
      <c r="O86" s="154" t="s">
        <v>708</v>
      </c>
      <c r="P86" s="154">
        <v>1067</v>
      </c>
      <c r="Q86" s="154" t="s">
        <v>2838</v>
      </c>
      <c r="R86" s="154">
        <v>2</v>
      </c>
      <c r="S86" s="154">
        <v>8</v>
      </c>
      <c r="T86" s="154" t="s">
        <v>1503</v>
      </c>
      <c r="U86" s="154">
        <v>6</v>
      </c>
      <c r="V86" s="155">
        <v>2522546</v>
      </c>
      <c r="W86" s="155">
        <v>0</v>
      </c>
      <c r="X86" s="155" t="s">
        <v>1406</v>
      </c>
      <c r="Y86" s="154"/>
      <c r="Z86" s="154" t="s">
        <v>32</v>
      </c>
      <c r="AA86" s="156">
        <v>45602</v>
      </c>
      <c r="AB86" s="154">
        <v>25</v>
      </c>
      <c r="AC86" s="154">
        <v>22546</v>
      </c>
      <c r="AD86" s="154">
        <v>131</v>
      </c>
      <c r="AE86" s="154" t="s">
        <v>1462</v>
      </c>
      <c r="AF86" s="154">
        <v>130</v>
      </c>
      <c r="AG86" s="154" t="s">
        <v>1402</v>
      </c>
      <c r="AH86" s="154" t="s">
        <v>36</v>
      </c>
      <c r="AI86" s="154" t="s">
        <v>708</v>
      </c>
      <c r="AJ86" s="154">
        <v>1067</v>
      </c>
      <c r="AK86" s="154" t="s">
        <v>1407</v>
      </c>
      <c r="AL86" s="154">
        <v>28017</v>
      </c>
      <c r="AM86" s="154" t="s">
        <v>1421</v>
      </c>
      <c r="AN86" s="154" t="s">
        <v>1536</v>
      </c>
      <c r="AO86" s="154">
        <v>28</v>
      </c>
      <c r="AP86" s="154" t="s">
        <v>1416</v>
      </c>
      <c r="AQ86" s="154">
        <v>0</v>
      </c>
      <c r="AR86" s="154" t="s">
        <v>1410</v>
      </c>
      <c r="AS86" s="154"/>
      <c r="AT86" s="154" t="s">
        <v>1411</v>
      </c>
      <c r="AU86" s="154" t="s">
        <v>1412</v>
      </c>
    </row>
    <row r="87" spans="1:47" x14ac:dyDescent="0.45">
      <c r="A87" s="154">
        <v>2513170002</v>
      </c>
      <c r="B87" s="154">
        <v>131</v>
      </c>
      <c r="C87" s="154" t="s">
        <v>1462</v>
      </c>
      <c r="D87" s="154">
        <v>130</v>
      </c>
      <c r="E87" s="154" t="s">
        <v>1402</v>
      </c>
      <c r="F87" s="154" t="s">
        <v>2898</v>
      </c>
      <c r="G87" s="154" t="s">
        <v>2899</v>
      </c>
      <c r="H87" s="154">
        <v>1</v>
      </c>
      <c r="I87" s="154" t="s">
        <v>2900</v>
      </c>
      <c r="J87" s="154" t="s">
        <v>1403</v>
      </c>
      <c r="K87" s="154">
        <v>2025</v>
      </c>
      <c r="L87" s="155">
        <v>2025</v>
      </c>
      <c r="M87" s="156">
        <v>45642</v>
      </c>
      <c r="N87" s="154" t="s">
        <v>36</v>
      </c>
      <c r="O87" s="154" t="s">
        <v>708</v>
      </c>
      <c r="P87" s="154">
        <v>645</v>
      </c>
      <c r="Q87" s="154" t="s">
        <v>1544</v>
      </c>
      <c r="R87" s="154">
        <v>2</v>
      </c>
      <c r="S87" s="154">
        <v>3</v>
      </c>
      <c r="T87" s="154" t="s">
        <v>1477</v>
      </c>
      <c r="U87" s="154">
        <v>4</v>
      </c>
      <c r="V87" s="155">
        <v>2522588</v>
      </c>
      <c r="W87" s="155">
        <v>0</v>
      </c>
      <c r="X87" s="155" t="s">
        <v>1406</v>
      </c>
      <c r="Y87" s="154"/>
      <c r="Z87" s="154" t="s">
        <v>2901</v>
      </c>
      <c r="AA87" s="156">
        <v>45674</v>
      </c>
      <c r="AB87" s="154">
        <v>25</v>
      </c>
      <c r="AC87" s="154">
        <v>22588</v>
      </c>
      <c r="AD87" s="154">
        <v>131</v>
      </c>
      <c r="AE87" s="154" t="s">
        <v>1462</v>
      </c>
      <c r="AF87" s="154">
        <v>130</v>
      </c>
      <c r="AG87" s="154" t="s">
        <v>1402</v>
      </c>
      <c r="AH87" s="154" t="s">
        <v>36</v>
      </c>
      <c r="AI87" s="154" t="s">
        <v>708</v>
      </c>
      <c r="AJ87" s="154">
        <v>645</v>
      </c>
      <c r="AK87" s="154" t="s">
        <v>1407</v>
      </c>
      <c r="AL87" s="154">
        <v>33093</v>
      </c>
      <c r="AM87" s="154" t="s">
        <v>1421</v>
      </c>
      <c r="AN87" s="154" t="s">
        <v>2902</v>
      </c>
      <c r="AO87" s="154">
        <v>33</v>
      </c>
      <c r="AP87" s="154" t="s">
        <v>1427</v>
      </c>
      <c r="AQ87" s="154">
        <v>0</v>
      </c>
      <c r="AR87" s="154" t="s">
        <v>1410</v>
      </c>
      <c r="AS87" s="154"/>
      <c r="AT87" s="154" t="s">
        <v>1417</v>
      </c>
      <c r="AU87" s="154" t="s">
        <v>1412</v>
      </c>
    </row>
    <row r="88" spans="1:47" x14ac:dyDescent="0.45">
      <c r="A88" s="154">
        <v>2513170001</v>
      </c>
      <c r="B88" s="154">
        <v>57</v>
      </c>
      <c r="C88" s="154" t="s">
        <v>1551</v>
      </c>
      <c r="D88" s="154">
        <v>57</v>
      </c>
      <c r="E88" s="154" t="s">
        <v>1552</v>
      </c>
      <c r="F88" s="154" t="s">
        <v>2903</v>
      </c>
      <c r="G88" s="154" t="s">
        <v>2904</v>
      </c>
      <c r="H88" s="154">
        <v>1</v>
      </c>
      <c r="I88" s="154" t="s">
        <v>2905</v>
      </c>
      <c r="J88" s="154" t="s">
        <v>1403</v>
      </c>
      <c r="K88" s="154">
        <v>0</v>
      </c>
      <c r="L88" s="155">
        <v>2025</v>
      </c>
      <c r="M88" s="156">
        <v>45633</v>
      </c>
      <c r="N88" s="154" t="s">
        <v>36</v>
      </c>
      <c r="O88" s="154">
        <v>7</v>
      </c>
      <c r="P88" s="154">
        <v>265</v>
      </c>
      <c r="Q88" s="154" t="s">
        <v>1562</v>
      </c>
      <c r="R88" s="154">
        <v>2</v>
      </c>
      <c r="S88" s="154">
        <v>1</v>
      </c>
      <c r="T88" s="154" t="s">
        <v>1527</v>
      </c>
      <c r="U88" s="154">
        <v>3</v>
      </c>
      <c r="V88" s="155">
        <v>2580095</v>
      </c>
      <c r="W88" s="155">
        <v>0</v>
      </c>
      <c r="X88" s="155" t="s">
        <v>1406</v>
      </c>
      <c r="Y88" s="154"/>
      <c r="Z88" s="154" t="s">
        <v>1407</v>
      </c>
      <c r="AA88" s="156">
        <v>45649</v>
      </c>
      <c r="AB88" s="154">
        <v>25</v>
      </c>
      <c r="AC88" s="154">
        <v>80095</v>
      </c>
      <c r="AD88" s="154">
        <v>57</v>
      </c>
      <c r="AE88" s="154" t="s">
        <v>1551</v>
      </c>
      <c r="AF88" s="154">
        <v>57</v>
      </c>
      <c r="AG88" s="154" t="s">
        <v>1552</v>
      </c>
      <c r="AH88" s="154" t="s">
        <v>36</v>
      </c>
      <c r="AI88" s="154">
        <v>7</v>
      </c>
      <c r="AJ88" s="154">
        <v>265</v>
      </c>
      <c r="AK88" s="154" t="s">
        <v>1407</v>
      </c>
      <c r="AL88" s="154">
        <v>28173</v>
      </c>
      <c r="AM88" s="154" t="s">
        <v>1418</v>
      </c>
      <c r="AN88" s="154" t="s">
        <v>1456</v>
      </c>
      <c r="AO88" s="154">
        <v>28</v>
      </c>
      <c r="AP88" s="154" t="s">
        <v>1416</v>
      </c>
      <c r="AQ88" s="154">
        <v>0</v>
      </c>
      <c r="AR88" s="154" t="s">
        <v>1410</v>
      </c>
      <c r="AS88" s="154"/>
      <c r="AT88" s="154" t="s">
        <v>1411</v>
      </c>
      <c r="AU88" s="154" t="s">
        <v>1412</v>
      </c>
    </row>
    <row r="89" spans="1:47" x14ac:dyDescent="0.45">
      <c r="A89" s="154">
        <v>2505700011</v>
      </c>
      <c r="B89" s="154">
        <v>57</v>
      </c>
      <c r="C89" s="154" t="s">
        <v>1551</v>
      </c>
      <c r="D89" s="154">
        <v>57</v>
      </c>
      <c r="E89" s="154" t="s">
        <v>1552</v>
      </c>
      <c r="F89" s="154" t="s">
        <v>2906</v>
      </c>
      <c r="G89" s="154" t="s">
        <v>2907</v>
      </c>
      <c r="H89" s="154">
        <v>1</v>
      </c>
      <c r="I89" s="154" t="s">
        <v>405</v>
      </c>
      <c r="J89" s="154" t="s">
        <v>1403</v>
      </c>
      <c r="K89" s="154">
        <v>2025</v>
      </c>
      <c r="L89" s="155">
        <v>2025</v>
      </c>
      <c r="M89" s="156">
        <v>45640</v>
      </c>
      <c r="N89" s="154" t="s">
        <v>36</v>
      </c>
      <c r="O89" s="154" t="s">
        <v>135</v>
      </c>
      <c r="P89" s="154">
        <v>502</v>
      </c>
      <c r="Q89" s="154" t="s">
        <v>1500</v>
      </c>
      <c r="R89" s="154">
        <v>2</v>
      </c>
      <c r="S89" s="154">
        <v>5</v>
      </c>
      <c r="T89" s="154" t="s">
        <v>1470</v>
      </c>
      <c r="U89" s="154">
        <v>15</v>
      </c>
      <c r="V89" s="155">
        <v>2580100</v>
      </c>
      <c r="W89" s="155">
        <v>166</v>
      </c>
      <c r="X89" s="155" t="s">
        <v>1501</v>
      </c>
      <c r="Y89" s="154"/>
      <c r="Z89" s="154" t="s">
        <v>1424</v>
      </c>
      <c r="AA89" s="156">
        <v>45663</v>
      </c>
      <c r="AB89" s="154">
        <v>25</v>
      </c>
      <c r="AC89" s="154">
        <v>80100</v>
      </c>
      <c r="AD89" s="154">
        <v>57</v>
      </c>
      <c r="AE89" s="154" t="s">
        <v>1551</v>
      </c>
      <c r="AF89" s="154">
        <v>57</v>
      </c>
      <c r="AG89" s="154" t="s">
        <v>1552</v>
      </c>
      <c r="AH89" s="154" t="s">
        <v>36</v>
      </c>
      <c r="AI89" s="154" t="s">
        <v>135</v>
      </c>
      <c r="AJ89" s="154">
        <v>502</v>
      </c>
      <c r="AK89" s="154" t="s">
        <v>1407</v>
      </c>
      <c r="AL89" s="154">
        <v>47076</v>
      </c>
      <c r="AM89" s="154" t="s">
        <v>1421</v>
      </c>
      <c r="AN89" s="154" t="s">
        <v>1422</v>
      </c>
      <c r="AO89" s="154">
        <v>47</v>
      </c>
      <c r="AP89" s="154" t="s">
        <v>1423</v>
      </c>
      <c r="AQ89" s="154">
        <v>0</v>
      </c>
      <c r="AR89" s="154" t="s">
        <v>1410</v>
      </c>
      <c r="AS89" s="154"/>
      <c r="AT89" s="154" t="s">
        <v>1417</v>
      </c>
      <c r="AU89" s="154" t="s">
        <v>1412</v>
      </c>
    </row>
    <row r="90" spans="1:47" x14ac:dyDescent="0.45">
      <c r="A90" s="154">
        <v>2505700012</v>
      </c>
      <c r="B90" s="154">
        <v>57</v>
      </c>
      <c r="C90" s="154" t="s">
        <v>1551</v>
      </c>
      <c r="D90" s="154">
        <v>57</v>
      </c>
      <c r="E90" s="154" t="s">
        <v>1552</v>
      </c>
      <c r="F90" s="154" t="s">
        <v>2908</v>
      </c>
      <c r="G90" s="154" t="s">
        <v>2909</v>
      </c>
      <c r="H90" s="154">
        <v>1</v>
      </c>
      <c r="I90" s="154" t="s">
        <v>2910</v>
      </c>
      <c r="J90" s="154" t="s">
        <v>1590</v>
      </c>
      <c r="K90" s="154">
        <v>0</v>
      </c>
      <c r="L90" s="155">
        <v>2025</v>
      </c>
      <c r="M90" s="156">
        <v>45646</v>
      </c>
      <c r="N90" s="154" t="s">
        <v>36</v>
      </c>
      <c r="O90" s="154">
        <v>58</v>
      </c>
      <c r="P90" s="154">
        <v>856</v>
      </c>
      <c r="Q90" s="154" t="s">
        <v>1533</v>
      </c>
      <c r="R90" s="154">
        <v>2</v>
      </c>
      <c r="S90" s="154">
        <v>2</v>
      </c>
      <c r="T90" s="154" t="s">
        <v>1464</v>
      </c>
      <c r="U90" s="154">
        <v>1</v>
      </c>
      <c r="V90" s="155">
        <v>2580110</v>
      </c>
      <c r="W90" s="155">
        <v>0</v>
      </c>
      <c r="X90" s="155" t="s">
        <v>1406</v>
      </c>
      <c r="Y90" s="154"/>
      <c r="Z90" s="154" t="s">
        <v>1407</v>
      </c>
      <c r="AA90" s="156">
        <v>45679</v>
      </c>
      <c r="AB90" s="154">
        <v>25</v>
      </c>
      <c r="AC90" s="154">
        <v>80110</v>
      </c>
      <c r="AD90" s="154">
        <v>57</v>
      </c>
      <c r="AE90" s="154" t="s">
        <v>1551</v>
      </c>
      <c r="AF90" s="154">
        <v>57</v>
      </c>
      <c r="AG90" s="154" t="s">
        <v>1552</v>
      </c>
      <c r="AH90" s="154" t="s">
        <v>36</v>
      </c>
      <c r="AI90" s="154">
        <v>58</v>
      </c>
      <c r="AJ90" s="154">
        <v>856</v>
      </c>
      <c r="AK90" s="154" t="s">
        <v>1407</v>
      </c>
      <c r="AL90" s="154">
        <v>8170</v>
      </c>
      <c r="AM90" s="154" t="s">
        <v>1421</v>
      </c>
      <c r="AN90" s="154" t="s">
        <v>2826</v>
      </c>
      <c r="AO90" s="154">
        <v>8</v>
      </c>
      <c r="AP90" s="154" t="s">
        <v>1529</v>
      </c>
      <c r="AQ90" s="154">
        <v>0</v>
      </c>
      <c r="AR90" s="154" t="s">
        <v>1410</v>
      </c>
      <c r="AS90" s="154"/>
      <c r="AT90" s="154" t="s">
        <v>1411</v>
      </c>
      <c r="AU90" s="154" t="s">
        <v>1412</v>
      </c>
    </row>
    <row r="91" spans="1:47" x14ac:dyDescent="0.45">
      <c r="A91" s="154">
        <v>2505700013</v>
      </c>
      <c r="B91" s="154">
        <v>57</v>
      </c>
      <c r="C91" s="154" t="s">
        <v>1551</v>
      </c>
      <c r="D91" s="154">
        <v>57</v>
      </c>
      <c r="E91" s="154" t="s">
        <v>1552</v>
      </c>
      <c r="F91" s="154" t="s">
        <v>2911</v>
      </c>
      <c r="G91" s="154" t="s">
        <v>2912</v>
      </c>
      <c r="H91" s="154">
        <v>1</v>
      </c>
      <c r="I91" s="154" t="s">
        <v>2913</v>
      </c>
      <c r="J91" s="154" t="s">
        <v>1403</v>
      </c>
      <c r="K91" s="154">
        <v>2025</v>
      </c>
      <c r="L91" s="155">
        <v>2025</v>
      </c>
      <c r="M91" s="156">
        <v>45664</v>
      </c>
      <c r="N91" s="154" t="s">
        <v>36</v>
      </c>
      <c r="O91" s="154" t="s">
        <v>51</v>
      </c>
      <c r="P91" s="154">
        <v>427</v>
      </c>
      <c r="Q91" s="154" t="s">
        <v>1479</v>
      </c>
      <c r="R91" s="154">
        <v>1</v>
      </c>
      <c r="S91" s="154">
        <v>2</v>
      </c>
      <c r="T91" s="154" t="s">
        <v>1464</v>
      </c>
      <c r="U91" s="154">
        <v>1</v>
      </c>
      <c r="V91" s="155">
        <v>2580111</v>
      </c>
      <c r="W91" s="155">
        <v>0</v>
      </c>
      <c r="X91" s="155" t="s">
        <v>1406</v>
      </c>
      <c r="Y91" s="154"/>
      <c r="Z91" s="154" t="s">
        <v>1424</v>
      </c>
      <c r="AA91" s="156">
        <v>45679</v>
      </c>
      <c r="AB91" s="154">
        <v>25</v>
      </c>
      <c r="AC91" s="154">
        <v>80111</v>
      </c>
      <c r="AD91" s="154">
        <v>57</v>
      </c>
      <c r="AE91" s="154" t="s">
        <v>1551</v>
      </c>
      <c r="AF91" s="154">
        <v>57</v>
      </c>
      <c r="AG91" s="154" t="s">
        <v>1552</v>
      </c>
      <c r="AH91" s="154" t="s">
        <v>36</v>
      </c>
      <c r="AI91" s="154" t="s">
        <v>51</v>
      </c>
      <c r="AJ91" s="154">
        <v>427</v>
      </c>
      <c r="AK91" s="154" t="s">
        <v>1407</v>
      </c>
      <c r="AL91" s="154">
        <v>28129</v>
      </c>
      <c r="AM91" s="154" t="s">
        <v>1418</v>
      </c>
      <c r="AN91" s="154" t="s">
        <v>2914</v>
      </c>
      <c r="AO91" s="154">
        <v>28</v>
      </c>
      <c r="AP91" s="154" t="s">
        <v>1416</v>
      </c>
      <c r="AQ91" s="154">
        <v>0</v>
      </c>
      <c r="AR91" s="154" t="s">
        <v>1410</v>
      </c>
      <c r="AS91" s="154"/>
      <c r="AT91" s="154" t="s">
        <v>1417</v>
      </c>
      <c r="AU91" s="154" t="s">
        <v>1412</v>
      </c>
    </row>
    <row r="92" spans="1:47" x14ac:dyDescent="0.45">
      <c r="A92" s="154">
        <v>2505700015</v>
      </c>
      <c r="B92" s="154">
        <v>57</v>
      </c>
      <c r="C92" s="154" t="s">
        <v>1551</v>
      </c>
      <c r="D92" s="154">
        <v>57</v>
      </c>
      <c r="E92" s="154" t="s">
        <v>1552</v>
      </c>
      <c r="F92" s="154" t="s">
        <v>2915</v>
      </c>
      <c r="G92" s="154" t="s">
        <v>2916</v>
      </c>
      <c r="H92" s="154">
        <v>1</v>
      </c>
      <c r="I92" s="154" t="s">
        <v>1858</v>
      </c>
      <c r="J92" s="154" t="s">
        <v>1403</v>
      </c>
      <c r="K92" s="154">
        <v>2025</v>
      </c>
      <c r="L92" s="155">
        <v>2025</v>
      </c>
      <c r="M92" s="156">
        <v>45668</v>
      </c>
      <c r="N92" s="154" t="s">
        <v>36</v>
      </c>
      <c r="O92" s="154">
        <v>58</v>
      </c>
      <c r="P92" s="154">
        <v>427</v>
      </c>
      <c r="Q92" s="154" t="s">
        <v>1479</v>
      </c>
      <c r="R92" s="154">
        <v>2</v>
      </c>
      <c r="S92" s="154">
        <v>2</v>
      </c>
      <c r="T92" s="154" t="s">
        <v>1464</v>
      </c>
      <c r="U92" s="154">
        <v>1</v>
      </c>
      <c r="V92" s="155">
        <v>2580138</v>
      </c>
      <c r="W92" s="155">
        <v>0</v>
      </c>
      <c r="X92" s="155" t="s">
        <v>1406</v>
      </c>
      <c r="Y92" s="154"/>
      <c r="Z92" s="154" t="s">
        <v>1473</v>
      </c>
      <c r="AA92" s="156">
        <v>45693</v>
      </c>
      <c r="AB92" s="154">
        <v>25</v>
      </c>
      <c r="AC92" s="154">
        <v>80138</v>
      </c>
      <c r="AD92" s="154">
        <v>57</v>
      </c>
      <c r="AE92" s="154" t="s">
        <v>1551</v>
      </c>
      <c r="AF92" s="154">
        <v>57</v>
      </c>
      <c r="AG92" s="154" t="s">
        <v>1552</v>
      </c>
      <c r="AH92" s="154" t="s">
        <v>36</v>
      </c>
      <c r="AI92" s="154">
        <v>58</v>
      </c>
      <c r="AJ92" s="154">
        <v>427</v>
      </c>
      <c r="AK92" s="154" t="s">
        <v>1407</v>
      </c>
      <c r="AL92" s="154">
        <v>28012</v>
      </c>
      <c r="AM92" s="154" t="s">
        <v>1421</v>
      </c>
      <c r="AN92" s="154" t="s">
        <v>1600</v>
      </c>
      <c r="AO92" s="154">
        <v>28</v>
      </c>
      <c r="AP92" s="154" t="s">
        <v>1416</v>
      </c>
      <c r="AQ92" s="154">
        <v>0</v>
      </c>
      <c r="AR92" s="154" t="s">
        <v>1410</v>
      </c>
      <c r="AS92" s="154"/>
      <c r="AT92" s="154" t="s">
        <v>1417</v>
      </c>
      <c r="AU92" s="154" t="s">
        <v>1412</v>
      </c>
    </row>
    <row r="93" spans="1:47" x14ac:dyDescent="0.45">
      <c r="A93" s="154">
        <v>2505700016</v>
      </c>
      <c r="B93" s="154">
        <v>57</v>
      </c>
      <c r="C93" s="154" t="s">
        <v>1551</v>
      </c>
      <c r="D93" s="154">
        <v>57</v>
      </c>
      <c r="E93" s="154" t="s">
        <v>1552</v>
      </c>
      <c r="F93" s="154" t="s">
        <v>2917</v>
      </c>
      <c r="G93" s="154" t="s">
        <v>2918</v>
      </c>
      <c r="H93" s="154">
        <v>2</v>
      </c>
      <c r="I93" s="154" t="s">
        <v>2919</v>
      </c>
      <c r="J93" s="154" t="s">
        <v>1403</v>
      </c>
      <c r="K93" s="154">
        <v>0</v>
      </c>
      <c r="L93" s="155">
        <v>2025</v>
      </c>
      <c r="M93" s="156">
        <v>45669</v>
      </c>
      <c r="N93" s="154" t="s">
        <v>36</v>
      </c>
      <c r="O93" s="154">
        <v>6</v>
      </c>
      <c r="P93" s="154">
        <v>448</v>
      </c>
      <c r="Q93" s="154" t="s">
        <v>1557</v>
      </c>
      <c r="R93" s="154">
        <v>2</v>
      </c>
      <c r="S93" s="154">
        <v>1</v>
      </c>
      <c r="T93" s="154" t="s">
        <v>1527</v>
      </c>
      <c r="U93" s="154">
        <v>3</v>
      </c>
      <c r="V93" s="155">
        <v>2580119</v>
      </c>
      <c r="W93" s="155">
        <v>0</v>
      </c>
      <c r="X93" s="155" t="s">
        <v>1406</v>
      </c>
      <c r="Y93" s="154"/>
      <c r="Z93" s="154" t="s">
        <v>1407</v>
      </c>
      <c r="AA93" s="156">
        <v>45686</v>
      </c>
      <c r="AB93" s="154">
        <v>25</v>
      </c>
      <c r="AC93" s="154">
        <v>80119</v>
      </c>
      <c r="AD93" s="154">
        <v>57</v>
      </c>
      <c r="AE93" s="154" t="s">
        <v>1551</v>
      </c>
      <c r="AF93" s="154">
        <v>57</v>
      </c>
      <c r="AG93" s="154" t="s">
        <v>1552</v>
      </c>
      <c r="AH93" s="154" t="s">
        <v>36</v>
      </c>
      <c r="AI93" s="154">
        <v>6</v>
      </c>
      <c r="AJ93" s="154">
        <v>448</v>
      </c>
      <c r="AK93" s="154" t="s">
        <v>1407</v>
      </c>
      <c r="AL93" s="154">
        <v>99999</v>
      </c>
      <c r="AM93" s="154" t="s">
        <v>1408</v>
      </c>
      <c r="AN93" s="154" t="s">
        <v>2920</v>
      </c>
      <c r="AO93" s="154">
        <v>99</v>
      </c>
      <c r="AP93" s="154" t="s">
        <v>1409</v>
      </c>
      <c r="AQ93" s="154">
        <v>0</v>
      </c>
      <c r="AR93" s="154" t="s">
        <v>1410</v>
      </c>
      <c r="AS93" s="154"/>
      <c r="AT93" s="154" t="s">
        <v>1411</v>
      </c>
      <c r="AU93" s="154" t="s">
        <v>1412</v>
      </c>
    </row>
    <row r="94" spans="1:47" x14ac:dyDescent="0.45">
      <c r="A94" s="154">
        <v>2505700017</v>
      </c>
      <c r="B94" s="154">
        <v>57</v>
      </c>
      <c r="C94" s="154" t="s">
        <v>1551</v>
      </c>
      <c r="D94" s="154">
        <v>57</v>
      </c>
      <c r="E94" s="154" t="s">
        <v>1552</v>
      </c>
      <c r="F94" s="154" t="s">
        <v>2921</v>
      </c>
      <c r="G94" s="154" t="s">
        <v>2922</v>
      </c>
      <c r="H94" s="154">
        <v>1</v>
      </c>
      <c r="I94" s="154" t="s">
        <v>1147</v>
      </c>
      <c r="J94" s="154" t="s">
        <v>1403</v>
      </c>
      <c r="K94" s="154">
        <v>2025</v>
      </c>
      <c r="L94" s="155">
        <v>2025</v>
      </c>
      <c r="M94" s="156">
        <v>45672</v>
      </c>
      <c r="N94" s="154" t="s">
        <v>36</v>
      </c>
      <c r="O94" s="154">
        <v>58</v>
      </c>
      <c r="P94" s="154">
        <v>428</v>
      </c>
      <c r="Q94" s="154" t="s">
        <v>1463</v>
      </c>
      <c r="R94" s="154">
        <v>2</v>
      </c>
      <c r="S94" s="154">
        <v>2</v>
      </c>
      <c r="T94" s="154" t="s">
        <v>1464</v>
      </c>
      <c r="U94" s="154">
        <v>1</v>
      </c>
      <c r="V94" s="155">
        <v>2580118</v>
      </c>
      <c r="W94" s="155">
        <v>0</v>
      </c>
      <c r="X94" s="155" t="s">
        <v>1406</v>
      </c>
      <c r="Y94" s="154"/>
      <c r="Z94" s="154" t="s">
        <v>1424</v>
      </c>
      <c r="AA94" s="156">
        <v>45685</v>
      </c>
      <c r="AB94" s="154">
        <v>25</v>
      </c>
      <c r="AC94" s="154">
        <v>80118</v>
      </c>
      <c r="AD94" s="154">
        <v>57</v>
      </c>
      <c r="AE94" s="154" t="s">
        <v>1551</v>
      </c>
      <c r="AF94" s="154">
        <v>57</v>
      </c>
      <c r="AG94" s="154" t="s">
        <v>1552</v>
      </c>
      <c r="AH94" s="154" t="s">
        <v>36</v>
      </c>
      <c r="AI94" s="154">
        <v>58</v>
      </c>
      <c r="AJ94" s="154">
        <v>428</v>
      </c>
      <c r="AK94" s="154" t="s">
        <v>1407</v>
      </c>
      <c r="AL94" s="154">
        <v>28203</v>
      </c>
      <c r="AM94" s="154" t="s">
        <v>1418</v>
      </c>
      <c r="AN94" s="154" t="s">
        <v>1619</v>
      </c>
      <c r="AO94" s="154">
        <v>28</v>
      </c>
      <c r="AP94" s="154" t="s">
        <v>1416</v>
      </c>
      <c r="AQ94" s="154">
        <v>0</v>
      </c>
      <c r="AR94" s="154" t="s">
        <v>1410</v>
      </c>
      <c r="AS94" s="154"/>
      <c r="AT94" s="154" t="s">
        <v>1417</v>
      </c>
      <c r="AU94" s="154" t="s">
        <v>1412</v>
      </c>
    </row>
    <row r="95" spans="1:47" x14ac:dyDescent="0.45">
      <c r="A95" s="154">
        <v>2505700018</v>
      </c>
      <c r="B95" s="154">
        <v>57</v>
      </c>
      <c r="C95" s="154" t="s">
        <v>1551</v>
      </c>
      <c r="D95" s="154">
        <v>57</v>
      </c>
      <c r="E95" s="154" t="s">
        <v>1552</v>
      </c>
      <c r="F95" s="154" t="s">
        <v>2923</v>
      </c>
      <c r="G95" s="154" t="s">
        <v>2924</v>
      </c>
      <c r="H95" s="154">
        <v>1</v>
      </c>
      <c r="I95" s="154" t="s">
        <v>2925</v>
      </c>
      <c r="J95" s="154" t="s">
        <v>1403</v>
      </c>
      <c r="K95" s="154">
        <v>2025</v>
      </c>
      <c r="L95" s="155">
        <v>2025</v>
      </c>
      <c r="M95" s="156">
        <v>45672</v>
      </c>
      <c r="N95" s="154" t="s">
        <v>36</v>
      </c>
      <c r="O95" s="154">
        <v>58</v>
      </c>
      <c r="P95" s="154">
        <v>427</v>
      </c>
      <c r="Q95" s="154" t="s">
        <v>1479</v>
      </c>
      <c r="R95" s="154">
        <v>2</v>
      </c>
      <c r="S95" s="154">
        <v>2</v>
      </c>
      <c r="T95" s="154" t="s">
        <v>1464</v>
      </c>
      <c r="U95" s="154">
        <v>1</v>
      </c>
      <c r="V95" s="155">
        <v>2580120</v>
      </c>
      <c r="W95" s="155">
        <v>0</v>
      </c>
      <c r="X95" s="155" t="s">
        <v>1406</v>
      </c>
      <c r="Y95" s="154"/>
      <c r="Z95" s="154" t="s">
        <v>1407</v>
      </c>
      <c r="AA95" s="156">
        <v>45686</v>
      </c>
      <c r="AB95" s="154">
        <v>25</v>
      </c>
      <c r="AC95" s="154">
        <v>80120</v>
      </c>
      <c r="AD95" s="154">
        <v>57</v>
      </c>
      <c r="AE95" s="154" t="s">
        <v>1551</v>
      </c>
      <c r="AF95" s="154">
        <v>57</v>
      </c>
      <c r="AG95" s="154" t="s">
        <v>1552</v>
      </c>
      <c r="AH95" s="154" t="s">
        <v>36</v>
      </c>
      <c r="AI95" s="154">
        <v>58</v>
      </c>
      <c r="AJ95" s="154">
        <v>427</v>
      </c>
      <c r="AK95" s="154" t="s">
        <v>1407</v>
      </c>
      <c r="AL95" s="154">
        <v>28203</v>
      </c>
      <c r="AM95" s="154" t="s">
        <v>1418</v>
      </c>
      <c r="AN95" s="154" t="s">
        <v>1619</v>
      </c>
      <c r="AO95" s="154">
        <v>28</v>
      </c>
      <c r="AP95" s="154" t="s">
        <v>1416</v>
      </c>
      <c r="AQ95" s="154">
        <v>0</v>
      </c>
      <c r="AR95" s="154" t="s">
        <v>1410</v>
      </c>
      <c r="AS95" s="154"/>
      <c r="AT95" s="154" t="s">
        <v>1417</v>
      </c>
      <c r="AU95" s="154" t="s">
        <v>1412</v>
      </c>
    </row>
    <row r="96" spans="1:47" x14ac:dyDescent="0.45">
      <c r="A96" s="154">
        <v>2505700019</v>
      </c>
      <c r="B96" s="154">
        <v>57</v>
      </c>
      <c r="C96" s="154" t="s">
        <v>1551</v>
      </c>
      <c r="D96" s="154">
        <v>57</v>
      </c>
      <c r="E96" s="154" t="s">
        <v>1552</v>
      </c>
      <c r="F96" s="154" t="s">
        <v>2926</v>
      </c>
      <c r="G96" s="154" t="s">
        <v>2927</v>
      </c>
      <c r="H96" s="154">
        <v>1</v>
      </c>
      <c r="I96" s="154" t="s">
        <v>2928</v>
      </c>
      <c r="J96" s="154" t="s">
        <v>1403</v>
      </c>
      <c r="K96" s="154">
        <v>2025</v>
      </c>
      <c r="L96" s="155">
        <v>2025</v>
      </c>
      <c r="M96" s="156">
        <v>45674</v>
      </c>
      <c r="N96" s="154" t="s">
        <v>36</v>
      </c>
      <c r="O96" s="154">
        <v>6</v>
      </c>
      <c r="P96" s="154">
        <v>448</v>
      </c>
      <c r="Q96" s="154" t="s">
        <v>1557</v>
      </c>
      <c r="R96" s="154">
        <v>2</v>
      </c>
      <c r="S96" s="154">
        <v>1</v>
      </c>
      <c r="T96" s="154" t="s">
        <v>1527</v>
      </c>
      <c r="U96" s="154">
        <v>3</v>
      </c>
      <c r="V96" s="155">
        <v>2580136</v>
      </c>
      <c r="W96" s="155">
        <v>0</v>
      </c>
      <c r="X96" s="155" t="s">
        <v>1406</v>
      </c>
      <c r="Y96" s="154"/>
      <c r="Z96" s="154" t="s">
        <v>2929</v>
      </c>
      <c r="AA96" s="156">
        <v>45692</v>
      </c>
      <c r="AB96" s="154">
        <v>25</v>
      </c>
      <c r="AC96" s="154">
        <v>80136</v>
      </c>
      <c r="AD96" s="154">
        <v>57</v>
      </c>
      <c r="AE96" s="154" t="s">
        <v>1551</v>
      </c>
      <c r="AF96" s="154">
        <v>57</v>
      </c>
      <c r="AG96" s="154" t="s">
        <v>1552</v>
      </c>
      <c r="AH96" s="154" t="s">
        <v>36</v>
      </c>
      <c r="AI96" s="154">
        <v>6</v>
      </c>
      <c r="AJ96" s="154">
        <v>448</v>
      </c>
      <c r="AK96" s="154" t="s">
        <v>1407</v>
      </c>
      <c r="AL96" s="154">
        <v>28098</v>
      </c>
      <c r="AM96" s="154" t="s">
        <v>1418</v>
      </c>
      <c r="AN96" s="154" t="s">
        <v>1448</v>
      </c>
      <c r="AO96" s="154">
        <v>28</v>
      </c>
      <c r="AP96" s="154" t="s">
        <v>1416</v>
      </c>
      <c r="AQ96" s="154">
        <v>0</v>
      </c>
      <c r="AR96" s="154" t="s">
        <v>1410</v>
      </c>
      <c r="AS96" s="154"/>
      <c r="AT96" s="154" t="s">
        <v>1417</v>
      </c>
      <c r="AU96" s="154" t="s">
        <v>1412</v>
      </c>
    </row>
    <row r="97" spans="1:47" x14ac:dyDescent="0.45">
      <c r="A97" s="154">
        <v>2505700020</v>
      </c>
      <c r="B97" s="154">
        <v>57</v>
      </c>
      <c r="C97" s="154" t="s">
        <v>1551</v>
      </c>
      <c r="D97" s="154">
        <v>57</v>
      </c>
      <c r="E97" s="154" t="s">
        <v>1552</v>
      </c>
      <c r="F97" s="154" t="s">
        <v>2930</v>
      </c>
      <c r="G97" s="154" t="s">
        <v>2931</v>
      </c>
      <c r="H97" s="154">
        <v>2</v>
      </c>
      <c r="I97" s="154" t="s">
        <v>1920</v>
      </c>
      <c r="J97" s="154" t="s">
        <v>1403</v>
      </c>
      <c r="K97" s="154">
        <v>2025</v>
      </c>
      <c r="L97" s="155">
        <v>2025</v>
      </c>
      <c r="M97" s="156">
        <v>45678</v>
      </c>
      <c r="N97" s="154" t="s">
        <v>36</v>
      </c>
      <c r="O97" s="154" t="s">
        <v>51</v>
      </c>
      <c r="P97" s="154">
        <v>857</v>
      </c>
      <c r="Q97" s="154" t="s">
        <v>1481</v>
      </c>
      <c r="R97" s="154">
        <v>1</v>
      </c>
      <c r="S97" s="154">
        <v>2</v>
      </c>
      <c r="T97" s="154" t="s">
        <v>1464</v>
      </c>
      <c r="U97" s="154">
        <v>1</v>
      </c>
      <c r="V97" s="155">
        <v>2580137</v>
      </c>
      <c r="W97" s="155">
        <v>0</v>
      </c>
      <c r="X97" s="155" t="s">
        <v>1406</v>
      </c>
      <c r="Y97" s="154"/>
      <c r="Z97" s="154" t="s">
        <v>1424</v>
      </c>
      <c r="AA97" s="156">
        <v>45692</v>
      </c>
      <c r="AB97" s="154">
        <v>25</v>
      </c>
      <c r="AC97" s="154">
        <v>80137</v>
      </c>
      <c r="AD97" s="154">
        <v>57</v>
      </c>
      <c r="AE97" s="154" t="s">
        <v>1551</v>
      </c>
      <c r="AF97" s="154">
        <v>57</v>
      </c>
      <c r="AG97" s="154" t="s">
        <v>1552</v>
      </c>
      <c r="AH97" s="154" t="s">
        <v>36</v>
      </c>
      <c r="AI97" s="154" t="s">
        <v>51</v>
      </c>
      <c r="AJ97" s="154">
        <v>857</v>
      </c>
      <c r="AK97" s="154" t="s">
        <v>1407</v>
      </c>
      <c r="AL97" s="154">
        <v>28137</v>
      </c>
      <c r="AM97" s="154" t="s">
        <v>1418</v>
      </c>
      <c r="AN97" s="154" t="s">
        <v>1609</v>
      </c>
      <c r="AO97" s="154">
        <v>28</v>
      </c>
      <c r="AP97" s="154" t="s">
        <v>1416</v>
      </c>
      <c r="AQ97" s="154">
        <v>0</v>
      </c>
      <c r="AR97" s="154" t="s">
        <v>1410</v>
      </c>
      <c r="AS97" s="154"/>
      <c r="AT97" s="154" t="s">
        <v>1417</v>
      </c>
      <c r="AU97" s="154" t="s">
        <v>1412</v>
      </c>
    </row>
    <row r="98" spans="1:47" x14ac:dyDescent="0.45">
      <c r="A98" s="154">
        <v>2505700021</v>
      </c>
      <c r="B98" s="154">
        <v>57</v>
      </c>
      <c r="C98" s="154" t="s">
        <v>1551</v>
      </c>
      <c r="D98" s="154">
        <v>57</v>
      </c>
      <c r="E98" s="154" t="s">
        <v>1552</v>
      </c>
      <c r="F98" s="154" t="s">
        <v>2932</v>
      </c>
      <c r="G98" s="154" t="s">
        <v>2933</v>
      </c>
      <c r="H98" s="154">
        <v>1</v>
      </c>
      <c r="I98" s="154" t="s">
        <v>108</v>
      </c>
      <c r="J98" s="154" t="s">
        <v>1403</v>
      </c>
      <c r="K98" s="154">
        <v>2025</v>
      </c>
      <c r="L98" s="155">
        <v>2025</v>
      </c>
      <c r="M98" s="156">
        <v>45682</v>
      </c>
      <c r="N98" s="154" t="s">
        <v>36</v>
      </c>
      <c r="O98" s="154">
        <v>58</v>
      </c>
      <c r="P98" s="154">
        <v>428</v>
      </c>
      <c r="Q98" s="154" t="s">
        <v>1463</v>
      </c>
      <c r="R98" s="154">
        <v>2</v>
      </c>
      <c r="S98" s="154">
        <v>2</v>
      </c>
      <c r="T98" s="154" t="s">
        <v>1464</v>
      </c>
      <c r="U98" s="154">
        <v>1</v>
      </c>
      <c r="V98" s="155">
        <v>2580165</v>
      </c>
      <c r="W98" s="155">
        <v>0</v>
      </c>
      <c r="X98" s="155" t="s">
        <v>1406</v>
      </c>
      <c r="Y98" s="154"/>
      <c r="Z98" s="154" t="s">
        <v>1424</v>
      </c>
      <c r="AA98" s="156">
        <v>45726</v>
      </c>
      <c r="AB98" s="154">
        <v>25</v>
      </c>
      <c r="AC98" s="154">
        <v>80165</v>
      </c>
      <c r="AD98" s="154">
        <v>57</v>
      </c>
      <c r="AE98" s="154" t="s">
        <v>1551</v>
      </c>
      <c r="AF98" s="154">
        <v>57</v>
      </c>
      <c r="AG98" s="154" t="s">
        <v>1552</v>
      </c>
      <c r="AH98" s="154" t="s">
        <v>36</v>
      </c>
      <c r="AI98" s="154">
        <v>58</v>
      </c>
      <c r="AJ98" s="154">
        <v>428</v>
      </c>
      <c r="AK98" s="154" t="s">
        <v>1407</v>
      </c>
      <c r="AL98" s="154">
        <v>36006</v>
      </c>
      <c r="AM98" s="154" t="s">
        <v>1421</v>
      </c>
      <c r="AN98" s="154" t="s">
        <v>2934</v>
      </c>
      <c r="AO98" s="154">
        <v>36</v>
      </c>
      <c r="AP98" s="154" t="s">
        <v>1603</v>
      </c>
      <c r="AQ98" s="154">
        <v>0</v>
      </c>
      <c r="AR98" s="154" t="s">
        <v>1410</v>
      </c>
      <c r="AS98" s="154"/>
      <c r="AT98" s="154" t="s">
        <v>1417</v>
      </c>
      <c r="AU98" s="154" t="s">
        <v>1412</v>
      </c>
    </row>
    <row r="99" spans="1:47" x14ac:dyDescent="0.45">
      <c r="A99" s="154">
        <v>2505700022</v>
      </c>
      <c r="B99" s="154">
        <v>57</v>
      </c>
      <c r="C99" s="154" t="s">
        <v>1551</v>
      </c>
      <c r="D99" s="154">
        <v>57</v>
      </c>
      <c r="E99" s="154" t="s">
        <v>1552</v>
      </c>
      <c r="F99" s="154" t="s">
        <v>2935</v>
      </c>
      <c r="G99" s="154" t="s">
        <v>2936</v>
      </c>
      <c r="H99" s="154">
        <v>2</v>
      </c>
      <c r="I99" s="154" t="s">
        <v>56</v>
      </c>
      <c r="J99" s="154" t="s">
        <v>1403</v>
      </c>
      <c r="K99" s="154">
        <v>0</v>
      </c>
      <c r="L99" s="155">
        <v>2025</v>
      </c>
      <c r="M99" s="156">
        <v>45686</v>
      </c>
      <c r="N99" s="154" t="s">
        <v>36</v>
      </c>
      <c r="O99" s="154">
        <v>57</v>
      </c>
      <c r="P99" s="154">
        <v>813</v>
      </c>
      <c r="Q99" s="154" t="s">
        <v>1580</v>
      </c>
      <c r="R99" s="154">
        <v>2</v>
      </c>
      <c r="S99" s="154">
        <v>3</v>
      </c>
      <c r="T99" s="154" t="s">
        <v>1477</v>
      </c>
      <c r="U99" s="154">
        <v>4</v>
      </c>
      <c r="V99" s="155">
        <v>2580149</v>
      </c>
      <c r="W99" s="155">
        <v>0</v>
      </c>
      <c r="X99" s="155" t="s">
        <v>1406</v>
      </c>
      <c r="Y99" s="154"/>
      <c r="Z99" s="154" t="s">
        <v>1407</v>
      </c>
      <c r="AA99" s="156">
        <v>45709</v>
      </c>
      <c r="AB99" s="154">
        <v>25</v>
      </c>
      <c r="AC99" s="154">
        <v>80149</v>
      </c>
      <c r="AD99" s="154">
        <v>57</v>
      </c>
      <c r="AE99" s="154" t="s">
        <v>1551</v>
      </c>
      <c r="AF99" s="154">
        <v>57</v>
      </c>
      <c r="AG99" s="154" t="s">
        <v>1552</v>
      </c>
      <c r="AH99" s="154" t="s">
        <v>36</v>
      </c>
      <c r="AI99" s="154">
        <v>57</v>
      </c>
      <c r="AJ99" s="154">
        <v>813</v>
      </c>
      <c r="AK99" s="154" t="s">
        <v>1407</v>
      </c>
      <c r="AL99" s="154">
        <v>34101</v>
      </c>
      <c r="AM99" s="154" t="s">
        <v>1418</v>
      </c>
      <c r="AN99" s="154" t="s">
        <v>2937</v>
      </c>
      <c r="AO99" s="154">
        <v>34</v>
      </c>
      <c r="AP99" s="154" t="s">
        <v>1498</v>
      </c>
      <c r="AQ99" s="154">
        <v>0</v>
      </c>
      <c r="AR99" s="154" t="s">
        <v>1410</v>
      </c>
      <c r="AS99" s="154"/>
      <c r="AT99" s="154" t="s">
        <v>1411</v>
      </c>
      <c r="AU99" s="154" t="s">
        <v>1412</v>
      </c>
    </row>
    <row r="100" spans="1:47" x14ac:dyDescent="0.45">
      <c r="A100" s="154">
        <v>2505700025</v>
      </c>
      <c r="B100" s="154">
        <v>57</v>
      </c>
      <c r="C100" s="154" t="s">
        <v>1551</v>
      </c>
      <c r="D100" s="154">
        <v>57</v>
      </c>
      <c r="E100" s="154" t="s">
        <v>1552</v>
      </c>
      <c r="F100" s="154" t="s">
        <v>2938</v>
      </c>
      <c r="G100" s="154" t="s">
        <v>2939</v>
      </c>
      <c r="H100" s="154">
        <v>1</v>
      </c>
      <c r="I100" s="154" t="s">
        <v>2940</v>
      </c>
      <c r="J100" s="154" t="s">
        <v>1569</v>
      </c>
      <c r="K100" s="154">
        <v>0</v>
      </c>
      <c r="L100" s="155">
        <v>2025</v>
      </c>
      <c r="M100" s="156">
        <v>45694</v>
      </c>
      <c r="N100" s="154" t="s">
        <v>36</v>
      </c>
      <c r="O100" s="154" t="s">
        <v>135</v>
      </c>
      <c r="P100" s="154">
        <v>502</v>
      </c>
      <c r="Q100" s="154" t="s">
        <v>1500</v>
      </c>
      <c r="R100" s="154">
        <v>2</v>
      </c>
      <c r="S100" s="154">
        <v>5</v>
      </c>
      <c r="T100" s="154" t="s">
        <v>1470</v>
      </c>
      <c r="U100" s="154">
        <v>15</v>
      </c>
      <c r="V100" s="155">
        <v>0</v>
      </c>
      <c r="W100" s="155">
        <v>0</v>
      </c>
      <c r="X100" s="155" t="s">
        <v>1406</v>
      </c>
      <c r="Y100" s="156">
        <v>45708</v>
      </c>
      <c r="Z100" s="154" t="s">
        <v>1407</v>
      </c>
      <c r="AA100" s="154"/>
      <c r="AB100" s="154">
        <v>0</v>
      </c>
      <c r="AC100" s="154">
        <v>0</v>
      </c>
      <c r="AD100" s="154">
        <v>0</v>
      </c>
      <c r="AE100" s="154" t="s">
        <v>1446</v>
      </c>
      <c r="AF100" s="154"/>
      <c r="AG100" s="154" t="s">
        <v>1446</v>
      </c>
      <c r="AH100" s="154"/>
      <c r="AI100" s="154"/>
      <c r="AJ100" s="154">
        <v>0</v>
      </c>
      <c r="AK100" s="154" t="s">
        <v>1407</v>
      </c>
      <c r="AL100" s="154">
        <v>32030</v>
      </c>
      <c r="AM100" s="154" t="s">
        <v>1421</v>
      </c>
      <c r="AN100" s="154" t="s">
        <v>2941</v>
      </c>
      <c r="AO100" s="154">
        <v>32</v>
      </c>
      <c r="AP100" s="154" t="s">
        <v>1570</v>
      </c>
      <c r="AQ100" s="154">
        <v>0</v>
      </c>
      <c r="AR100" s="154" t="s">
        <v>1410</v>
      </c>
      <c r="AS100" s="154"/>
      <c r="AT100" s="154" t="s">
        <v>1411</v>
      </c>
      <c r="AU100" s="154" t="s">
        <v>1412</v>
      </c>
    </row>
    <row r="101" spans="1:47" x14ac:dyDescent="0.45">
      <c r="A101" s="154">
        <v>2505700026</v>
      </c>
      <c r="B101" s="154">
        <v>57</v>
      </c>
      <c r="C101" s="154" t="s">
        <v>1551</v>
      </c>
      <c r="D101" s="154">
        <v>57</v>
      </c>
      <c r="E101" s="154" t="s">
        <v>1552</v>
      </c>
      <c r="F101" s="154" t="s">
        <v>2942</v>
      </c>
      <c r="G101" s="154" t="s">
        <v>2943</v>
      </c>
      <c r="H101" s="154">
        <v>1</v>
      </c>
      <c r="I101" s="154" t="s">
        <v>2445</v>
      </c>
      <c r="J101" s="154" t="s">
        <v>1403</v>
      </c>
      <c r="K101" s="154">
        <v>2025</v>
      </c>
      <c r="L101" s="155">
        <v>2025</v>
      </c>
      <c r="M101" s="156">
        <v>45699</v>
      </c>
      <c r="N101" s="154" t="s">
        <v>36</v>
      </c>
      <c r="O101" s="154">
        <v>7</v>
      </c>
      <c r="P101" s="154">
        <v>265</v>
      </c>
      <c r="Q101" s="154" t="s">
        <v>1562</v>
      </c>
      <c r="R101" s="154">
        <v>2</v>
      </c>
      <c r="S101" s="154">
        <v>1</v>
      </c>
      <c r="T101" s="154" t="s">
        <v>1527</v>
      </c>
      <c r="U101" s="154">
        <v>3</v>
      </c>
      <c r="V101" s="155">
        <v>2580148</v>
      </c>
      <c r="W101" s="155">
        <v>0</v>
      </c>
      <c r="X101" s="155" t="s">
        <v>1406</v>
      </c>
      <c r="Y101" s="154"/>
      <c r="Z101" s="154" t="s">
        <v>1424</v>
      </c>
      <c r="AA101" s="156">
        <v>45707</v>
      </c>
      <c r="AB101" s="154">
        <v>25</v>
      </c>
      <c r="AC101" s="154">
        <v>80148</v>
      </c>
      <c r="AD101" s="154">
        <v>57</v>
      </c>
      <c r="AE101" s="154" t="s">
        <v>1551</v>
      </c>
      <c r="AF101" s="154">
        <v>57</v>
      </c>
      <c r="AG101" s="154" t="s">
        <v>1552</v>
      </c>
      <c r="AH101" s="154" t="s">
        <v>36</v>
      </c>
      <c r="AI101" s="154">
        <v>7</v>
      </c>
      <c r="AJ101" s="154">
        <v>265</v>
      </c>
      <c r="AK101" s="154" t="s">
        <v>1407</v>
      </c>
      <c r="AL101" s="154">
        <v>28098</v>
      </c>
      <c r="AM101" s="154" t="s">
        <v>1418</v>
      </c>
      <c r="AN101" s="154" t="s">
        <v>1448</v>
      </c>
      <c r="AO101" s="154">
        <v>28</v>
      </c>
      <c r="AP101" s="154" t="s">
        <v>1416</v>
      </c>
      <c r="AQ101" s="154">
        <v>0</v>
      </c>
      <c r="AR101" s="154" t="s">
        <v>1410</v>
      </c>
      <c r="AS101" s="154"/>
      <c r="AT101" s="154" t="s">
        <v>1417</v>
      </c>
      <c r="AU101" s="154" t="s">
        <v>1412</v>
      </c>
    </row>
    <row r="102" spans="1:47" x14ac:dyDescent="0.45">
      <c r="A102" s="154">
        <v>2505700027</v>
      </c>
      <c r="B102" s="154">
        <v>57</v>
      </c>
      <c r="C102" s="154" t="s">
        <v>1551</v>
      </c>
      <c r="D102" s="154">
        <v>57</v>
      </c>
      <c r="E102" s="154" t="s">
        <v>1552</v>
      </c>
      <c r="F102" s="154" t="s">
        <v>2944</v>
      </c>
      <c r="G102" s="154" t="s">
        <v>2945</v>
      </c>
      <c r="H102" s="154">
        <v>2</v>
      </c>
      <c r="I102" s="154" t="s">
        <v>125</v>
      </c>
      <c r="J102" s="154" t="s">
        <v>1403</v>
      </c>
      <c r="K102" s="154">
        <v>2025</v>
      </c>
      <c r="L102" s="155">
        <v>2025</v>
      </c>
      <c r="M102" s="156">
        <v>45701</v>
      </c>
      <c r="N102" s="154" t="s">
        <v>36</v>
      </c>
      <c r="O102" s="154">
        <v>58</v>
      </c>
      <c r="P102" s="154">
        <v>968</v>
      </c>
      <c r="Q102" s="154" t="s">
        <v>1474</v>
      </c>
      <c r="R102" s="154">
        <v>2</v>
      </c>
      <c r="S102" s="154">
        <v>2</v>
      </c>
      <c r="T102" s="154" t="s">
        <v>1464</v>
      </c>
      <c r="U102" s="154">
        <v>1</v>
      </c>
      <c r="V102" s="155">
        <v>2580151</v>
      </c>
      <c r="W102" s="155">
        <v>0</v>
      </c>
      <c r="X102" s="155" t="s">
        <v>1406</v>
      </c>
      <c r="Y102" s="154"/>
      <c r="Z102" s="154" t="s">
        <v>1407</v>
      </c>
      <c r="AA102" s="156">
        <v>45713</v>
      </c>
      <c r="AB102" s="154">
        <v>25</v>
      </c>
      <c r="AC102" s="154">
        <v>80151</v>
      </c>
      <c r="AD102" s="154">
        <v>57</v>
      </c>
      <c r="AE102" s="154" t="s">
        <v>1551</v>
      </c>
      <c r="AF102" s="154">
        <v>57</v>
      </c>
      <c r="AG102" s="154" t="s">
        <v>1552</v>
      </c>
      <c r="AH102" s="154" t="s">
        <v>36</v>
      </c>
      <c r="AI102" s="154">
        <v>58</v>
      </c>
      <c r="AJ102" s="154">
        <v>968</v>
      </c>
      <c r="AK102" s="154" t="s">
        <v>1407</v>
      </c>
      <c r="AL102" s="154">
        <v>28204</v>
      </c>
      <c r="AM102" s="154" t="s">
        <v>1418</v>
      </c>
      <c r="AN102" s="154" t="s">
        <v>2809</v>
      </c>
      <c r="AO102" s="154">
        <v>28</v>
      </c>
      <c r="AP102" s="154" t="s">
        <v>1416</v>
      </c>
      <c r="AQ102" s="154">
        <v>0</v>
      </c>
      <c r="AR102" s="154" t="s">
        <v>1410</v>
      </c>
      <c r="AS102" s="154"/>
      <c r="AT102" s="154" t="s">
        <v>1417</v>
      </c>
      <c r="AU102" s="154" t="s">
        <v>1412</v>
      </c>
    </row>
    <row r="103" spans="1:47" x14ac:dyDescent="0.45">
      <c r="A103" s="154">
        <v>2505700028</v>
      </c>
      <c r="B103" s="154">
        <v>57</v>
      </c>
      <c r="C103" s="154" t="s">
        <v>1551</v>
      </c>
      <c r="D103" s="154">
        <v>57</v>
      </c>
      <c r="E103" s="154" t="s">
        <v>1552</v>
      </c>
      <c r="F103" s="154" t="s">
        <v>2946</v>
      </c>
      <c r="G103" s="154" t="s">
        <v>2947</v>
      </c>
      <c r="H103" s="154">
        <v>2</v>
      </c>
      <c r="I103" s="154" t="s">
        <v>1883</v>
      </c>
      <c r="J103" s="154" t="s">
        <v>1403</v>
      </c>
      <c r="K103" s="154">
        <v>0</v>
      </c>
      <c r="L103" s="155">
        <v>2025</v>
      </c>
      <c r="M103" s="156">
        <v>45703</v>
      </c>
      <c r="N103" s="154" t="s">
        <v>36</v>
      </c>
      <c r="O103" s="154">
        <v>57</v>
      </c>
      <c r="P103" s="154">
        <v>1044</v>
      </c>
      <c r="Q103" s="154" t="s">
        <v>1476</v>
      </c>
      <c r="R103" s="154">
        <v>2</v>
      </c>
      <c r="S103" s="154">
        <v>3</v>
      </c>
      <c r="T103" s="154" t="s">
        <v>1477</v>
      </c>
      <c r="U103" s="154">
        <v>4</v>
      </c>
      <c r="V103" s="155">
        <v>2580157</v>
      </c>
      <c r="W103" s="155">
        <v>0</v>
      </c>
      <c r="X103" s="155" t="s">
        <v>1406</v>
      </c>
      <c r="Y103" s="154"/>
      <c r="Z103" s="154" t="s">
        <v>1407</v>
      </c>
      <c r="AA103" s="156">
        <v>45719</v>
      </c>
      <c r="AB103" s="154">
        <v>25</v>
      </c>
      <c r="AC103" s="154">
        <v>80157</v>
      </c>
      <c r="AD103" s="154">
        <v>57</v>
      </c>
      <c r="AE103" s="154" t="s">
        <v>1551</v>
      </c>
      <c r="AF103" s="154">
        <v>57</v>
      </c>
      <c r="AG103" s="154" t="s">
        <v>1552</v>
      </c>
      <c r="AH103" s="154" t="s">
        <v>36</v>
      </c>
      <c r="AI103" s="154">
        <v>57</v>
      </c>
      <c r="AJ103" s="154">
        <v>1044</v>
      </c>
      <c r="AK103" s="154" t="s">
        <v>1407</v>
      </c>
      <c r="AL103" s="154">
        <v>8156</v>
      </c>
      <c r="AM103" s="154" t="s">
        <v>1421</v>
      </c>
      <c r="AN103" s="154" t="s">
        <v>2948</v>
      </c>
      <c r="AO103" s="154">
        <v>8</v>
      </c>
      <c r="AP103" s="154" t="s">
        <v>1529</v>
      </c>
      <c r="AQ103" s="154">
        <v>0</v>
      </c>
      <c r="AR103" s="154" t="s">
        <v>1410</v>
      </c>
      <c r="AS103" s="154"/>
      <c r="AT103" s="154" t="s">
        <v>1411</v>
      </c>
      <c r="AU103" s="154" t="s">
        <v>1412</v>
      </c>
    </row>
    <row r="104" spans="1:47" x14ac:dyDescent="0.45">
      <c r="A104" s="154">
        <v>2505700029</v>
      </c>
      <c r="B104" s="154">
        <v>57</v>
      </c>
      <c r="C104" s="154" t="s">
        <v>1551</v>
      </c>
      <c r="D104" s="154">
        <v>57</v>
      </c>
      <c r="E104" s="154" t="s">
        <v>1552</v>
      </c>
      <c r="F104" s="154" t="s">
        <v>2949</v>
      </c>
      <c r="G104" s="154" t="s">
        <v>2950</v>
      </c>
      <c r="H104" s="154">
        <v>1</v>
      </c>
      <c r="I104" s="154" t="s">
        <v>2951</v>
      </c>
      <c r="J104" s="154" t="s">
        <v>1403</v>
      </c>
      <c r="K104" s="154">
        <v>0</v>
      </c>
      <c r="L104" s="155">
        <v>2025</v>
      </c>
      <c r="M104" s="156">
        <v>45703</v>
      </c>
      <c r="N104" s="154" t="s">
        <v>36</v>
      </c>
      <c r="O104" s="154">
        <v>57</v>
      </c>
      <c r="P104" s="154">
        <v>1044</v>
      </c>
      <c r="Q104" s="154" t="s">
        <v>1476</v>
      </c>
      <c r="R104" s="154">
        <v>2</v>
      </c>
      <c r="S104" s="154">
        <v>3</v>
      </c>
      <c r="T104" s="154" t="s">
        <v>1477</v>
      </c>
      <c r="U104" s="154">
        <v>4</v>
      </c>
      <c r="V104" s="155">
        <v>2580155</v>
      </c>
      <c r="W104" s="155">
        <v>0</v>
      </c>
      <c r="X104" s="155" t="s">
        <v>1406</v>
      </c>
      <c r="Y104" s="154"/>
      <c r="Z104" s="154" t="s">
        <v>1407</v>
      </c>
      <c r="AA104" s="156">
        <v>45719</v>
      </c>
      <c r="AB104" s="154">
        <v>25</v>
      </c>
      <c r="AC104" s="154">
        <v>80155</v>
      </c>
      <c r="AD104" s="154">
        <v>57</v>
      </c>
      <c r="AE104" s="154" t="s">
        <v>1551</v>
      </c>
      <c r="AF104" s="154">
        <v>57</v>
      </c>
      <c r="AG104" s="154" t="s">
        <v>1552</v>
      </c>
      <c r="AH104" s="154" t="s">
        <v>36</v>
      </c>
      <c r="AI104" s="154">
        <v>57</v>
      </c>
      <c r="AJ104" s="154">
        <v>1044</v>
      </c>
      <c r="AK104" s="154" t="s">
        <v>1407</v>
      </c>
      <c r="AL104" s="154">
        <v>28223</v>
      </c>
      <c r="AM104" s="154" t="s">
        <v>1421</v>
      </c>
      <c r="AN104" s="154" t="s">
        <v>2952</v>
      </c>
      <c r="AO104" s="154">
        <v>28</v>
      </c>
      <c r="AP104" s="154" t="s">
        <v>1416</v>
      </c>
      <c r="AQ104" s="154">
        <v>0</v>
      </c>
      <c r="AR104" s="154" t="s">
        <v>1410</v>
      </c>
      <c r="AS104" s="154"/>
      <c r="AT104" s="154" t="s">
        <v>1411</v>
      </c>
      <c r="AU104" s="154" t="s">
        <v>1412</v>
      </c>
    </row>
    <row r="105" spans="1:47" x14ac:dyDescent="0.45">
      <c r="A105" s="154">
        <v>2505700030</v>
      </c>
      <c r="B105" s="154">
        <v>57</v>
      </c>
      <c r="C105" s="154" t="s">
        <v>1551</v>
      </c>
      <c r="D105" s="154">
        <v>57</v>
      </c>
      <c r="E105" s="154" t="s">
        <v>1552</v>
      </c>
      <c r="F105" s="154" t="s">
        <v>2953</v>
      </c>
      <c r="G105" s="154" t="s">
        <v>2954</v>
      </c>
      <c r="H105" s="154">
        <v>2</v>
      </c>
      <c r="I105" s="154" t="s">
        <v>2955</v>
      </c>
      <c r="J105" s="154" t="s">
        <v>1403</v>
      </c>
      <c r="K105" s="154">
        <v>0</v>
      </c>
      <c r="L105" s="155">
        <v>2025</v>
      </c>
      <c r="M105" s="156">
        <v>45706</v>
      </c>
      <c r="N105" s="154" t="s">
        <v>36</v>
      </c>
      <c r="O105" s="154" t="s">
        <v>2956</v>
      </c>
      <c r="P105" s="154">
        <v>1</v>
      </c>
      <c r="Q105" s="154" t="s">
        <v>2957</v>
      </c>
      <c r="R105" s="154">
        <v>1</v>
      </c>
      <c r="S105" s="154">
        <v>1</v>
      </c>
      <c r="T105" s="154" t="s">
        <v>1527</v>
      </c>
      <c r="U105" s="154">
        <v>3</v>
      </c>
      <c r="V105" s="155">
        <v>2580177</v>
      </c>
      <c r="W105" s="155">
        <v>0</v>
      </c>
      <c r="X105" s="155" t="s">
        <v>1406</v>
      </c>
      <c r="Y105" s="154"/>
      <c r="Z105" s="154" t="s">
        <v>2958</v>
      </c>
      <c r="AA105" s="156">
        <v>45733</v>
      </c>
      <c r="AB105" s="154">
        <v>25</v>
      </c>
      <c r="AC105" s="154">
        <v>80177</v>
      </c>
      <c r="AD105" s="154">
        <v>57</v>
      </c>
      <c r="AE105" s="154" t="s">
        <v>1551</v>
      </c>
      <c r="AF105" s="154">
        <v>57</v>
      </c>
      <c r="AG105" s="154" t="s">
        <v>1552</v>
      </c>
      <c r="AH105" s="154" t="s">
        <v>36</v>
      </c>
      <c r="AI105" s="154" t="s">
        <v>2956</v>
      </c>
      <c r="AJ105" s="154">
        <v>1</v>
      </c>
      <c r="AK105" s="154" t="s">
        <v>1407</v>
      </c>
      <c r="AL105" s="154">
        <v>37021</v>
      </c>
      <c r="AM105" s="154" t="s">
        <v>1418</v>
      </c>
      <c r="AN105" s="154" t="s">
        <v>2959</v>
      </c>
      <c r="AO105" s="154">
        <v>37</v>
      </c>
      <c r="AP105" s="154" t="s">
        <v>1573</v>
      </c>
      <c r="AQ105" s="154">
        <v>0</v>
      </c>
      <c r="AR105" s="154" t="s">
        <v>1410</v>
      </c>
      <c r="AS105" s="154"/>
      <c r="AT105" s="154" t="s">
        <v>1411</v>
      </c>
      <c r="AU105" s="154" t="s">
        <v>2958</v>
      </c>
    </row>
    <row r="106" spans="1:47" x14ac:dyDescent="0.45">
      <c r="A106" s="154">
        <v>2505700031</v>
      </c>
      <c r="B106" s="154">
        <v>57</v>
      </c>
      <c r="C106" s="154" t="s">
        <v>1551</v>
      </c>
      <c r="D106" s="154">
        <v>57</v>
      </c>
      <c r="E106" s="154" t="s">
        <v>1552</v>
      </c>
      <c r="F106" s="154" t="s">
        <v>2960</v>
      </c>
      <c r="G106" s="154" t="s">
        <v>2961</v>
      </c>
      <c r="H106" s="154">
        <v>2</v>
      </c>
      <c r="I106" s="154" t="s">
        <v>1152</v>
      </c>
      <c r="J106" s="154" t="s">
        <v>1403</v>
      </c>
      <c r="K106" s="154">
        <v>0</v>
      </c>
      <c r="L106" s="155">
        <v>2025</v>
      </c>
      <c r="M106" s="156">
        <v>45706</v>
      </c>
      <c r="N106" s="154" t="s">
        <v>36</v>
      </c>
      <c r="O106" s="154" t="s">
        <v>2956</v>
      </c>
      <c r="P106" s="154">
        <v>1</v>
      </c>
      <c r="Q106" s="154" t="s">
        <v>2957</v>
      </c>
      <c r="R106" s="154">
        <v>1</v>
      </c>
      <c r="S106" s="154">
        <v>1</v>
      </c>
      <c r="T106" s="154" t="s">
        <v>1527</v>
      </c>
      <c r="U106" s="154">
        <v>3</v>
      </c>
      <c r="V106" s="155">
        <v>2580167</v>
      </c>
      <c r="W106" s="155">
        <v>0</v>
      </c>
      <c r="X106" s="155" t="s">
        <v>1406</v>
      </c>
      <c r="Y106" s="154"/>
      <c r="Z106" s="154" t="s">
        <v>2958</v>
      </c>
      <c r="AA106" s="156">
        <v>45727</v>
      </c>
      <c r="AB106" s="154">
        <v>25</v>
      </c>
      <c r="AC106" s="154">
        <v>80167</v>
      </c>
      <c r="AD106" s="154">
        <v>57</v>
      </c>
      <c r="AE106" s="154" t="s">
        <v>1551</v>
      </c>
      <c r="AF106" s="154">
        <v>57</v>
      </c>
      <c r="AG106" s="154" t="s">
        <v>1552</v>
      </c>
      <c r="AH106" s="154" t="s">
        <v>36</v>
      </c>
      <c r="AI106" s="154" t="s">
        <v>2956</v>
      </c>
      <c r="AJ106" s="154">
        <v>1</v>
      </c>
      <c r="AK106" s="154" t="s">
        <v>1407</v>
      </c>
      <c r="AL106" s="154">
        <v>28282</v>
      </c>
      <c r="AM106" s="154" t="s">
        <v>1414</v>
      </c>
      <c r="AN106" s="154" t="s">
        <v>1572</v>
      </c>
      <c r="AO106" s="154">
        <v>28</v>
      </c>
      <c r="AP106" s="154" t="s">
        <v>1416</v>
      </c>
      <c r="AQ106" s="154">
        <v>0</v>
      </c>
      <c r="AR106" s="154" t="s">
        <v>1410</v>
      </c>
      <c r="AS106" s="154"/>
      <c r="AT106" s="154" t="s">
        <v>1411</v>
      </c>
      <c r="AU106" s="154" t="s">
        <v>2958</v>
      </c>
    </row>
    <row r="107" spans="1:47" x14ac:dyDescent="0.45">
      <c r="A107" s="154">
        <v>2505700032</v>
      </c>
      <c r="B107" s="154">
        <v>57</v>
      </c>
      <c r="C107" s="154" t="s">
        <v>1551</v>
      </c>
      <c r="D107" s="154">
        <v>57</v>
      </c>
      <c r="E107" s="154" t="s">
        <v>1552</v>
      </c>
      <c r="F107" s="154" t="s">
        <v>2962</v>
      </c>
      <c r="G107" s="154" t="s">
        <v>2963</v>
      </c>
      <c r="H107" s="154">
        <v>1</v>
      </c>
      <c r="I107" s="154" t="s">
        <v>2964</v>
      </c>
      <c r="J107" s="154" t="s">
        <v>1403</v>
      </c>
      <c r="K107" s="154">
        <v>0</v>
      </c>
      <c r="L107" s="155">
        <v>2025</v>
      </c>
      <c r="M107" s="156">
        <v>45706</v>
      </c>
      <c r="N107" s="154" t="s">
        <v>36</v>
      </c>
      <c r="O107" s="154" t="s">
        <v>2956</v>
      </c>
      <c r="P107" s="154">
        <v>1</v>
      </c>
      <c r="Q107" s="154" t="s">
        <v>2957</v>
      </c>
      <c r="R107" s="154">
        <v>1</v>
      </c>
      <c r="S107" s="154">
        <v>1</v>
      </c>
      <c r="T107" s="154" t="s">
        <v>1527</v>
      </c>
      <c r="U107" s="154">
        <v>3</v>
      </c>
      <c r="V107" s="155">
        <v>2580169</v>
      </c>
      <c r="W107" s="155">
        <v>0</v>
      </c>
      <c r="X107" s="155" t="s">
        <v>1406</v>
      </c>
      <c r="Y107" s="154"/>
      <c r="Z107" s="154" t="s">
        <v>2958</v>
      </c>
      <c r="AA107" s="156">
        <v>45727</v>
      </c>
      <c r="AB107" s="154">
        <v>25</v>
      </c>
      <c r="AC107" s="154">
        <v>80169</v>
      </c>
      <c r="AD107" s="154">
        <v>57</v>
      </c>
      <c r="AE107" s="154" t="s">
        <v>1551</v>
      </c>
      <c r="AF107" s="154">
        <v>57</v>
      </c>
      <c r="AG107" s="154" t="s">
        <v>1552</v>
      </c>
      <c r="AH107" s="154" t="s">
        <v>36</v>
      </c>
      <c r="AI107" s="154" t="s">
        <v>2956</v>
      </c>
      <c r="AJ107" s="154">
        <v>1</v>
      </c>
      <c r="AK107" s="154" t="s">
        <v>1407</v>
      </c>
      <c r="AL107" s="154">
        <v>28282</v>
      </c>
      <c r="AM107" s="154" t="s">
        <v>1414</v>
      </c>
      <c r="AN107" s="154" t="s">
        <v>1572</v>
      </c>
      <c r="AO107" s="154">
        <v>28</v>
      </c>
      <c r="AP107" s="154" t="s">
        <v>1416</v>
      </c>
      <c r="AQ107" s="154">
        <v>0</v>
      </c>
      <c r="AR107" s="154" t="s">
        <v>1410</v>
      </c>
      <c r="AS107" s="154"/>
      <c r="AT107" s="154" t="s">
        <v>1411</v>
      </c>
      <c r="AU107" s="154" t="s">
        <v>2958</v>
      </c>
    </row>
    <row r="108" spans="1:47" x14ac:dyDescent="0.45">
      <c r="A108" s="154">
        <v>2505700033</v>
      </c>
      <c r="B108" s="154">
        <v>57</v>
      </c>
      <c r="C108" s="154" t="s">
        <v>1551</v>
      </c>
      <c r="D108" s="154">
        <v>57</v>
      </c>
      <c r="E108" s="154" t="s">
        <v>1552</v>
      </c>
      <c r="F108" s="154" t="s">
        <v>2965</v>
      </c>
      <c r="G108" s="154" t="s">
        <v>2966</v>
      </c>
      <c r="H108" s="154">
        <v>1</v>
      </c>
      <c r="I108" s="154" t="s">
        <v>1575</v>
      </c>
      <c r="J108" s="154" t="s">
        <v>1403</v>
      </c>
      <c r="K108" s="154">
        <v>0</v>
      </c>
      <c r="L108" s="155">
        <v>2025</v>
      </c>
      <c r="M108" s="156">
        <v>45706</v>
      </c>
      <c r="N108" s="154" t="s">
        <v>36</v>
      </c>
      <c r="O108" s="154" t="s">
        <v>2956</v>
      </c>
      <c r="P108" s="154">
        <v>1</v>
      </c>
      <c r="Q108" s="154" t="s">
        <v>2957</v>
      </c>
      <c r="R108" s="154">
        <v>1</v>
      </c>
      <c r="S108" s="154">
        <v>1</v>
      </c>
      <c r="T108" s="154" t="s">
        <v>1527</v>
      </c>
      <c r="U108" s="154">
        <v>3</v>
      </c>
      <c r="V108" s="155">
        <v>2580168</v>
      </c>
      <c r="W108" s="155">
        <v>0</v>
      </c>
      <c r="X108" s="155" t="s">
        <v>1406</v>
      </c>
      <c r="Y108" s="154"/>
      <c r="Z108" s="154" t="s">
        <v>2958</v>
      </c>
      <c r="AA108" s="156">
        <v>45727</v>
      </c>
      <c r="AB108" s="154">
        <v>25</v>
      </c>
      <c r="AC108" s="154">
        <v>80168</v>
      </c>
      <c r="AD108" s="154">
        <v>57</v>
      </c>
      <c r="AE108" s="154" t="s">
        <v>1551</v>
      </c>
      <c r="AF108" s="154">
        <v>57</v>
      </c>
      <c r="AG108" s="154" t="s">
        <v>1552</v>
      </c>
      <c r="AH108" s="154" t="s">
        <v>36</v>
      </c>
      <c r="AI108" s="154" t="s">
        <v>2956</v>
      </c>
      <c r="AJ108" s="154">
        <v>1</v>
      </c>
      <c r="AK108" s="154" t="s">
        <v>1407</v>
      </c>
      <c r="AL108" s="154">
        <v>28117</v>
      </c>
      <c r="AM108" s="154" t="s">
        <v>1418</v>
      </c>
      <c r="AN108" s="154" t="s">
        <v>1576</v>
      </c>
      <c r="AO108" s="154">
        <v>28</v>
      </c>
      <c r="AP108" s="154" t="s">
        <v>1416</v>
      </c>
      <c r="AQ108" s="154">
        <v>0</v>
      </c>
      <c r="AR108" s="154" t="s">
        <v>1410</v>
      </c>
      <c r="AS108" s="154"/>
      <c r="AT108" s="154" t="s">
        <v>1411</v>
      </c>
      <c r="AU108" s="154" t="s">
        <v>2958</v>
      </c>
    </row>
    <row r="109" spans="1:47" x14ac:dyDescent="0.45">
      <c r="A109" s="154">
        <v>2505700034</v>
      </c>
      <c r="B109" s="154">
        <v>57</v>
      </c>
      <c r="C109" s="154" t="s">
        <v>1551</v>
      </c>
      <c r="D109" s="154">
        <v>57</v>
      </c>
      <c r="E109" s="154" t="s">
        <v>1552</v>
      </c>
      <c r="F109" s="154" t="s">
        <v>2967</v>
      </c>
      <c r="G109" s="154" t="s">
        <v>2968</v>
      </c>
      <c r="H109" s="154">
        <v>2</v>
      </c>
      <c r="I109" s="154" t="s">
        <v>56</v>
      </c>
      <c r="J109" s="154" t="s">
        <v>1403</v>
      </c>
      <c r="K109" s="154">
        <v>0</v>
      </c>
      <c r="L109" s="155">
        <v>2025</v>
      </c>
      <c r="M109" s="156">
        <v>45706</v>
      </c>
      <c r="N109" s="154" t="s">
        <v>36</v>
      </c>
      <c r="O109" s="154" t="s">
        <v>2956</v>
      </c>
      <c r="P109" s="154">
        <v>1</v>
      </c>
      <c r="Q109" s="154" t="s">
        <v>2957</v>
      </c>
      <c r="R109" s="154">
        <v>1</v>
      </c>
      <c r="S109" s="154">
        <v>1</v>
      </c>
      <c r="T109" s="154" t="s">
        <v>1527</v>
      </c>
      <c r="U109" s="154">
        <v>3</v>
      </c>
      <c r="V109" s="155">
        <v>0</v>
      </c>
      <c r="W109" s="155">
        <v>0</v>
      </c>
      <c r="X109" s="155" t="s">
        <v>1406</v>
      </c>
      <c r="Y109" s="156">
        <v>45715</v>
      </c>
      <c r="Z109" s="154" t="s">
        <v>2958</v>
      </c>
      <c r="AA109" s="154"/>
      <c r="AB109" s="154">
        <v>0</v>
      </c>
      <c r="AC109" s="154">
        <v>0</v>
      </c>
      <c r="AD109" s="154">
        <v>0</v>
      </c>
      <c r="AE109" s="154" t="s">
        <v>1446</v>
      </c>
      <c r="AF109" s="154"/>
      <c r="AG109" s="154" t="s">
        <v>1446</v>
      </c>
      <c r="AH109" s="154"/>
      <c r="AI109" s="154"/>
      <c r="AJ109" s="154">
        <v>0</v>
      </c>
      <c r="AK109" s="154" t="s">
        <v>1407</v>
      </c>
      <c r="AL109" s="154">
        <v>27115</v>
      </c>
      <c r="AM109" s="154" t="s">
        <v>1512</v>
      </c>
      <c r="AN109" s="154" t="s">
        <v>2969</v>
      </c>
      <c r="AO109" s="154">
        <v>27</v>
      </c>
      <c r="AP109" s="154" t="s">
        <v>1581</v>
      </c>
      <c r="AQ109" s="154">
        <v>0</v>
      </c>
      <c r="AR109" s="154" t="s">
        <v>1410</v>
      </c>
      <c r="AS109" s="154"/>
      <c r="AT109" s="154" t="s">
        <v>1411</v>
      </c>
      <c r="AU109" s="154" t="s">
        <v>2958</v>
      </c>
    </row>
    <row r="110" spans="1:47" x14ac:dyDescent="0.45">
      <c r="A110" s="154">
        <v>2505700035</v>
      </c>
      <c r="B110" s="154">
        <v>57</v>
      </c>
      <c r="C110" s="154" t="s">
        <v>1551</v>
      </c>
      <c r="D110" s="154">
        <v>57</v>
      </c>
      <c r="E110" s="154" t="s">
        <v>1552</v>
      </c>
      <c r="F110" s="154" t="s">
        <v>2970</v>
      </c>
      <c r="G110" s="154" t="s">
        <v>2971</v>
      </c>
      <c r="H110" s="154">
        <v>1</v>
      </c>
      <c r="I110" s="154" t="s">
        <v>2972</v>
      </c>
      <c r="J110" s="154" t="s">
        <v>1403</v>
      </c>
      <c r="K110" s="154">
        <v>0</v>
      </c>
      <c r="L110" s="155">
        <v>2025</v>
      </c>
      <c r="M110" s="156">
        <v>45706</v>
      </c>
      <c r="N110" s="154" t="s">
        <v>36</v>
      </c>
      <c r="O110" s="154" t="s">
        <v>2956</v>
      </c>
      <c r="P110" s="154">
        <v>1</v>
      </c>
      <c r="Q110" s="154" t="s">
        <v>2957</v>
      </c>
      <c r="R110" s="154">
        <v>1</v>
      </c>
      <c r="S110" s="154">
        <v>1</v>
      </c>
      <c r="T110" s="154" t="s">
        <v>1527</v>
      </c>
      <c r="U110" s="154">
        <v>3</v>
      </c>
      <c r="V110" s="155">
        <v>2580178</v>
      </c>
      <c r="W110" s="155">
        <v>0</v>
      </c>
      <c r="X110" s="155" t="s">
        <v>1406</v>
      </c>
      <c r="Y110" s="154"/>
      <c r="Z110" s="154" t="s">
        <v>2958</v>
      </c>
      <c r="AA110" s="156">
        <v>45733</v>
      </c>
      <c r="AB110" s="154">
        <v>25</v>
      </c>
      <c r="AC110" s="154">
        <v>80178</v>
      </c>
      <c r="AD110" s="154">
        <v>57</v>
      </c>
      <c r="AE110" s="154" t="s">
        <v>1551</v>
      </c>
      <c r="AF110" s="154">
        <v>57</v>
      </c>
      <c r="AG110" s="154" t="s">
        <v>1552</v>
      </c>
      <c r="AH110" s="154" t="s">
        <v>36</v>
      </c>
      <c r="AI110" s="154" t="s">
        <v>2956</v>
      </c>
      <c r="AJ110" s="154">
        <v>1</v>
      </c>
      <c r="AK110" s="154" t="s">
        <v>1407</v>
      </c>
      <c r="AL110" s="154">
        <v>26055</v>
      </c>
      <c r="AM110" s="154" t="s">
        <v>1421</v>
      </c>
      <c r="AN110" s="154" t="s">
        <v>2973</v>
      </c>
      <c r="AO110" s="154">
        <v>26</v>
      </c>
      <c r="AP110" s="154" t="s">
        <v>1514</v>
      </c>
      <c r="AQ110" s="154">
        <v>0</v>
      </c>
      <c r="AR110" s="154" t="s">
        <v>1410</v>
      </c>
      <c r="AS110" s="154"/>
      <c r="AT110" s="154" t="s">
        <v>1411</v>
      </c>
      <c r="AU110" s="154" t="s">
        <v>2958</v>
      </c>
    </row>
    <row r="111" spans="1:47" x14ac:dyDescent="0.45">
      <c r="A111" s="154">
        <v>2505700036</v>
      </c>
      <c r="B111" s="154">
        <v>57</v>
      </c>
      <c r="C111" s="154" t="s">
        <v>1551</v>
      </c>
      <c r="D111" s="154">
        <v>57</v>
      </c>
      <c r="E111" s="154" t="s">
        <v>1552</v>
      </c>
      <c r="F111" s="154" t="s">
        <v>2974</v>
      </c>
      <c r="G111" s="154" t="s">
        <v>2975</v>
      </c>
      <c r="H111" s="154">
        <v>2</v>
      </c>
      <c r="I111" s="154" t="s">
        <v>2976</v>
      </c>
      <c r="J111" s="154" t="s">
        <v>1403</v>
      </c>
      <c r="K111" s="154">
        <v>0</v>
      </c>
      <c r="L111" s="155">
        <v>2025</v>
      </c>
      <c r="M111" s="156">
        <v>45706</v>
      </c>
      <c r="N111" s="154" t="s">
        <v>36</v>
      </c>
      <c r="O111" s="154" t="s">
        <v>2956</v>
      </c>
      <c r="P111" s="154">
        <v>1</v>
      </c>
      <c r="Q111" s="154" t="s">
        <v>2957</v>
      </c>
      <c r="R111" s="154">
        <v>1</v>
      </c>
      <c r="S111" s="154">
        <v>1</v>
      </c>
      <c r="T111" s="154" t="s">
        <v>1527</v>
      </c>
      <c r="U111" s="154">
        <v>3</v>
      </c>
      <c r="V111" s="155">
        <v>2580170</v>
      </c>
      <c r="W111" s="155">
        <v>0</v>
      </c>
      <c r="X111" s="155" t="s">
        <v>1406</v>
      </c>
      <c r="Y111" s="154"/>
      <c r="Z111" s="154" t="s">
        <v>2958</v>
      </c>
      <c r="AA111" s="156">
        <v>45727</v>
      </c>
      <c r="AB111" s="154">
        <v>25</v>
      </c>
      <c r="AC111" s="154">
        <v>80170</v>
      </c>
      <c r="AD111" s="154">
        <v>57</v>
      </c>
      <c r="AE111" s="154" t="s">
        <v>1551</v>
      </c>
      <c r="AF111" s="154">
        <v>57</v>
      </c>
      <c r="AG111" s="154" t="s">
        <v>1552</v>
      </c>
      <c r="AH111" s="154" t="s">
        <v>36</v>
      </c>
      <c r="AI111" s="154" t="s">
        <v>2956</v>
      </c>
      <c r="AJ111" s="154">
        <v>1</v>
      </c>
      <c r="AK111" s="154" t="s">
        <v>1407</v>
      </c>
      <c r="AL111" s="154">
        <v>36046</v>
      </c>
      <c r="AM111" s="154" t="s">
        <v>1418</v>
      </c>
      <c r="AN111" s="154" t="s">
        <v>2977</v>
      </c>
      <c r="AO111" s="154">
        <v>36</v>
      </c>
      <c r="AP111" s="154" t="s">
        <v>1603</v>
      </c>
      <c r="AQ111" s="154">
        <v>0</v>
      </c>
      <c r="AR111" s="154" t="s">
        <v>1410</v>
      </c>
      <c r="AS111" s="154"/>
      <c r="AT111" s="154" t="s">
        <v>1411</v>
      </c>
      <c r="AU111" s="154" t="s">
        <v>2958</v>
      </c>
    </row>
    <row r="112" spans="1:47" x14ac:dyDescent="0.45">
      <c r="A112" s="154">
        <v>2505700037</v>
      </c>
      <c r="B112" s="154">
        <v>57</v>
      </c>
      <c r="C112" s="154" t="s">
        <v>1551</v>
      </c>
      <c r="D112" s="154">
        <v>57</v>
      </c>
      <c r="E112" s="154" t="s">
        <v>1552</v>
      </c>
      <c r="F112" s="154" t="s">
        <v>2978</v>
      </c>
      <c r="G112" s="154" t="s">
        <v>2979</v>
      </c>
      <c r="H112" s="154">
        <v>2</v>
      </c>
      <c r="I112" s="154" t="s">
        <v>2980</v>
      </c>
      <c r="J112" s="154" t="s">
        <v>1403</v>
      </c>
      <c r="K112" s="154">
        <v>0</v>
      </c>
      <c r="L112" s="155">
        <v>2025</v>
      </c>
      <c r="M112" s="156">
        <v>45706</v>
      </c>
      <c r="N112" s="154" t="s">
        <v>36</v>
      </c>
      <c r="O112" s="154" t="s">
        <v>2956</v>
      </c>
      <c r="P112" s="154">
        <v>1</v>
      </c>
      <c r="Q112" s="154" t="s">
        <v>2957</v>
      </c>
      <c r="R112" s="154">
        <v>1</v>
      </c>
      <c r="S112" s="154">
        <v>1</v>
      </c>
      <c r="T112" s="154" t="s">
        <v>1527</v>
      </c>
      <c r="U112" s="154">
        <v>3</v>
      </c>
      <c r="V112" s="155">
        <v>2580171</v>
      </c>
      <c r="W112" s="155">
        <v>0</v>
      </c>
      <c r="X112" s="155" t="s">
        <v>1406</v>
      </c>
      <c r="Y112" s="154"/>
      <c r="Z112" s="154" t="s">
        <v>2958</v>
      </c>
      <c r="AA112" s="156">
        <v>45727</v>
      </c>
      <c r="AB112" s="154">
        <v>25</v>
      </c>
      <c r="AC112" s="154">
        <v>80171</v>
      </c>
      <c r="AD112" s="154">
        <v>57</v>
      </c>
      <c r="AE112" s="154" t="s">
        <v>1551</v>
      </c>
      <c r="AF112" s="154">
        <v>57</v>
      </c>
      <c r="AG112" s="154" t="s">
        <v>1552</v>
      </c>
      <c r="AH112" s="154" t="s">
        <v>36</v>
      </c>
      <c r="AI112" s="154" t="s">
        <v>2956</v>
      </c>
      <c r="AJ112" s="154">
        <v>1</v>
      </c>
      <c r="AK112" s="154" t="s">
        <v>1407</v>
      </c>
      <c r="AL112" s="154">
        <v>26027</v>
      </c>
      <c r="AM112" s="154" t="s">
        <v>1421</v>
      </c>
      <c r="AN112" s="154" t="s">
        <v>2981</v>
      </c>
      <c r="AO112" s="154">
        <v>26</v>
      </c>
      <c r="AP112" s="154" t="s">
        <v>1514</v>
      </c>
      <c r="AQ112" s="154">
        <v>0</v>
      </c>
      <c r="AR112" s="154" t="s">
        <v>1410</v>
      </c>
      <c r="AS112" s="154"/>
      <c r="AT112" s="154" t="s">
        <v>1411</v>
      </c>
      <c r="AU112" s="154" t="s">
        <v>2958</v>
      </c>
    </row>
    <row r="113" spans="1:47" x14ac:dyDescent="0.45">
      <c r="A113" s="154">
        <v>2505700038</v>
      </c>
      <c r="B113" s="154">
        <v>57</v>
      </c>
      <c r="C113" s="154" t="s">
        <v>1551</v>
      </c>
      <c r="D113" s="154">
        <v>57</v>
      </c>
      <c r="E113" s="154" t="s">
        <v>1552</v>
      </c>
      <c r="F113" s="154" t="s">
        <v>2982</v>
      </c>
      <c r="G113" s="154" t="s">
        <v>2983</v>
      </c>
      <c r="H113" s="154">
        <v>1</v>
      </c>
      <c r="I113" s="154" t="s">
        <v>2984</v>
      </c>
      <c r="J113" s="154" t="s">
        <v>1403</v>
      </c>
      <c r="K113" s="154">
        <v>2025</v>
      </c>
      <c r="L113" s="155">
        <v>2025</v>
      </c>
      <c r="M113" s="156">
        <v>45710</v>
      </c>
      <c r="N113" s="154" t="s">
        <v>36</v>
      </c>
      <c r="O113" s="154">
        <v>6</v>
      </c>
      <c r="P113" s="154">
        <v>448</v>
      </c>
      <c r="Q113" s="154" t="s">
        <v>1557</v>
      </c>
      <c r="R113" s="154">
        <v>2</v>
      </c>
      <c r="S113" s="154">
        <v>1</v>
      </c>
      <c r="T113" s="154" t="s">
        <v>1527</v>
      </c>
      <c r="U113" s="154">
        <v>3</v>
      </c>
      <c r="V113" s="155">
        <v>2580154</v>
      </c>
      <c r="W113" s="155">
        <v>0</v>
      </c>
      <c r="X113" s="155" t="s">
        <v>1406</v>
      </c>
      <c r="Y113" s="154"/>
      <c r="Z113" s="154" t="s">
        <v>1424</v>
      </c>
      <c r="AA113" s="156">
        <v>45716</v>
      </c>
      <c r="AB113" s="154">
        <v>25</v>
      </c>
      <c r="AC113" s="154">
        <v>80154</v>
      </c>
      <c r="AD113" s="154">
        <v>57</v>
      </c>
      <c r="AE113" s="154" t="s">
        <v>1551</v>
      </c>
      <c r="AF113" s="154">
        <v>57</v>
      </c>
      <c r="AG113" s="154" t="s">
        <v>1552</v>
      </c>
      <c r="AH113" s="154" t="s">
        <v>36</v>
      </c>
      <c r="AI113" s="154">
        <v>6</v>
      </c>
      <c r="AJ113" s="154">
        <v>448</v>
      </c>
      <c r="AK113" s="154" t="s">
        <v>1407</v>
      </c>
      <c r="AL113" s="154">
        <v>28136</v>
      </c>
      <c r="AM113" s="154" t="s">
        <v>1418</v>
      </c>
      <c r="AN113" s="154" t="s">
        <v>2985</v>
      </c>
      <c r="AO113" s="154">
        <v>28</v>
      </c>
      <c r="AP113" s="154" t="s">
        <v>1416</v>
      </c>
      <c r="AQ113" s="154">
        <v>0</v>
      </c>
      <c r="AR113" s="154" t="s">
        <v>1410</v>
      </c>
      <c r="AS113" s="154"/>
      <c r="AT113" s="154" t="s">
        <v>1417</v>
      </c>
      <c r="AU113" s="154" t="s">
        <v>1412</v>
      </c>
    </row>
    <row r="114" spans="1:47" x14ac:dyDescent="0.45">
      <c r="A114" s="154">
        <v>2505700039</v>
      </c>
      <c r="B114" s="154">
        <v>57</v>
      </c>
      <c r="C114" s="154" t="s">
        <v>1551</v>
      </c>
      <c r="D114" s="154">
        <v>57</v>
      </c>
      <c r="E114" s="154" t="s">
        <v>1552</v>
      </c>
      <c r="F114" s="154" t="s">
        <v>2986</v>
      </c>
      <c r="G114" s="154" t="s">
        <v>2987</v>
      </c>
      <c r="H114" s="154">
        <v>1</v>
      </c>
      <c r="I114" s="154" t="s">
        <v>2988</v>
      </c>
      <c r="J114" s="154" t="s">
        <v>1605</v>
      </c>
      <c r="K114" s="154">
        <v>0</v>
      </c>
      <c r="L114" s="155">
        <v>2025</v>
      </c>
      <c r="M114" s="156">
        <v>45714</v>
      </c>
      <c r="N114" s="154" t="s">
        <v>36</v>
      </c>
      <c r="O114" s="154">
        <v>7</v>
      </c>
      <c r="P114" s="154">
        <v>266</v>
      </c>
      <c r="Q114" s="154" t="s">
        <v>1526</v>
      </c>
      <c r="R114" s="154">
        <v>2</v>
      </c>
      <c r="S114" s="154">
        <v>1</v>
      </c>
      <c r="T114" s="154" t="s">
        <v>1527</v>
      </c>
      <c r="U114" s="154">
        <v>3</v>
      </c>
      <c r="V114" s="155">
        <v>2580160</v>
      </c>
      <c r="W114" s="155">
        <v>0</v>
      </c>
      <c r="X114" s="155" t="s">
        <v>1406</v>
      </c>
      <c r="Y114" s="154"/>
      <c r="Z114" s="154" t="s">
        <v>1407</v>
      </c>
      <c r="AA114" s="156">
        <v>45723</v>
      </c>
      <c r="AB114" s="154">
        <v>25</v>
      </c>
      <c r="AC114" s="154">
        <v>80160</v>
      </c>
      <c r="AD114" s="154">
        <v>57</v>
      </c>
      <c r="AE114" s="154" t="s">
        <v>1551</v>
      </c>
      <c r="AF114" s="154">
        <v>57</v>
      </c>
      <c r="AG114" s="154" t="s">
        <v>1552</v>
      </c>
      <c r="AH114" s="154" t="s">
        <v>36</v>
      </c>
      <c r="AI114" s="154">
        <v>7</v>
      </c>
      <c r="AJ114" s="154">
        <v>266</v>
      </c>
      <c r="AK114" s="154" t="s">
        <v>1407</v>
      </c>
      <c r="AL114" s="154">
        <v>99999</v>
      </c>
      <c r="AM114" s="154" t="s">
        <v>1408</v>
      </c>
      <c r="AN114" s="154" t="s">
        <v>2920</v>
      </c>
      <c r="AO114" s="154">
        <v>99</v>
      </c>
      <c r="AP114" s="154" t="s">
        <v>1409</v>
      </c>
      <c r="AQ114" s="154">
        <v>0</v>
      </c>
      <c r="AR114" s="154" t="s">
        <v>1410</v>
      </c>
      <c r="AS114" s="154"/>
      <c r="AT114" s="154" t="s">
        <v>1411</v>
      </c>
      <c r="AU114" s="154" t="s">
        <v>1412</v>
      </c>
    </row>
    <row r="115" spans="1:47" x14ac:dyDescent="0.45">
      <c r="A115" s="154">
        <v>2505700040</v>
      </c>
      <c r="B115" s="154">
        <v>57</v>
      </c>
      <c r="C115" s="154" t="s">
        <v>1551</v>
      </c>
      <c r="D115" s="154">
        <v>57</v>
      </c>
      <c r="E115" s="154" t="s">
        <v>1552</v>
      </c>
      <c r="F115" s="154" t="s">
        <v>2989</v>
      </c>
      <c r="G115" s="154" t="s">
        <v>2990</v>
      </c>
      <c r="H115" s="154">
        <v>2</v>
      </c>
      <c r="I115" s="154" t="s">
        <v>1886</v>
      </c>
      <c r="J115" s="154" t="s">
        <v>1403</v>
      </c>
      <c r="K115" s="154">
        <v>2025</v>
      </c>
      <c r="L115" s="155">
        <v>2025</v>
      </c>
      <c r="M115" s="156">
        <v>45714</v>
      </c>
      <c r="N115" s="154" t="s">
        <v>36</v>
      </c>
      <c r="O115" s="154">
        <v>58</v>
      </c>
      <c r="P115" s="154">
        <v>290</v>
      </c>
      <c r="Q115" s="154" t="s">
        <v>1496</v>
      </c>
      <c r="R115" s="154">
        <v>2</v>
      </c>
      <c r="S115" s="154">
        <v>2</v>
      </c>
      <c r="T115" s="154" t="s">
        <v>1464</v>
      </c>
      <c r="U115" s="154">
        <v>1</v>
      </c>
      <c r="V115" s="155">
        <v>2580179</v>
      </c>
      <c r="W115" s="155">
        <v>0</v>
      </c>
      <c r="X115" s="155" t="s">
        <v>1406</v>
      </c>
      <c r="Y115" s="154"/>
      <c r="Z115" s="154" t="s">
        <v>1424</v>
      </c>
      <c r="AA115" s="156">
        <v>45734</v>
      </c>
      <c r="AB115" s="154">
        <v>25</v>
      </c>
      <c r="AC115" s="154">
        <v>80179</v>
      </c>
      <c r="AD115" s="154">
        <v>57</v>
      </c>
      <c r="AE115" s="154" t="s">
        <v>1551</v>
      </c>
      <c r="AF115" s="154">
        <v>57</v>
      </c>
      <c r="AG115" s="154" t="s">
        <v>1552</v>
      </c>
      <c r="AH115" s="154" t="s">
        <v>36</v>
      </c>
      <c r="AI115" s="154">
        <v>58</v>
      </c>
      <c r="AJ115" s="154">
        <v>290</v>
      </c>
      <c r="AK115" s="154" t="s">
        <v>1407</v>
      </c>
      <c r="AL115" s="154">
        <v>28217</v>
      </c>
      <c r="AM115" s="154" t="s">
        <v>1418</v>
      </c>
      <c r="AN115" s="154" t="s">
        <v>1626</v>
      </c>
      <c r="AO115" s="154">
        <v>28</v>
      </c>
      <c r="AP115" s="154" t="s">
        <v>1416</v>
      </c>
      <c r="AQ115" s="154">
        <v>0</v>
      </c>
      <c r="AR115" s="154" t="s">
        <v>1410</v>
      </c>
      <c r="AS115" s="154"/>
      <c r="AT115" s="154" t="s">
        <v>1417</v>
      </c>
      <c r="AU115" s="154" t="s">
        <v>1412</v>
      </c>
    </row>
    <row r="116" spans="1:47" x14ac:dyDescent="0.45">
      <c r="A116" s="154">
        <v>2505700041</v>
      </c>
      <c r="B116" s="154">
        <v>57</v>
      </c>
      <c r="C116" s="154" t="s">
        <v>1551</v>
      </c>
      <c r="D116" s="154">
        <v>57</v>
      </c>
      <c r="E116" s="154" t="s">
        <v>1552</v>
      </c>
      <c r="F116" s="154" t="s">
        <v>2991</v>
      </c>
      <c r="G116" s="154" t="s">
        <v>2992</v>
      </c>
      <c r="H116" s="154">
        <v>1</v>
      </c>
      <c r="I116" s="154" t="s">
        <v>348</v>
      </c>
      <c r="J116" s="154" t="s">
        <v>1403</v>
      </c>
      <c r="K116" s="154">
        <v>0</v>
      </c>
      <c r="L116" s="155">
        <v>2025</v>
      </c>
      <c r="M116" s="156">
        <v>45714</v>
      </c>
      <c r="N116" s="154" t="s">
        <v>36</v>
      </c>
      <c r="O116" s="154" t="s">
        <v>51</v>
      </c>
      <c r="P116" s="154">
        <v>290</v>
      </c>
      <c r="Q116" s="154" t="s">
        <v>1496</v>
      </c>
      <c r="R116" s="154">
        <v>1</v>
      </c>
      <c r="S116" s="154">
        <v>2</v>
      </c>
      <c r="T116" s="154" t="s">
        <v>1464</v>
      </c>
      <c r="U116" s="154">
        <v>1</v>
      </c>
      <c r="V116" s="155">
        <v>2580176</v>
      </c>
      <c r="W116" s="155">
        <v>0</v>
      </c>
      <c r="X116" s="155" t="s">
        <v>1406</v>
      </c>
      <c r="Y116" s="154"/>
      <c r="Z116" s="154" t="s">
        <v>2901</v>
      </c>
      <c r="AA116" s="156">
        <v>45733</v>
      </c>
      <c r="AB116" s="154">
        <v>25</v>
      </c>
      <c r="AC116" s="154">
        <v>80176</v>
      </c>
      <c r="AD116" s="154">
        <v>57</v>
      </c>
      <c r="AE116" s="154" t="s">
        <v>1551</v>
      </c>
      <c r="AF116" s="154">
        <v>57</v>
      </c>
      <c r="AG116" s="154" t="s">
        <v>1552</v>
      </c>
      <c r="AH116" s="154" t="s">
        <v>36</v>
      </c>
      <c r="AI116" s="154" t="s">
        <v>51</v>
      </c>
      <c r="AJ116" s="154">
        <v>290</v>
      </c>
      <c r="AK116" s="154" t="s">
        <v>1407</v>
      </c>
      <c r="AL116" s="154">
        <v>28282</v>
      </c>
      <c r="AM116" s="154" t="s">
        <v>1414</v>
      </c>
      <c r="AN116" s="154" t="s">
        <v>1572</v>
      </c>
      <c r="AO116" s="154">
        <v>28</v>
      </c>
      <c r="AP116" s="154" t="s">
        <v>1416</v>
      </c>
      <c r="AQ116" s="154">
        <v>0</v>
      </c>
      <c r="AR116" s="154" t="s">
        <v>1410</v>
      </c>
      <c r="AS116" s="154"/>
      <c r="AT116" s="154" t="s">
        <v>1411</v>
      </c>
      <c r="AU116" s="154" t="s">
        <v>1412</v>
      </c>
    </row>
    <row r="117" spans="1:47" x14ac:dyDescent="0.45">
      <c r="A117" s="154">
        <v>2505700042</v>
      </c>
      <c r="B117" s="154">
        <v>57</v>
      </c>
      <c r="C117" s="154" t="s">
        <v>1551</v>
      </c>
      <c r="D117" s="154">
        <v>57</v>
      </c>
      <c r="E117" s="154" t="s">
        <v>1552</v>
      </c>
      <c r="F117" s="154" t="s">
        <v>2993</v>
      </c>
      <c r="G117" s="154" t="s">
        <v>2994</v>
      </c>
      <c r="H117" s="154">
        <v>1</v>
      </c>
      <c r="I117" s="154" t="s">
        <v>2995</v>
      </c>
      <c r="J117" s="154" t="s">
        <v>1403</v>
      </c>
      <c r="K117" s="154">
        <v>0</v>
      </c>
      <c r="L117" s="155">
        <v>2025</v>
      </c>
      <c r="M117" s="156">
        <v>45715</v>
      </c>
      <c r="N117" s="154" t="s">
        <v>36</v>
      </c>
      <c r="O117" s="154">
        <v>58</v>
      </c>
      <c r="P117" s="154">
        <v>852</v>
      </c>
      <c r="Q117" s="154" t="s">
        <v>1472</v>
      </c>
      <c r="R117" s="154">
        <v>2</v>
      </c>
      <c r="S117" s="154">
        <v>2</v>
      </c>
      <c r="T117" s="154" t="s">
        <v>1464</v>
      </c>
      <c r="U117" s="154">
        <v>1</v>
      </c>
      <c r="V117" s="155">
        <v>2580181</v>
      </c>
      <c r="W117" s="155">
        <v>0</v>
      </c>
      <c r="X117" s="155" t="s">
        <v>1406</v>
      </c>
      <c r="Y117" s="154"/>
      <c r="Z117" s="154" t="s">
        <v>1407</v>
      </c>
      <c r="AA117" s="156">
        <v>45737</v>
      </c>
      <c r="AB117" s="154">
        <v>25</v>
      </c>
      <c r="AC117" s="154">
        <v>80181</v>
      </c>
      <c r="AD117" s="154">
        <v>57</v>
      </c>
      <c r="AE117" s="154" t="s">
        <v>1551</v>
      </c>
      <c r="AF117" s="154">
        <v>57</v>
      </c>
      <c r="AG117" s="154" t="s">
        <v>1552</v>
      </c>
      <c r="AH117" s="154" t="s">
        <v>36</v>
      </c>
      <c r="AI117" s="154">
        <v>58</v>
      </c>
      <c r="AJ117" s="154">
        <v>852</v>
      </c>
      <c r="AK117" s="154" t="s">
        <v>1410</v>
      </c>
      <c r="AL117" s="154">
        <v>28063</v>
      </c>
      <c r="AM117" s="154" t="s">
        <v>1418</v>
      </c>
      <c r="AN117" s="154" t="s">
        <v>2863</v>
      </c>
      <c r="AO117" s="154">
        <v>28</v>
      </c>
      <c r="AP117" s="154" t="s">
        <v>1416</v>
      </c>
      <c r="AQ117" s="154">
        <v>0</v>
      </c>
      <c r="AR117" s="154" t="s">
        <v>1410</v>
      </c>
      <c r="AS117" s="154"/>
      <c r="AT117" s="154" t="s">
        <v>1411</v>
      </c>
      <c r="AU117" s="154" t="s">
        <v>1412</v>
      </c>
    </row>
    <row r="118" spans="1:47" x14ac:dyDescent="0.45">
      <c r="A118" s="154">
        <v>2505700043</v>
      </c>
      <c r="B118" s="154">
        <v>57</v>
      </c>
      <c r="C118" s="154" t="s">
        <v>1551</v>
      </c>
      <c r="D118" s="154">
        <v>57</v>
      </c>
      <c r="E118" s="154" t="s">
        <v>1552</v>
      </c>
      <c r="F118" s="154" t="s">
        <v>2996</v>
      </c>
      <c r="G118" s="154" t="s">
        <v>2997</v>
      </c>
      <c r="H118" s="154">
        <v>2</v>
      </c>
      <c r="I118" s="154" t="s">
        <v>2998</v>
      </c>
      <c r="J118" s="154" t="s">
        <v>1403</v>
      </c>
      <c r="K118" s="154">
        <v>2025</v>
      </c>
      <c r="L118" s="155">
        <v>2025</v>
      </c>
      <c r="M118" s="156">
        <v>45715</v>
      </c>
      <c r="N118" s="154" t="s">
        <v>36</v>
      </c>
      <c r="O118" s="154">
        <v>7</v>
      </c>
      <c r="P118" s="154">
        <v>265</v>
      </c>
      <c r="Q118" s="154" t="s">
        <v>1562</v>
      </c>
      <c r="R118" s="154">
        <v>2</v>
      </c>
      <c r="S118" s="154">
        <v>1</v>
      </c>
      <c r="T118" s="154" t="s">
        <v>1527</v>
      </c>
      <c r="U118" s="154">
        <v>3</v>
      </c>
      <c r="V118" s="155">
        <v>2580158</v>
      </c>
      <c r="W118" s="155">
        <v>0</v>
      </c>
      <c r="X118" s="155" t="s">
        <v>1406</v>
      </c>
      <c r="Y118" s="154"/>
      <c r="Z118" s="154" t="s">
        <v>1424</v>
      </c>
      <c r="AA118" s="156">
        <v>45720</v>
      </c>
      <c r="AB118" s="154">
        <v>25</v>
      </c>
      <c r="AC118" s="154">
        <v>80158</v>
      </c>
      <c r="AD118" s="154">
        <v>57</v>
      </c>
      <c r="AE118" s="154" t="s">
        <v>1551</v>
      </c>
      <c r="AF118" s="154">
        <v>57</v>
      </c>
      <c r="AG118" s="154" t="s">
        <v>1552</v>
      </c>
      <c r="AH118" s="154" t="s">
        <v>36</v>
      </c>
      <c r="AI118" s="154">
        <v>7</v>
      </c>
      <c r="AJ118" s="154">
        <v>265</v>
      </c>
      <c r="AK118" s="154" t="s">
        <v>1407</v>
      </c>
      <c r="AL118" s="154">
        <v>28030</v>
      </c>
      <c r="AM118" s="154" t="s">
        <v>1418</v>
      </c>
      <c r="AN118" s="154" t="s">
        <v>1566</v>
      </c>
      <c r="AO118" s="154">
        <v>28</v>
      </c>
      <c r="AP118" s="154" t="s">
        <v>1416</v>
      </c>
      <c r="AQ118" s="154">
        <v>0</v>
      </c>
      <c r="AR118" s="154" t="s">
        <v>1410</v>
      </c>
      <c r="AS118" s="154"/>
      <c r="AT118" s="154" t="s">
        <v>1417</v>
      </c>
      <c r="AU118" s="154" t="s">
        <v>1412</v>
      </c>
    </row>
    <row r="119" spans="1:47" x14ac:dyDescent="0.45">
      <c r="A119" s="154">
        <v>2505700044</v>
      </c>
      <c r="B119" s="154">
        <v>57</v>
      </c>
      <c r="C119" s="154" t="s">
        <v>1551</v>
      </c>
      <c r="D119" s="154">
        <v>57</v>
      </c>
      <c r="E119" s="154" t="s">
        <v>1552</v>
      </c>
      <c r="F119" s="154" t="s">
        <v>2999</v>
      </c>
      <c r="G119" s="154" t="s">
        <v>3000</v>
      </c>
      <c r="H119" s="154">
        <v>2</v>
      </c>
      <c r="I119" s="154" t="s">
        <v>56</v>
      </c>
      <c r="J119" s="154" t="s">
        <v>1403</v>
      </c>
      <c r="K119" s="154">
        <v>2025</v>
      </c>
      <c r="L119" s="155">
        <v>2025</v>
      </c>
      <c r="M119" s="156">
        <v>45716</v>
      </c>
      <c r="N119" s="154" t="s">
        <v>36</v>
      </c>
      <c r="O119" s="154">
        <v>57</v>
      </c>
      <c r="P119" s="154">
        <v>1044</v>
      </c>
      <c r="Q119" s="154" t="s">
        <v>1476</v>
      </c>
      <c r="R119" s="154">
        <v>2</v>
      </c>
      <c r="S119" s="154">
        <v>3</v>
      </c>
      <c r="T119" s="154" t="s">
        <v>1477</v>
      </c>
      <c r="U119" s="154">
        <v>4</v>
      </c>
      <c r="V119" s="155">
        <v>2580172</v>
      </c>
      <c r="W119" s="155">
        <v>0</v>
      </c>
      <c r="X119" s="155" t="s">
        <v>1406</v>
      </c>
      <c r="Y119" s="154"/>
      <c r="Z119" s="154" t="s">
        <v>1424</v>
      </c>
      <c r="AA119" s="156">
        <v>45729</v>
      </c>
      <c r="AB119" s="154">
        <v>25</v>
      </c>
      <c r="AC119" s="154">
        <v>80172</v>
      </c>
      <c r="AD119" s="154">
        <v>57</v>
      </c>
      <c r="AE119" s="154" t="s">
        <v>1551</v>
      </c>
      <c r="AF119" s="154">
        <v>57</v>
      </c>
      <c r="AG119" s="154" t="s">
        <v>1552</v>
      </c>
      <c r="AH119" s="154" t="s">
        <v>36</v>
      </c>
      <c r="AI119" s="154">
        <v>57</v>
      </c>
      <c r="AJ119" s="154">
        <v>1044</v>
      </c>
      <c r="AK119" s="154" t="s">
        <v>1407</v>
      </c>
      <c r="AL119" s="154">
        <v>28224</v>
      </c>
      <c r="AM119" s="154" t="s">
        <v>1414</v>
      </c>
      <c r="AN119" s="154" t="s">
        <v>1621</v>
      </c>
      <c r="AO119" s="154">
        <v>28</v>
      </c>
      <c r="AP119" s="154" t="s">
        <v>1416</v>
      </c>
      <c r="AQ119" s="154">
        <v>0</v>
      </c>
      <c r="AR119" s="154" t="s">
        <v>1410</v>
      </c>
      <c r="AS119" s="154"/>
      <c r="AT119" s="154" t="s">
        <v>1417</v>
      </c>
      <c r="AU119" s="154" t="s">
        <v>1412</v>
      </c>
    </row>
    <row r="120" spans="1:47" x14ac:dyDescent="0.45">
      <c r="A120" s="154">
        <v>2505700045</v>
      </c>
      <c r="B120" s="154">
        <v>57</v>
      </c>
      <c r="C120" s="154" t="s">
        <v>1551</v>
      </c>
      <c r="D120" s="154">
        <v>57</v>
      </c>
      <c r="E120" s="154" t="s">
        <v>1552</v>
      </c>
      <c r="F120" s="154" t="s">
        <v>3001</v>
      </c>
      <c r="G120" s="154" t="s">
        <v>3002</v>
      </c>
      <c r="H120" s="154">
        <v>1</v>
      </c>
      <c r="I120" s="154" t="s">
        <v>3003</v>
      </c>
      <c r="J120" s="154" t="s">
        <v>1403</v>
      </c>
      <c r="K120" s="154">
        <v>0</v>
      </c>
      <c r="L120" s="155">
        <v>2025</v>
      </c>
      <c r="M120" s="156">
        <v>45721</v>
      </c>
      <c r="N120" s="154" t="s">
        <v>36</v>
      </c>
      <c r="O120" s="154">
        <v>58</v>
      </c>
      <c r="P120" s="154">
        <v>428</v>
      </c>
      <c r="Q120" s="154" t="s">
        <v>1463</v>
      </c>
      <c r="R120" s="154">
        <v>2</v>
      </c>
      <c r="S120" s="154">
        <v>2</v>
      </c>
      <c r="T120" s="154" t="s">
        <v>1464</v>
      </c>
      <c r="U120" s="154">
        <v>1</v>
      </c>
      <c r="V120" s="155">
        <v>2580183</v>
      </c>
      <c r="W120" s="155">
        <v>0</v>
      </c>
      <c r="X120" s="155" t="s">
        <v>1406</v>
      </c>
      <c r="Y120" s="154"/>
      <c r="Z120" s="154" t="s">
        <v>1407</v>
      </c>
      <c r="AA120" s="156">
        <v>45737</v>
      </c>
      <c r="AB120" s="154">
        <v>25</v>
      </c>
      <c r="AC120" s="154">
        <v>80183</v>
      </c>
      <c r="AD120" s="154">
        <v>57</v>
      </c>
      <c r="AE120" s="154" t="s">
        <v>1551</v>
      </c>
      <c r="AF120" s="154">
        <v>57</v>
      </c>
      <c r="AG120" s="154" t="s">
        <v>1552</v>
      </c>
      <c r="AH120" s="154" t="s">
        <v>36</v>
      </c>
      <c r="AI120" s="154">
        <v>58</v>
      </c>
      <c r="AJ120" s="154">
        <v>428</v>
      </c>
      <c r="AK120" s="154" t="s">
        <v>1407</v>
      </c>
      <c r="AL120" s="154">
        <v>28013</v>
      </c>
      <c r="AM120" s="154" t="s">
        <v>1421</v>
      </c>
      <c r="AN120" s="154" t="s">
        <v>3004</v>
      </c>
      <c r="AO120" s="154">
        <v>28</v>
      </c>
      <c r="AP120" s="154" t="s">
        <v>1416</v>
      </c>
      <c r="AQ120" s="154">
        <v>0</v>
      </c>
      <c r="AR120" s="154" t="s">
        <v>1410</v>
      </c>
      <c r="AS120" s="154"/>
      <c r="AT120" s="154" t="s">
        <v>1411</v>
      </c>
      <c r="AU120" s="154" t="s">
        <v>1412</v>
      </c>
    </row>
    <row r="121" spans="1:47" x14ac:dyDescent="0.45">
      <c r="A121" s="154">
        <v>2505700046</v>
      </c>
      <c r="B121" s="154">
        <v>57</v>
      </c>
      <c r="C121" s="154" t="s">
        <v>1551</v>
      </c>
      <c r="D121" s="154">
        <v>57</v>
      </c>
      <c r="E121" s="154" t="s">
        <v>1552</v>
      </c>
      <c r="F121" s="154" t="s">
        <v>3005</v>
      </c>
      <c r="G121" s="154" t="s">
        <v>3006</v>
      </c>
      <c r="H121" s="154">
        <v>1</v>
      </c>
      <c r="I121" s="154" t="s">
        <v>1165</v>
      </c>
      <c r="J121" s="154" t="s">
        <v>1403</v>
      </c>
      <c r="K121" s="154">
        <v>2025</v>
      </c>
      <c r="L121" s="155">
        <v>2025</v>
      </c>
      <c r="M121" s="156">
        <v>45723</v>
      </c>
      <c r="N121" s="154" t="s">
        <v>36</v>
      </c>
      <c r="O121" s="154">
        <v>58</v>
      </c>
      <c r="P121" s="154">
        <v>290</v>
      </c>
      <c r="Q121" s="154" t="s">
        <v>1496</v>
      </c>
      <c r="R121" s="154">
        <v>2</v>
      </c>
      <c r="S121" s="154">
        <v>2</v>
      </c>
      <c r="T121" s="154" t="s">
        <v>1464</v>
      </c>
      <c r="U121" s="154">
        <v>1</v>
      </c>
      <c r="V121" s="155">
        <v>2580185</v>
      </c>
      <c r="W121" s="155">
        <v>0</v>
      </c>
      <c r="X121" s="155" t="s">
        <v>1406</v>
      </c>
      <c r="Y121" s="154"/>
      <c r="Z121" s="154" t="s">
        <v>1407</v>
      </c>
      <c r="AA121" s="156">
        <v>45740</v>
      </c>
      <c r="AB121" s="154">
        <v>25</v>
      </c>
      <c r="AC121" s="154">
        <v>80185</v>
      </c>
      <c r="AD121" s="154">
        <v>57</v>
      </c>
      <c r="AE121" s="154" t="s">
        <v>1551</v>
      </c>
      <c r="AF121" s="154">
        <v>57</v>
      </c>
      <c r="AG121" s="154" t="s">
        <v>1552</v>
      </c>
      <c r="AH121" s="154" t="s">
        <v>36</v>
      </c>
      <c r="AI121" s="154">
        <v>58</v>
      </c>
      <c r="AJ121" s="154">
        <v>290</v>
      </c>
      <c r="AK121" s="154" t="s">
        <v>1407</v>
      </c>
      <c r="AL121" s="154">
        <v>28282</v>
      </c>
      <c r="AM121" s="154" t="s">
        <v>1414</v>
      </c>
      <c r="AN121" s="154" t="s">
        <v>1572</v>
      </c>
      <c r="AO121" s="154">
        <v>28</v>
      </c>
      <c r="AP121" s="154" t="s">
        <v>1416</v>
      </c>
      <c r="AQ121" s="154">
        <v>0</v>
      </c>
      <c r="AR121" s="154" t="s">
        <v>1410</v>
      </c>
      <c r="AS121" s="154"/>
      <c r="AT121" s="154" t="s">
        <v>1417</v>
      </c>
      <c r="AU121" s="154" t="s">
        <v>1412</v>
      </c>
    </row>
    <row r="122" spans="1:47" x14ac:dyDescent="0.45">
      <c r="A122" s="154">
        <v>2505700047</v>
      </c>
      <c r="B122" s="154">
        <v>57</v>
      </c>
      <c r="C122" s="154" t="s">
        <v>1551</v>
      </c>
      <c r="D122" s="154">
        <v>57</v>
      </c>
      <c r="E122" s="154" t="s">
        <v>1552</v>
      </c>
      <c r="F122" s="154" t="s">
        <v>3007</v>
      </c>
      <c r="G122" s="154" t="s">
        <v>3008</v>
      </c>
      <c r="H122" s="154">
        <v>1</v>
      </c>
      <c r="I122" s="154" t="s">
        <v>3009</v>
      </c>
      <c r="J122" s="154" t="s">
        <v>1403</v>
      </c>
      <c r="K122" s="154">
        <v>2025</v>
      </c>
      <c r="L122" s="155">
        <v>2025</v>
      </c>
      <c r="M122" s="156">
        <v>45729</v>
      </c>
      <c r="N122" s="154" t="s">
        <v>36</v>
      </c>
      <c r="O122" s="154">
        <v>58</v>
      </c>
      <c r="P122" s="154">
        <v>428</v>
      </c>
      <c r="Q122" s="154" t="s">
        <v>1463</v>
      </c>
      <c r="R122" s="154">
        <v>2</v>
      </c>
      <c r="S122" s="154">
        <v>2</v>
      </c>
      <c r="T122" s="154" t="s">
        <v>1464</v>
      </c>
      <c r="U122" s="154">
        <v>1</v>
      </c>
      <c r="V122" s="155">
        <v>2580191</v>
      </c>
      <c r="W122" s="155">
        <v>0</v>
      </c>
      <c r="X122" s="155" t="s">
        <v>1406</v>
      </c>
      <c r="Y122" s="154"/>
      <c r="Z122" s="154" t="s">
        <v>1407</v>
      </c>
      <c r="AA122" s="156">
        <v>45743</v>
      </c>
      <c r="AB122" s="154">
        <v>25</v>
      </c>
      <c r="AC122" s="154">
        <v>80191</v>
      </c>
      <c r="AD122" s="154">
        <v>57</v>
      </c>
      <c r="AE122" s="154" t="s">
        <v>1551</v>
      </c>
      <c r="AF122" s="154">
        <v>57</v>
      </c>
      <c r="AG122" s="154" t="s">
        <v>1552</v>
      </c>
      <c r="AH122" s="154" t="s">
        <v>36</v>
      </c>
      <c r="AI122" s="154">
        <v>58</v>
      </c>
      <c r="AJ122" s="154">
        <v>428</v>
      </c>
      <c r="AK122" s="154" t="s">
        <v>1407</v>
      </c>
      <c r="AL122" s="154">
        <v>28198</v>
      </c>
      <c r="AM122" s="154" t="s">
        <v>1418</v>
      </c>
      <c r="AN122" s="154" t="s">
        <v>2808</v>
      </c>
      <c r="AO122" s="154">
        <v>28</v>
      </c>
      <c r="AP122" s="154" t="s">
        <v>1416</v>
      </c>
      <c r="AQ122" s="154">
        <v>0</v>
      </c>
      <c r="AR122" s="154" t="s">
        <v>1410</v>
      </c>
      <c r="AS122" s="154"/>
      <c r="AT122" s="154" t="s">
        <v>1417</v>
      </c>
      <c r="AU122" s="154" t="s">
        <v>1412</v>
      </c>
    </row>
    <row r="123" spans="1:47" x14ac:dyDescent="0.45">
      <c r="A123" s="154">
        <v>2505700048</v>
      </c>
      <c r="B123" s="154">
        <v>57</v>
      </c>
      <c r="C123" s="154" t="s">
        <v>1551</v>
      </c>
      <c r="D123" s="154">
        <v>57</v>
      </c>
      <c r="E123" s="154" t="s">
        <v>1552</v>
      </c>
      <c r="F123" s="154" t="s">
        <v>3010</v>
      </c>
      <c r="G123" s="154" t="s">
        <v>3011</v>
      </c>
      <c r="H123" s="154">
        <v>2</v>
      </c>
      <c r="I123" s="154" t="s">
        <v>3012</v>
      </c>
      <c r="J123" s="154" t="s">
        <v>1403</v>
      </c>
      <c r="K123" s="154">
        <v>0</v>
      </c>
      <c r="L123" s="155">
        <v>2025</v>
      </c>
      <c r="M123" s="156">
        <v>45731</v>
      </c>
      <c r="N123" s="154" t="s">
        <v>36</v>
      </c>
      <c r="O123" s="154">
        <v>57</v>
      </c>
      <c r="P123" s="154">
        <v>969</v>
      </c>
      <c r="Q123" s="154" t="s">
        <v>1582</v>
      </c>
      <c r="R123" s="154">
        <v>2</v>
      </c>
      <c r="S123" s="154">
        <v>3</v>
      </c>
      <c r="T123" s="154" t="s">
        <v>1477</v>
      </c>
      <c r="U123" s="154">
        <v>4</v>
      </c>
      <c r="V123" s="155">
        <v>2580206</v>
      </c>
      <c r="W123" s="155">
        <v>0</v>
      </c>
      <c r="X123" s="155" t="s">
        <v>1406</v>
      </c>
      <c r="Y123" s="154"/>
      <c r="Z123" s="154" t="s">
        <v>2901</v>
      </c>
      <c r="AA123" s="156">
        <v>45747</v>
      </c>
      <c r="AB123" s="154">
        <v>25</v>
      </c>
      <c r="AC123" s="154">
        <v>80206</v>
      </c>
      <c r="AD123" s="154">
        <v>57</v>
      </c>
      <c r="AE123" s="154" t="s">
        <v>1551</v>
      </c>
      <c r="AF123" s="154">
        <v>57</v>
      </c>
      <c r="AG123" s="154" t="s">
        <v>1552</v>
      </c>
      <c r="AH123" s="154" t="s">
        <v>36</v>
      </c>
      <c r="AI123" s="154">
        <v>57</v>
      </c>
      <c r="AJ123" s="154">
        <v>969</v>
      </c>
      <c r="AK123" s="154" t="s">
        <v>1407</v>
      </c>
      <c r="AL123" s="154">
        <v>28037</v>
      </c>
      <c r="AM123" s="154" t="s">
        <v>1418</v>
      </c>
      <c r="AN123" s="154" t="s">
        <v>3013</v>
      </c>
      <c r="AO123" s="154">
        <v>28</v>
      </c>
      <c r="AP123" s="154" t="s">
        <v>1416</v>
      </c>
      <c r="AQ123" s="154">
        <v>0</v>
      </c>
      <c r="AR123" s="154" t="s">
        <v>1410</v>
      </c>
      <c r="AS123" s="154"/>
      <c r="AT123" s="154" t="s">
        <v>1411</v>
      </c>
      <c r="AU123" s="154" t="s">
        <v>1412</v>
      </c>
    </row>
    <row r="124" spans="1:47" x14ac:dyDescent="0.45">
      <c r="A124" s="154">
        <v>2505700049</v>
      </c>
      <c r="B124" s="154">
        <v>57</v>
      </c>
      <c r="C124" s="154" t="s">
        <v>1551</v>
      </c>
      <c r="D124" s="154">
        <v>57</v>
      </c>
      <c r="E124" s="154" t="s">
        <v>1552</v>
      </c>
      <c r="F124" s="154" t="s">
        <v>3014</v>
      </c>
      <c r="G124" s="154" t="s">
        <v>3015</v>
      </c>
      <c r="H124" s="154">
        <v>1</v>
      </c>
      <c r="I124" s="154" t="s">
        <v>3016</v>
      </c>
      <c r="J124" s="154" t="s">
        <v>1403</v>
      </c>
      <c r="K124" s="154">
        <v>2025</v>
      </c>
      <c r="L124" s="155">
        <v>2025</v>
      </c>
      <c r="M124" s="156">
        <v>45731</v>
      </c>
      <c r="N124" s="154" t="s">
        <v>36</v>
      </c>
      <c r="O124" s="154">
        <v>58</v>
      </c>
      <c r="P124" s="154">
        <v>427</v>
      </c>
      <c r="Q124" s="154" t="s">
        <v>1479</v>
      </c>
      <c r="R124" s="154">
        <v>2</v>
      </c>
      <c r="S124" s="154">
        <v>2</v>
      </c>
      <c r="T124" s="154" t="s">
        <v>1464</v>
      </c>
      <c r="U124" s="154">
        <v>1</v>
      </c>
      <c r="V124" s="155">
        <v>2580215</v>
      </c>
      <c r="W124" s="155">
        <v>0</v>
      </c>
      <c r="X124" s="155" t="s">
        <v>1406</v>
      </c>
      <c r="Y124" s="154"/>
      <c r="Z124" s="154" t="s">
        <v>1407</v>
      </c>
      <c r="AA124" s="156">
        <v>45750</v>
      </c>
      <c r="AB124" s="154">
        <v>25</v>
      </c>
      <c r="AC124" s="154">
        <v>80215</v>
      </c>
      <c r="AD124" s="154">
        <v>57</v>
      </c>
      <c r="AE124" s="154" t="s">
        <v>1551</v>
      </c>
      <c r="AF124" s="154">
        <v>57</v>
      </c>
      <c r="AG124" s="154" t="s">
        <v>1552</v>
      </c>
      <c r="AH124" s="154" t="s">
        <v>36</v>
      </c>
      <c r="AI124" s="154">
        <v>58</v>
      </c>
      <c r="AJ124" s="154">
        <v>427</v>
      </c>
      <c r="AK124" s="154" t="s">
        <v>1407</v>
      </c>
      <c r="AL124" s="154">
        <v>28124</v>
      </c>
      <c r="AM124" s="154" t="s">
        <v>1414</v>
      </c>
      <c r="AN124" s="154" t="s">
        <v>1483</v>
      </c>
      <c r="AO124" s="154">
        <v>28</v>
      </c>
      <c r="AP124" s="154" t="s">
        <v>1416</v>
      </c>
      <c r="AQ124" s="154">
        <v>0</v>
      </c>
      <c r="AR124" s="154" t="s">
        <v>1410</v>
      </c>
      <c r="AS124" s="154"/>
      <c r="AT124" s="154" t="s">
        <v>1417</v>
      </c>
      <c r="AU124" s="154" t="s">
        <v>1412</v>
      </c>
    </row>
    <row r="125" spans="1:47" x14ac:dyDescent="0.45">
      <c r="A125" s="154">
        <v>2505700050</v>
      </c>
      <c r="B125" s="154">
        <v>57</v>
      </c>
      <c r="C125" s="154" t="s">
        <v>1551</v>
      </c>
      <c r="D125" s="154">
        <v>57</v>
      </c>
      <c r="E125" s="154" t="s">
        <v>1552</v>
      </c>
      <c r="F125" s="154" t="s">
        <v>3017</v>
      </c>
      <c r="G125" s="154" t="s">
        <v>3018</v>
      </c>
      <c r="H125" s="154">
        <v>1</v>
      </c>
      <c r="I125" s="154" t="s">
        <v>3019</v>
      </c>
      <c r="J125" s="154" t="s">
        <v>1403</v>
      </c>
      <c r="K125" s="154">
        <v>2025</v>
      </c>
      <c r="L125" s="155">
        <v>2025</v>
      </c>
      <c r="M125" s="156">
        <v>45734</v>
      </c>
      <c r="N125" s="154" t="s">
        <v>36</v>
      </c>
      <c r="O125" s="154">
        <v>58</v>
      </c>
      <c r="P125" s="154">
        <v>527</v>
      </c>
      <c r="Q125" s="154" t="s">
        <v>1537</v>
      </c>
      <c r="R125" s="154">
        <v>2</v>
      </c>
      <c r="S125" s="154">
        <v>2</v>
      </c>
      <c r="T125" s="154" t="s">
        <v>1464</v>
      </c>
      <c r="U125" s="154">
        <v>1</v>
      </c>
      <c r="V125" s="155">
        <v>2580204</v>
      </c>
      <c r="W125" s="155">
        <v>0</v>
      </c>
      <c r="X125" s="155" t="s">
        <v>1406</v>
      </c>
      <c r="Y125" s="154"/>
      <c r="Z125" s="154" t="s">
        <v>1424</v>
      </c>
      <c r="AA125" s="156">
        <v>45747</v>
      </c>
      <c r="AB125" s="154">
        <v>25</v>
      </c>
      <c r="AC125" s="154">
        <v>80204</v>
      </c>
      <c r="AD125" s="154">
        <v>57</v>
      </c>
      <c r="AE125" s="154" t="s">
        <v>1551</v>
      </c>
      <c r="AF125" s="154">
        <v>57</v>
      </c>
      <c r="AG125" s="154" t="s">
        <v>1552</v>
      </c>
      <c r="AH125" s="154" t="s">
        <v>36</v>
      </c>
      <c r="AI125" s="154">
        <v>58</v>
      </c>
      <c r="AJ125" s="154">
        <v>527</v>
      </c>
      <c r="AK125" s="154" t="s">
        <v>1407</v>
      </c>
      <c r="AL125" s="154">
        <v>28067</v>
      </c>
      <c r="AM125" s="154" t="s">
        <v>1418</v>
      </c>
      <c r="AN125" s="154" t="s">
        <v>3020</v>
      </c>
      <c r="AO125" s="154">
        <v>28</v>
      </c>
      <c r="AP125" s="154" t="s">
        <v>1416</v>
      </c>
      <c r="AQ125" s="154">
        <v>0</v>
      </c>
      <c r="AR125" s="154" t="s">
        <v>1410</v>
      </c>
      <c r="AS125" s="154"/>
      <c r="AT125" s="154" t="s">
        <v>1417</v>
      </c>
      <c r="AU125" s="154" t="s">
        <v>1412</v>
      </c>
    </row>
    <row r="126" spans="1:47" x14ac:dyDescent="0.45">
      <c r="A126" s="154">
        <v>2505700052</v>
      </c>
      <c r="B126" s="154">
        <v>57</v>
      </c>
      <c r="C126" s="154" t="s">
        <v>1551</v>
      </c>
      <c r="D126" s="154">
        <v>57</v>
      </c>
      <c r="E126" s="154" t="s">
        <v>1552</v>
      </c>
      <c r="F126" s="154" t="s">
        <v>3021</v>
      </c>
      <c r="G126" s="154" t="s">
        <v>3022</v>
      </c>
      <c r="H126" s="154">
        <v>1</v>
      </c>
      <c r="I126" s="154" t="s">
        <v>1585</v>
      </c>
      <c r="J126" s="154" t="s">
        <v>1403</v>
      </c>
      <c r="K126" s="154">
        <v>2025</v>
      </c>
      <c r="L126" s="155">
        <v>2025</v>
      </c>
      <c r="M126" s="156">
        <v>45734</v>
      </c>
      <c r="N126" s="154" t="s">
        <v>36</v>
      </c>
      <c r="O126" s="154">
        <v>58</v>
      </c>
      <c r="P126" s="154">
        <v>290</v>
      </c>
      <c r="Q126" s="154" t="s">
        <v>1496</v>
      </c>
      <c r="R126" s="154">
        <v>2</v>
      </c>
      <c r="S126" s="154">
        <v>2</v>
      </c>
      <c r="T126" s="154" t="s">
        <v>1464</v>
      </c>
      <c r="U126" s="154">
        <v>1</v>
      </c>
      <c r="V126" s="155">
        <v>2580190</v>
      </c>
      <c r="W126" s="155">
        <v>0</v>
      </c>
      <c r="X126" s="155" t="s">
        <v>1406</v>
      </c>
      <c r="Y126" s="154"/>
      <c r="Z126" s="154" t="s">
        <v>1424</v>
      </c>
      <c r="AA126" s="156">
        <v>45743</v>
      </c>
      <c r="AB126" s="154">
        <v>25</v>
      </c>
      <c r="AC126" s="154">
        <v>80190</v>
      </c>
      <c r="AD126" s="154">
        <v>57</v>
      </c>
      <c r="AE126" s="154" t="s">
        <v>1551</v>
      </c>
      <c r="AF126" s="154">
        <v>57</v>
      </c>
      <c r="AG126" s="154" t="s">
        <v>1552</v>
      </c>
      <c r="AH126" s="154" t="s">
        <v>36</v>
      </c>
      <c r="AI126" s="154">
        <v>58</v>
      </c>
      <c r="AJ126" s="154">
        <v>290</v>
      </c>
      <c r="AK126" s="154" t="s">
        <v>1407</v>
      </c>
      <c r="AL126" s="154">
        <v>28192</v>
      </c>
      <c r="AM126" s="154" t="s">
        <v>1418</v>
      </c>
      <c r="AN126" s="154" t="s">
        <v>2812</v>
      </c>
      <c r="AO126" s="154">
        <v>28</v>
      </c>
      <c r="AP126" s="154" t="s">
        <v>1416</v>
      </c>
      <c r="AQ126" s="154">
        <v>0</v>
      </c>
      <c r="AR126" s="154" t="s">
        <v>1410</v>
      </c>
      <c r="AS126" s="154"/>
      <c r="AT126" s="154" t="s">
        <v>1417</v>
      </c>
      <c r="AU126" s="154" t="s">
        <v>1412</v>
      </c>
    </row>
    <row r="127" spans="1:47" x14ac:dyDescent="0.45">
      <c r="A127" s="154">
        <v>2505700053</v>
      </c>
      <c r="B127" s="154">
        <v>57</v>
      </c>
      <c r="C127" s="154" t="s">
        <v>1551</v>
      </c>
      <c r="D127" s="154">
        <v>57</v>
      </c>
      <c r="E127" s="154" t="s">
        <v>1552</v>
      </c>
      <c r="F127" s="154" t="s">
        <v>3023</v>
      </c>
      <c r="G127" s="154" t="s">
        <v>3024</v>
      </c>
      <c r="H127" s="154">
        <v>1</v>
      </c>
      <c r="I127" s="154" t="s">
        <v>3025</v>
      </c>
      <c r="J127" s="154" t="s">
        <v>1403</v>
      </c>
      <c r="K127" s="154">
        <v>2025</v>
      </c>
      <c r="L127" s="155">
        <v>2025</v>
      </c>
      <c r="M127" s="156">
        <v>45735</v>
      </c>
      <c r="N127" s="154" t="s">
        <v>36</v>
      </c>
      <c r="O127" s="154">
        <v>58</v>
      </c>
      <c r="P127" s="154">
        <v>290</v>
      </c>
      <c r="Q127" s="154" t="s">
        <v>1496</v>
      </c>
      <c r="R127" s="154">
        <v>2</v>
      </c>
      <c r="S127" s="154">
        <v>2</v>
      </c>
      <c r="T127" s="154" t="s">
        <v>1464</v>
      </c>
      <c r="U127" s="154">
        <v>1</v>
      </c>
      <c r="V127" s="155">
        <v>2580192</v>
      </c>
      <c r="W127" s="155">
        <v>0</v>
      </c>
      <c r="X127" s="155" t="s">
        <v>1406</v>
      </c>
      <c r="Y127" s="154"/>
      <c r="Z127" s="154" t="s">
        <v>1424</v>
      </c>
      <c r="AA127" s="156">
        <v>45744</v>
      </c>
      <c r="AB127" s="154">
        <v>25</v>
      </c>
      <c r="AC127" s="154">
        <v>80192</v>
      </c>
      <c r="AD127" s="154">
        <v>57</v>
      </c>
      <c r="AE127" s="154" t="s">
        <v>1551</v>
      </c>
      <c r="AF127" s="154">
        <v>57</v>
      </c>
      <c r="AG127" s="154" t="s">
        <v>1552</v>
      </c>
      <c r="AH127" s="154" t="s">
        <v>36</v>
      </c>
      <c r="AI127" s="154">
        <v>58</v>
      </c>
      <c r="AJ127" s="154">
        <v>290</v>
      </c>
      <c r="AK127" s="154" t="s">
        <v>1407</v>
      </c>
      <c r="AL127" s="154">
        <v>28204</v>
      </c>
      <c r="AM127" s="154" t="s">
        <v>1418</v>
      </c>
      <c r="AN127" s="154" t="s">
        <v>2809</v>
      </c>
      <c r="AO127" s="154">
        <v>28</v>
      </c>
      <c r="AP127" s="154" t="s">
        <v>1416</v>
      </c>
      <c r="AQ127" s="154">
        <v>0</v>
      </c>
      <c r="AR127" s="154" t="s">
        <v>1410</v>
      </c>
      <c r="AS127" s="154"/>
      <c r="AT127" s="154" t="s">
        <v>1417</v>
      </c>
      <c r="AU127" s="154" t="s">
        <v>1412</v>
      </c>
    </row>
    <row r="128" spans="1:47" x14ac:dyDescent="0.45">
      <c r="A128" s="154">
        <v>2505700054</v>
      </c>
      <c r="B128" s="154">
        <v>57</v>
      </c>
      <c r="C128" s="154" t="s">
        <v>1551</v>
      </c>
      <c r="D128" s="154">
        <v>57</v>
      </c>
      <c r="E128" s="154" t="s">
        <v>1552</v>
      </c>
      <c r="F128" s="154" t="s">
        <v>3026</v>
      </c>
      <c r="G128" s="154" t="s">
        <v>3027</v>
      </c>
      <c r="H128" s="154">
        <v>2</v>
      </c>
      <c r="I128" s="154" t="s">
        <v>3028</v>
      </c>
      <c r="J128" s="154" t="s">
        <v>1403</v>
      </c>
      <c r="K128" s="154">
        <v>0</v>
      </c>
      <c r="L128" s="155">
        <v>2025</v>
      </c>
      <c r="M128" s="156">
        <v>45735</v>
      </c>
      <c r="N128" s="154" t="s">
        <v>36</v>
      </c>
      <c r="O128" s="154">
        <v>6</v>
      </c>
      <c r="P128" s="154">
        <v>488</v>
      </c>
      <c r="Q128" s="154" t="s">
        <v>1553</v>
      </c>
      <c r="R128" s="154">
        <v>2</v>
      </c>
      <c r="S128" s="154">
        <v>1</v>
      </c>
      <c r="T128" s="154" t="s">
        <v>1527</v>
      </c>
      <c r="U128" s="154">
        <v>3</v>
      </c>
      <c r="V128" s="155">
        <v>2580213</v>
      </c>
      <c r="W128" s="155">
        <v>0</v>
      </c>
      <c r="X128" s="155" t="s">
        <v>1406</v>
      </c>
      <c r="Y128" s="154"/>
      <c r="Z128" s="154" t="s">
        <v>1407</v>
      </c>
      <c r="AA128" s="156">
        <v>45749</v>
      </c>
      <c r="AB128" s="154">
        <v>25</v>
      </c>
      <c r="AC128" s="154">
        <v>80213</v>
      </c>
      <c r="AD128" s="154">
        <v>57</v>
      </c>
      <c r="AE128" s="154" t="s">
        <v>1551</v>
      </c>
      <c r="AF128" s="154">
        <v>57</v>
      </c>
      <c r="AG128" s="154" t="s">
        <v>1552</v>
      </c>
      <c r="AH128" s="154" t="s">
        <v>36</v>
      </c>
      <c r="AI128" s="154">
        <v>6</v>
      </c>
      <c r="AJ128" s="154">
        <v>488</v>
      </c>
      <c r="AK128" s="154" t="s">
        <v>1407</v>
      </c>
      <c r="AL128" s="154">
        <v>47065</v>
      </c>
      <c r="AM128" s="154" t="s">
        <v>1418</v>
      </c>
      <c r="AN128" s="154" t="s">
        <v>3029</v>
      </c>
      <c r="AO128" s="154">
        <v>47</v>
      </c>
      <c r="AP128" s="154" t="s">
        <v>1423</v>
      </c>
      <c r="AQ128" s="154">
        <v>0</v>
      </c>
      <c r="AR128" s="154" t="s">
        <v>1410</v>
      </c>
      <c r="AS128" s="154"/>
      <c r="AT128" s="154" t="s">
        <v>1411</v>
      </c>
      <c r="AU128" s="154" t="s">
        <v>1412</v>
      </c>
    </row>
    <row r="129" spans="1:47" x14ac:dyDescent="0.45">
      <c r="A129" s="154">
        <v>2505700055</v>
      </c>
      <c r="B129" s="154">
        <v>57</v>
      </c>
      <c r="C129" s="154" t="s">
        <v>1551</v>
      </c>
      <c r="D129" s="154">
        <v>57</v>
      </c>
      <c r="E129" s="154" t="s">
        <v>1552</v>
      </c>
      <c r="F129" s="154" t="s">
        <v>3030</v>
      </c>
      <c r="G129" s="154" t="s">
        <v>3031</v>
      </c>
      <c r="H129" s="154">
        <v>1</v>
      </c>
      <c r="I129" s="154" t="s">
        <v>3032</v>
      </c>
      <c r="J129" s="154" t="s">
        <v>1403</v>
      </c>
      <c r="K129" s="154">
        <v>2025</v>
      </c>
      <c r="L129" s="155">
        <v>2025</v>
      </c>
      <c r="M129" s="156">
        <v>45737</v>
      </c>
      <c r="N129" s="154" t="s">
        <v>36</v>
      </c>
      <c r="O129" s="154">
        <v>58</v>
      </c>
      <c r="P129" s="154">
        <v>968</v>
      </c>
      <c r="Q129" s="154" t="s">
        <v>1474</v>
      </c>
      <c r="R129" s="154">
        <v>2</v>
      </c>
      <c r="S129" s="154">
        <v>2</v>
      </c>
      <c r="T129" s="154" t="s">
        <v>1464</v>
      </c>
      <c r="U129" s="154">
        <v>1</v>
      </c>
      <c r="V129" s="155">
        <v>2580199</v>
      </c>
      <c r="W129" s="155">
        <v>0</v>
      </c>
      <c r="X129" s="155" t="s">
        <v>1406</v>
      </c>
      <c r="Y129" s="154"/>
      <c r="Z129" s="154" t="s">
        <v>1407</v>
      </c>
      <c r="AA129" s="156">
        <v>45745</v>
      </c>
      <c r="AB129" s="154">
        <v>25</v>
      </c>
      <c r="AC129" s="154">
        <v>80199</v>
      </c>
      <c r="AD129" s="154">
        <v>57</v>
      </c>
      <c r="AE129" s="154" t="s">
        <v>1551</v>
      </c>
      <c r="AF129" s="154">
        <v>57</v>
      </c>
      <c r="AG129" s="154" t="s">
        <v>1552</v>
      </c>
      <c r="AH129" s="154" t="s">
        <v>36</v>
      </c>
      <c r="AI129" s="154">
        <v>58</v>
      </c>
      <c r="AJ129" s="154">
        <v>968</v>
      </c>
      <c r="AK129" s="154" t="s">
        <v>1407</v>
      </c>
      <c r="AL129" s="154">
        <v>28180</v>
      </c>
      <c r="AM129" s="154" t="s">
        <v>1418</v>
      </c>
      <c r="AN129" s="154" t="s">
        <v>3033</v>
      </c>
      <c r="AO129" s="154">
        <v>28</v>
      </c>
      <c r="AP129" s="154" t="s">
        <v>1416</v>
      </c>
      <c r="AQ129" s="154">
        <v>0</v>
      </c>
      <c r="AR129" s="154" t="s">
        <v>1410</v>
      </c>
      <c r="AS129" s="154"/>
      <c r="AT129" s="154" t="s">
        <v>1417</v>
      </c>
      <c r="AU129" s="154" t="s">
        <v>1412</v>
      </c>
    </row>
    <row r="130" spans="1:47" x14ac:dyDescent="0.45">
      <c r="A130" s="154">
        <v>2505700056</v>
      </c>
      <c r="B130" s="154">
        <v>57</v>
      </c>
      <c r="C130" s="154" t="s">
        <v>1551</v>
      </c>
      <c r="D130" s="154">
        <v>57</v>
      </c>
      <c r="E130" s="154" t="s">
        <v>1552</v>
      </c>
      <c r="F130" s="154" t="s">
        <v>3034</v>
      </c>
      <c r="G130" s="154" t="s">
        <v>3035</v>
      </c>
      <c r="H130" s="154">
        <v>1</v>
      </c>
      <c r="I130" s="154" t="s">
        <v>241</v>
      </c>
      <c r="J130" s="154" t="s">
        <v>1403</v>
      </c>
      <c r="K130" s="154">
        <v>2025</v>
      </c>
      <c r="L130" s="155">
        <v>2025</v>
      </c>
      <c r="M130" s="156">
        <v>45738</v>
      </c>
      <c r="N130" s="154" t="s">
        <v>36</v>
      </c>
      <c r="O130" s="154">
        <v>58</v>
      </c>
      <c r="P130" s="154">
        <v>427</v>
      </c>
      <c r="Q130" s="154" t="s">
        <v>1479</v>
      </c>
      <c r="R130" s="154">
        <v>2</v>
      </c>
      <c r="S130" s="154">
        <v>2</v>
      </c>
      <c r="T130" s="154" t="s">
        <v>1464</v>
      </c>
      <c r="U130" s="154">
        <v>1</v>
      </c>
      <c r="V130" s="155">
        <v>2580200</v>
      </c>
      <c r="W130" s="155">
        <v>0</v>
      </c>
      <c r="X130" s="155" t="s">
        <v>1406</v>
      </c>
      <c r="Y130" s="154"/>
      <c r="Z130" s="154" t="s">
        <v>1407</v>
      </c>
      <c r="AA130" s="156">
        <v>45745</v>
      </c>
      <c r="AB130" s="154">
        <v>25</v>
      </c>
      <c r="AC130" s="154">
        <v>80200</v>
      </c>
      <c r="AD130" s="154">
        <v>57</v>
      </c>
      <c r="AE130" s="154" t="s">
        <v>1551</v>
      </c>
      <c r="AF130" s="154">
        <v>57</v>
      </c>
      <c r="AG130" s="154" t="s">
        <v>1552</v>
      </c>
      <c r="AH130" s="154" t="s">
        <v>36</v>
      </c>
      <c r="AI130" s="154">
        <v>58</v>
      </c>
      <c r="AJ130" s="154">
        <v>427</v>
      </c>
      <c r="AK130" s="154" t="s">
        <v>1407</v>
      </c>
      <c r="AL130" s="154">
        <v>28009</v>
      </c>
      <c r="AM130" s="154" t="s">
        <v>1418</v>
      </c>
      <c r="AN130" s="154" t="s">
        <v>1607</v>
      </c>
      <c r="AO130" s="154">
        <v>28</v>
      </c>
      <c r="AP130" s="154" t="s">
        <v>1416</v>
      </c>
      <c r="AQ130" s="154">
        <v>0</v>
      </c>
      <c r="AR130" s="154" t="s">
        <v>1410</v>
      </c>
      <c r="AS130" s="154"/>
      <c r="AT130" s="154" t="s">
        <v>1417</v>
      </c>
      <c r="AU130" s="154" t="s">
        <v>1412</v>
      </c>
    </row>
    <row r="131" spans="1:47" x14ac:dyDescent="0.45">
      <c r="A131" s="154">
        <v>2505700057</v>
      </c>
      <c r="B131" s="154">
        <v>57</v>
      </c>
      <c r="C131" s="154" t="s">
        <v>1551</v>
      </c>
      <c r="D131" s="154">
        <v>57</v>
      </c>
      <c r="E131" s="154" t="s">
        <v>1552</v>
      </c>
      <c r="F131" s="154" t="s">
        <v>3036</v>
      </c>
      <c r="G131" s="154" t="s">
        <v>3037</v>
      </c>
      <c r="H131" s="154">
        <v>1</v>
      </c>
      <c r="I131" s="154" t="s">
        <v>3038</v>
      </c>
      <c r="J131" s="154" t="s">
        <v>1590</v>
      </c>
      <c r="K131" s="154">
        <v>2025</v>
      </c>
      <c r="L131" s="155">
        <v>2025</v>
      </c>
      <c r="M131" s="156">
        <v>45738</v>
      </c>
      <c r="N131" s="154" t="s">
        <v>36</v>
      </c>
      <c r="O131" s="154">
        <v>57</v>
      </c>
      <c r="P131" s="154">
        <v>1044</v>
      </c>
      <c r="Q131" s="154" t="s">
        <v>1476</v>
      </c>
      <c r="R131" s="154">
        <v>2</v>
      </c>
      <c r="S131" s="154">
        <v>3</v>
      </c>
      <c r="T131" s="154" t="s">
        <v>1477</v>
      </c>
      <c r="U131" s="154">
        <v>4</v>
      </c>
      <c r="V131" s="155">
        <v>2580195</v>
      </c>
      <c r="W131" s="155">
        <v>0</v>
      </c>
      <c r="X131" s="155" t="s">
        <v>1406</v>
      </c>
      <c r="Y131" s="154"/>
      <c r="Z131" s="154" t="s">
        <v>1407</v>
      </c>
      <c r="AA131" s="156">
        <v>45744</v>
      </c>
      <c r="AB131" s="154">
        <v>25</v>
      </c>
      <c r="AC131" s="154">
        <v>80195</v>
      </c>
      <c r="AD131" s="154">
        <v>57</v>
      </c>
      <c r="AE131" s="154" t="s">
        <v>1551</v>
      </c>
      <c r="AF131" s="154">
        <v>57</v>
      </c>
      <c r="AG131" s="154" t="s">
        <v>1552</v>
      </c>
      <c r="AH131" s="154" t="s">
        <v>36</v>
      </c>
      <c r="AI131" s="154">
        <v>57</v>
      </c>
      <c r="AJ131" s="154">
        <v>1044</v>
      </c>
      <c r="AK131" s="154" t="s">
        <v>1407</v>
      </c>
      <c r="AL131" s="154">
        <v>1347</v>
      </c>
      <c r="AM131" s="154" t="s">
        <v>1421</v>
      </c>
      <c r="AN131" s="154" t="s">
        <v>1445</v>
      </c>
      <c r="AO131" s="154">
        <v>1</v>
      </c>
      <c r="AP131" s="154" t="s">
        <v>1443</v>
      </c>
      <c r="AQ131" s="154">
        <v>0</v>
      </c>
      <c r="AR131" s="154" t="s">
        <v>1410</v>
      </c>
      <c r="AS131" s="154"/>
      <c r="AT131" s="154" t="s">
        <v>1417</v>
      </c>
      <c r="AU131" s="154" t="s">
        <v>1412</v>
      </c>
    </row>
    <row r="132" spans="1:47" x14ac:dyDescent="0.45">
      <c r="A132" s="154">
        <v>2505700058</v>
      </c>
      <c r="B132" s="154">
        <v>57</v>
      </c>
      <c r="C132" s="154" t="s">
        <v>1551</v>
      </c>
      <c r="D132" s="154">
        <v>57</v>
      </c>
      <c r="E132" s="154" t="s">
        <v>1552</v>
      </c>
      <c r="F132" s="154" t="s">
        <v>3039</v>
      </c>
      <c r="G132" s="154" t="s">
        <v>3040</v>
      </c>
      <c r="H132" s="154">
        <v>1</v>
      </c>
      <c r="I132" s="154" t="s">
        <v>3041</v>
      </c>
      <c r="J132" s="154" t="s">
        <v>1590</v>
      </c>
      <c r="K132" s="154">
        <v>2025</v>
      </c>
      <c r="L132" s="155">
        <v>2025</v>
      </c>
      <c r="M132" s="156">
        <v>45738</v>
      </c>
      <c r="N132" s="154" t="s">
        <v>36</v>
      </c>
      <c r="O132" s="154">
        <v>6</v>
      </c>
      <c r="P132" s="154">
        <v>488</v>
      </c>
      <c r="Q132" s="154" t="s">
        <v>1553</v>
      </c>
      <c r="R132" s="154">
        <v>2</v>
      </c>
      <c r="S132" s="154">
        <v>1</v>
      </c>
      <c r="T132" s="154" t="s">
        <v>1527</v>
      </c>
      <c r="U132" s="154">
        <v>3</v>
      </c>
      <c r="V132" s="155">
        <v>2580201</v>
      </c>
      <c r="W132" s="155">
        <v>0</v>
      </c>
      <c r="X132" s="155" t="s">
        <v>1406</v>
      </c>
      <c r="Y132" s="154"/>
      <c r="Z132" s="154" t="s">
        <v>1424</v>
      </c>
      <c r="AA132" s="156">
        <v>45745</v>
      </c>
      <c r="AB132" s="154">
        <v>25</v>
      </c>
      <c r="AC132" s="154">
        <v>80201</v>
      </c>
      <c r="AD132" s="154">
        <v>57</v>
      </c>
      <c r="AE132" s="154" t="s">
        <v>1551</v>
      </c>
      <c r="AF132" s="154">
        <v>57</v>
      </c>
      <c r="AG132" s="154" t="s">
        <v>1552</v>
      </c>
      <c r="AH132" s="154" t="s">
        <v>36</v>
      </c>
      <c r="AI132" s="154">
        <v>6</v>
      </c>
      <c r="AJ132" s="154">
        <v>488</v>
      </c>
      <c r="AK132" s="154" t="s">
        <v>1407</v>
      </c>
      <c r="AL132" s="154">
        <v>27150</v>
      </c>
      <c r="AM132" s="154" t="s">
        <v>1421</v>
      </c>
      <c r="AN132" s="154" t="s">
        <v>3042</v>
      </c>
      <c r="AO132" s="154">
        <v>27</v>
      </c>
      <c r="AP132" s="154" t="s">
        <v>1581</v>
      </c>
      <c r="AQ132" s="154">
        <v>0</v>
      </c>
      <c r="AR132" s="154" t="s">
        <v>1410</v>
      </c>
      <c r="AS132" s="154"/>
      <c r="AT132" s="154" t="s">
        <v>1417</v>
      </c>
      <c r="AU132" s="154" t="s">
        <v>1412</v>
      </c>
    </row>
    <row r="133" spans="1:47" x14ac:dyDescent="0.45">
      <c r="A133" s="154">
        <v>2505700059</v>
      </c>
      <c r="B133" s="154">
        <v>57</v>
      </c>
      <c r="C133" s="154" t="s">
        <v>1551</v>
      </c>
      <c r="D133" s="154">
        <v>57</v>
      </c>
      <c r="E133" s="154" t="s">
        <v>1552</v>
      </c>
      <c r="F133" s="154" t="s">
        <v>3043</v>
      </c>
      <c r="G133" s="154" t="s">
        <v>3044</v>
      </c>
      <c r="H133" s="154">
        <v>1</v>
      </c>
      <c r="I133" s="154" t="s">
        <v>2065</v>
      </c>
      <c r="J133" s="154" t="s">
        <v>1403</v>
      </c>
      <c r="K133" s="154">
        <v>0</v>
      </c>
      <c r="L133" s="155">
        <v>2025</v>
      </c>
      <c r="M133" s="156">
        <v>45740</v>
      </c>
      <c r="N133" s="154" t="s">
        <v>36</v>
      </c>
      <c r="O133" s="154" t="s">
        <v>51</v>
      </c>
      <c r="P133" s="154">
        <v>968</v>
      </c>
      <c r="Q133" s="154" t="s">
        <v>1474</v>
      </c>
      <c r="R133" s="154">
        <v>1</v>
      </c>
      <c r="S133" s="154">
        <v>2</v>
      </c>
      <c r="T133" s="154" t="s">
        <v>1464</v>
      </c>
      <c r="U133" s="154">
        <v>1</v>
      </c>
      <c r="V133" s="155">
        <v>2580193</v>
      </c>
      <c r="W133" s="155">
        <v>0</v>
      </c>
      <c r="X133" s="155" t="s">
        <v>1406</v>
      </c>
      <c r="Y133" s="154"/>
      <c r="Z133" s="154" t="s">
        <v>1407</v>
      </c>
      <c r="AA133" s="156">
        <v>45744</v>
      </c>
      <c r="AB133" s="154">
        <v>25</v>
      </c>
      <c r="AC133" s="154">
        <v>80193</v>
      </c>
      <c r="AD133" s="154">
        <v>57</v>
      </c>
      <c r="AE133" s="154" t="s">
        <v>1551</v>
      </c>
      <c r="AF133" s="154">
        <v>57</v>
      </c>
      <c r="AG133" s="154" t="s">
        <v>1552</v>
      </c>
      <c r="AH133" s="154" t="s">
        <v>36</v>
      </c>
      <c r="AI133" s="154" t="s">
        <v>51</v>
      </c>
      <c r="AJ133" s="154">
        <v>968</v>
      </c>
      <c r="AK133" s="154" t="s">
        <v>1407</v>
      </c>
      <c r="AL133" s="154">
        <v>28122</v>
      </c>
      <c r="AM133" s="154" t="s">
        <v>1418</v>
      </c>
      <c r="AN133" s="154" t="s">
        <v>1428</v>
      </c>
      <c r="AO133" s="154">
        <v>28</v>
      </c>
      <c r="AP133" s="154" t="s">
        <v>1416</v>
      </c>
      <c r="AQ133" s="154">
        <v>0</v>
      </c>
      <c r="AR133" s="154" t="s">
        <v>1410</v>
      </c>
      <c r="AS133" s="154"/>
      <c r="AT133" s="154" t="s">
        <v>1411</v>
      </c>
      <c r="AU133" s="154" t="s">
        <v>1412</v>
      </c>
    </row>
    <row r="134" spans="1:47" x14ac:dyDescent="0.45">
      <c r="A134" s="154">
        <v>2505700062</v>
      </c>
      <c r="B134" s="154">
        <v>57</v>
      </c>
      <c r="C134" s="154" t="s">
        <v>1551</v>
      </c>
      <c r="D134" s="154">
        <v>57</v>
      </c>
      <c r="E134" s="154" t="s">
        <v>1552</v>
      </c>
      <c r="F134" s="154" t="s">
        <v>3045</v>
      </c>
      <c r="G134" s="154" t="s">
        <v>3046</v>
      </c>
      <c r="H134" s="154">
        <v>1</v>
      </c>
      <c r="I134" s="154" t="s">
        <v>3047</v>
      </c>
      <c r="J134" s="154" t="s">
        <v>1588</v>
      </c>
      <c r="K134" s="154">
        <v>2025</v>
      </c>
      <c r="L134" s="155">
        <v>2025</v>
      </c>
      <c r="M134" s="156">
        <v>45741</v>
      </c>
      <c r="N134" s="154" t="s">
        <v>36</v>
      </c>
      <c r="O134" s="154">
        <v>7</v>
      </c>
      <c r="P134" s="154">
        <v>266</v>
      </c>
      <c r="Q134" s="154" t="s">
        <v>1526</v>
      </c>
      <c r="R134" s="154">
        <v>2</v>
      </c>
      <c r="S134" s="154">
        <v>1</v>
      </c>
      <c r="T134" s="154" t="s">
        <v>1527</v>
      </c>
      <c r="U134" s="154">
        <v>3</v>
      </c>
      <c r="V134" s="155">
        <v>2580194</v>
      </c>
      <c r="W134" s="155">
        <v>0</v>
      </c>
      <c r="X134" s="155" t="s">
        <v>1406</v>
      </c>
      <c r="Y134" s="154"/>
      <c r="Z134" s="154" t="s">
        <v>1407</v>
      </c>
      <c r="AA134" s="156">
        <v>45744</v>
      </c>
      <c r="AB134" s="154">
        <v>25</v>
      </c>
      <c r="AC134" s="154">
        <v>80194</v>
      </c>
      <c r="AD134" s="154">
        <v>57</v>
      </c>
      <c r="AE134" s="154" t="s">
        <v>1551</v>
      </c>
      <c r="AF134" s="154">
        <v>57</v>
      </c>
      <c r="AG134" s="154" t="s">
        <v>1552</v>
      </c>
      <c r="AH134" s="154" t="s">
        <v>36</v>
      </c>
      <c r="AI134" s="154">
        <v>7</v>
      </c>
      <c r="AJ134" s="154">
        <v>266</v>
      </c>
      <c r="AK134" s="154" t="s">
        <v>1407</v>
      </c>
      <c r="AL134" s="154">
        <v>29009</v>
      </c>
      <c r="AM134" s="154" t="s">
        <v>1414</v>
      </c>
      <c r="AN134" s="154" t="s">
        <v>3048</v>
      </c>
      <c r="AO134" s="154">
        <v>29</v>
      </c>
      <c r="AP134" s="154" t="s">
        <v>1589</v>
      </c>
      <c r="AQ134" s="154">
        <v>0</v>
      </c>
      <c r="AR134" s="154" t="s">
        <v>1410</v>
      </c>
      <c r="AS134" s="154"/>
      <c r="AT134" s="154" t="s">
        <v>1417</v>
      </c>
      <c r="AU134" s="154" t="s">
        <v>1412</v>
      </c>
    </row>
    <row r="135" spans="1:47" x14ac:dyDescent="0.45">
      <c r="A135" s="154">
        <v>2505700063</v>
      </c>
      <c r="B135" s="154">
        <v>57</v>
      </c>
      <c r="C135" s="154" t="s">
        <v>1551</v>
      </c>
      <c r="D135" s="154">
        <v>57</v>
      </c>
      <c r="E135" s="154" t="s">
        <v>1552</v>
      </c>
      <c r="F135" s="154" t="s">
        <v>3049</v>
      </c>
      <c r="G135" s="154" t="s">
        <v>3050</v>
      </c>
      <c r="H135" s="154">
        <v>1</v>
      </c>
      <c r="I135" s="154" t="s">
        <v>3051</v>
      </c>
      <c r="J135" s="154" t="s">
        <v>1403</v>
      </c>
      <c r="K135" s="154">
        <v>0</v>
      </c>
      <c r="L135" s="155">
        <v>2025</v>
      </c>
      <c r="M135" s="156">
        <v>45742</v>
      </c>
      <c r="N135" s="154" t="s">
        <v>36</v>
      </c>
      <c r="O135" s="154">
        <v>7</v>
      </c>
      <c r="P135" s="154">
        <v>266</v>
      </c>
      <c r="Q135" s="154" t="s">
        <v>1526</v>
      </c>
      <c r="R135" s="154">
        <v>2</v>
      </c>
      <c r="S135" s="154">
        <v>1</v>
      </c>
      <c r="T135" s="154" t="s">
        <v>1527</v>
      </c>
      <c r="U135" s="154">
        <v>3</v>
      </c>
      <c r="V135" s="155">
        <v>2580208</v>
      </c>
      <c r="W135" s="155">
        <v>0</v>
      </c>
      <c r="X135" s="155" t="s">
        <v>1406</v>
      </c>
      <c r="Y135" s="154"/>
      <c r="Z135" s="154" t="s">
        <v>1407</v>
      </c>
      <c r="AA135" s="156">
        <v>45748</v>
      </c>
      <c r="AB135" s="154">
        <v>25</v>
      </c>
      <c r="AC135" s="154">
        <v>80208</v>
      </c>
      <c r="AD135" s="154">
        <v>57</v>
      </c>
      <c r="AE135" s="154" t="s">
        <v>1551</v>
      </c>
      <c r="AF135" s="154">
        <v>57</v>
      </c>
      <c r="AG135" s="154" t="s">
        <v>1552</v>
      </c>
      <c r="AH135" s="154" t="s">
        <v>36</v>
      </c>
      <c r="AI135" s="154">
        <v>7</v>
      </c>
      <c r="AJ135" s="154">
        <v>266</v>
      </c>
      <c r="AK135" s="154" t="s">
        <v>1407</v>
      </c>
      <c r="AL135" s="154">
        <v>28063</v>
      </c>
      <c r="AM135" s="154" t="s">
        <v>1418</v>
      </c>
      <c r="AN135" s="154" t="s">
        <v>2863</v>
      </c>
      <c r="AO135" s="154">
        <v>28</v>
      </c>
      <c r="AP135" s="154" t="s">
        <v>1416</v>
      </c>
      <c r="AQ135" s="154">
        <v>0</v>
      </c>
      <c r="AR135" s="154" t="s">
        <v>1410</v>
      </c>
      <c r="AS135" s="154"/>
      <c r="AT135" s="154" t="s">
        <v>1411</v>
      </c>
      <c r="AU135" s="154" t="s">
        <v>1412</v>
      </c>
    </row>
    <row r="136" spans="1:47" x14ac:dyDescent="0.45">
      <c r="A136" s="154">
        <v>2505700064</v>
      </c>
      <c r="B136" s="154">
        <v>57</v>
      </c>
      <c r="C136" s="154" t="s">
        <v>1551</v>
      </c>
      <c r="D136" s="154">
        <v>57</v>
      </c>
      <c r="E136" s="154" t="s">
        <v>1552</v>
      </c>
      <c r="F136" s="154" t="s">
        <v>3052</v>
      </c>
      <c r="G136" s="154" t="s">
        <v>3053</v>
      </c>
      <c r="H136" s="154">
        <v>1</v>
      </c>
      <c r="I136" s="154" t="s">
        <v>3054</v>
      </c>
      <c r="J136" s="154" t="s">
        <v>1590</v>
      </c>
      <c r="K136" s="154">
        <v>2025</v>
      </c>
      <c r="L136" s="155">
        <v>2025</v>
      </c>
      <c r="M136" s="156">
        <v>45742</v>
      </c>
      <c r="N136" s="154" t="s">
        <v>36</v>
      </c>
      <c r="O136" s="154">
        <v>57</v>
      </c>
      <c r="P136" s="154">
        <v>645</v>
      </c>
      <c r="Q136" s="154" t="s">
        <v>1544</v>
      </c>
      <c r="R136" s="154">
        <v>2</v>
      </c>
      <c r="S136" s="154">
        <v>3</v>
      </c>
      <c r="T136" s="154" t="s">
        <v>1477</v>
      </c>
      <c r="U136" s="154">
        <v>4</v>
      </c>
      <c r="V136" s="155">
        <v>2580212</v>
      </c>
      <c r="W136" s="155">
        <v>0</v>
      </c>
      <c r="X136" s="155" t="s">
        <v>1406</v>
      </c>
      <c r="Y136" s="154"/>
      <c r="Z136" s="154" t="s">
        <v>1424</v>
      </c>
      <c r="AA136" s="156">
        <v>45748</v>
      </c>
      <c r="AB136" s="154">
        <v>25</v>
      </c>
      <c r="AC136" s="154">
        <v>80212</v>
      </c>
      <c r="AD136" s="154">
        <v>57</v>
      </c>
      <c r="AE136" s="154" t="s">
        <v>1551</v>
      </c>
      <c r="AF136" s="154">
        <v>57</v>
      </c>
      <c r="AG136" s="154" t="s">
        <v>1552</v>
      </c>
      <c r="AH136" s="154" t="s">
        <v>36</v>
      </c>
      <c r="AI136" s="154">
        <v>57</v>
      </c>
      <c r="AJ136" s="154">
        <v>645</v>
      </c>
      <c r="AK136" s="154" t="s">
        <v>1407</v>
      </c>
      <c r="AL136" s="154">
        <v>27118</v>
      </c>
      <c r="AM136" s="154" t="s">
        <v>1512</v>
      </c>
      <c r="AN136" s="154" t="s">
        <v>3055</v>
      </c>
      <c r="AO136" s="154">
        <v>27</v>
      </c>
      <c r="AP136" s="154" t="s">
        <v>1581</v>
      </c>
      <c r="AQ136" s="154">
        <v>0</v>
      </c>
      <c r="AR136" s="154" t="s">
        <v>1410</v>
      </c>
      <c r="AS136" s="154"/>
      <c r="AT136" s="154" t="s">
        <v>1417</v>
      </c>
      <c r="AU136" s="154" t="s">
        <v>1412</v>
      </c>
    </row>
    <row r="137" spans="1:47" x14ac:dyDescent="0.45">
      <c r="A137" s="154">
        <v>2505700065</v>
      </c>
      <c r="B137" s="154">
        <v>57</v>
      </c>
      <c r="C137" s="154" t="s">
        <v>1551</v>
      </c>
      <c r="D137" s="154">
        <v>57</v>
      </c>
      <c r="E137" s="154" t="s">
        <v>1552</v>
      </c>
      <c r="F137" s="154" t="s">
        <v>3056</v>
      </c>
      <c r="G137" s="154" t="s">
        <v>3057</v>
      </c>
      <c r="H137" s="154">
        <v>1</v>
      </c>
      <c r="I137" s="154" t="s">
        <v>3058</v>
      </c>
      <c r="J137" s="154" t="s">
        <v>1403</v>
      </c>
      <c r="K137" s="154">
        <v>0</v>
      </c>
      <c r="L137" s="155">
        <v>2025</v>
      </c>
      <c r="M137" s="156">
        <v>45743</v>
      </c>
      <c r="N137" s="154" t="s">
        <v>36</v>
      </c>
      <c r="O137" s="154">
        <v>7</v>
      </c>
      <c r="P137" s="154">
        <v>266</v>
      </c>
      <c r="Q137" s="154" t="s">
        <v>1526</v>
      </c>
      <c r="R137" s="154">
        <v>2</v>
      </c>
      <c r="S137" s="154">
        <v>1</v>
      </c>
      <c r="T137" s="154" t="s">
        <v>1527</v>
      </c>
      <c r="U137" s="154">
        <v>3</v>
      </c>
      <c r="V137" s="155">
        <v>2580207</v>
      </c>
      <c r="W137" s="155">
        <v>0</v>
      </c>
      <c r="X137" s="155" t="s">
        <v>1406</v>
      </c>
      <c r="Y137" s="154"/>
      <c r="Z137" s="154" t="s">
        <v>1407</v>
      </c>
      <c r="AA137" s="156">
        <v>45747</v>
      </c>
      <c r="AB137" s="154">
        <v>25</v>
      </c>
      <c r="AC137" s="154">
        <v>80207</v>
      </c>
      <c r="AD137" s="154">
        <v>57</v>
      </c>
      <c r="AE137" s="154" t="s">
        <v>1551</v>
      </c>
      <c r="AF137" s="154">
        <v>57</v>
      </c>
      <c r="AG137" s="154" t="s">
        <v>1552</v>
      </c>
      <c r="AH137" s="154" t="s">
        <v>36</v>
      </c>
      <c r="AI137" s="154">
        <v>7</v>
      </c>
      <c r="AJ137" s="154">
        <v>266</v>
      </c>
      <c r="AK137" s="154" t="s">
        <v>1407</v>
      </c>
      <c r="AL137" s="154">
        <v>28026</v>
      </c>
      <c r="AM137" s="154" t="s">
        <v>1421</v>
      </c>
      <c r="AN137" s="154" t="s">
        <v>2831</v>
      </c>
      <c r="AO137" s="154">
        <v>28</v>
      </c>
      <c r="AP137" s="154" t="s">
        <v>1416</v>
      </c>
      <c r="AQ137" s="154">
        <v>0</v>
      </c>
      <c r="AR137" s="154" t="s">
        <v>1410</v>
      </c>
      <c r="AS137" s="154"/>
      <c r="AT137" s="154" t="s">
        <v>1411</v>
      </c>
      <c r="AU137" s="154" t="s">
        <v>1412</v>
      </c>
    </row>
    <row r="138" spans="1:47" x14ac:dyDescent="0.45">
      <c r="A138" s="154">
        <v>2505700066</v>
      </c>
      <c r="B138" s="154">
        <v>57</v>
      </c>
      <c r="C138" s="154" t="s">
        <v>1551</v>
      </c>
      <c r="D138" s="154">
        <v>57</v>
      </c>
      <c r="E138" s="154" t="s">
        <v>1552</v>
      </c>
      <c r="F138" s="154" t="s">
        <v>3059</v>
      </c>
      <c r="G138" s="154" t="s">
        <v>3060</v>
      </c>
      <c r="H138" s="154">
        <v>1</v>
      </c>
      <c r="I138" s="154" t="s">
        <v>3061</v>
      </c>
      <c r="J138" s="154" t="s">
        <v>1403</v>
      </c>
      <c r="K138" s="154">
        <v>0</v>
      </c>
      <c r="L138" s="155">
        <v>2025</v>
      </c>
      <c r="M138" s="156">
        <v>45745</v>
      </c>
      <c r="N138" s="154" t="s">
        <v>36</v>
      </c>
      <c r="O138" s="154">
        <v>57</v>
      </c>
      <c r="P138" s="154">
        <v>969</v>
      </c>
      <c r="Q138" s="154" t="s">
        <v>1582</v>
      </c>
      <c r="R138" s="154">
        <v>2</v>
      </c>
      <c r="S138" s="154">
        <v>3</v>
      </c>
      <c r="T138" s="154" t="s">
        <v>1477</v>
      </c>
      <c r="U138" s="154">
        <v>4</v>
      </c>
      <c r="V138" s="155">
        <v>2580210</v>
      </c>
      <c r="W138" s="155">
        <v>0</v>
      </c>
      <c r="X138" s="155" t="s">
        <v>1406</v>
      </c>
      <c r="Y138" s="154"/>
      <c r="Z138" s="154" t="s">
        <v>1407</v>
      </c>
      <c r="AA138" s="156">
        <v>45748</v>
      </c>
      <c r="AB138" s="154">
        <v>25</v>
      </c>
      <c r="AC138" s="154">
        <v>80210</v>
      </c>
      <c r="AD138" s="154">
        <v>57</v>
      </c>
      <c r="AE138" s="154" t="s">
        <v>1551</v>
      </c>
      <c r="AF138" s="154">
        <v>57</v>
      </c>
      <c r="AG138" s="154" t="s">
        <v>1552</v>
      </c>
      <c r="AH138" s="154" t="s">
        <v>36</v>
      </c>
      <c r="AI138" s="154">
        <v>57</v>
      </c>
      <c r="AJ138" s="154">
        <v>969</v>
      </c>
      <c r="AK138" s="154" t="s">
        <v>1407</v>
      </c>
      <c r="AL138" s="154">
        <v>28064</v>
      </c>
      <c r="AM138" s="154" t="s">
        <v>1418</v>
      </c>
      <c r="AN138" s="154" t="s">
        <v>3062</v>
      </c>
      <c r="AO138" s="154">
        <v>28</v>
      </c>
      <c r="AP138" s="154" t="s">
        <v>1416</v>
      </c>
      <c r="AQ138" s="154">
        <v>0</v>
      </c>
      <c r="AR138" s="154" t="s">
        <v>1410</v>
      </c>
      <c r="AS138" s="154"/>
      <c r="AT138" s="154" t="s">
        <v>1411</v>
      </c>
      <c r="AU138" s="154" t="s">
        <v>1412</v>
      </c>
    </row>
    <row r="139" spans="1:47" x14ac:dyDescent="0.45">
      <c r="A139" s="154">
        <v>2505700067</v>
      </c>
      <c r="B139" s="154">
        <v>57</v>
      </c>
      <c r="C139" s="154" t="s">
        <v>1551</v>
      </c>
      <c r="D139" s="154">
        <v>57</v>
      </c>
      <c r="E139" s="154" t="s">
        <v>1552</v>
      </c>
      <c r="F139" s="154" t="s">
        <v>72</v>
      </c>
      <c r="G139" s="154" t="s">
        <v>73</v>
      </c>
      <c r="H139" s="154">
        <v>2</v>
      </c>
      <c r="I139" s="154" t="s">
        <v>3063</v>
      </c>
      <c r="J139" s="154" t="s">
        <v>1590</v>
      </c>
      <c r="K139" s="154">
        <v>0</v>
      </c>
      <c r="L139" s="155">
        <v>2025</v>
      </c>
      <c r="M139" s="156">
        <v>45747</v>
      </c>
      <c r="N139" s="154" t="s">
        <v>36</v>
      </c>
      <c r="O139" s="154">
        <v>6</v>
      </c>
      <c r="P139" s="154">
        <v>448</v>
      </c>
      <c r="Q139" s="154" t="s">
        <v>1557</v>
      </c>
      <c r="R139" s="154">
        <v>2</v>
      </c>
      <c r="S139" s="154">
        <v>1</v>
      </c>
      <c r="T139" s="154" t="s">
        <v>1527</v>
      </c>
      <c r="U139" s="154">
        <v>3</v>
      </c>
      <c r="V139" s="155">
        <v>2580202</v>
      </c>
      <c r="W139" s="155">
        <v>0</v>
      </c>
      <c r="X139" s="155" t="s">
        <v>1406</v>
      </c>
      <c r="Y139" s="154"/>
      <c r="Z139" s="154" t="s">
        <v>2958</v>
      </c>
      <c r="AA139" s="156">
        <v>45747</v>
      </c>
      <c r="AB139" s="154">
        <v>25</v>
      </c>
      <c r="AC139" s="154">
        <v>80202</v>
      </c>
      <c r="AD139" s="154">
        <v>57</v>
      </c>
      <c r="AE139" s="154" t="s">
        <v>1551</v>
      </c>
      <c r="AF139" s="154">
        <v>57</v>
      </c>
      <c r="AG139" s="154" t="s">
        <v>1552</v>
      </c>
      <c r="AH139" s="154" t="s">
        <v>36</v>
      </c>
      <c r="AI139" s="154">
        <v>6</v>
      </c>
      <c r="AJ139" s="154">
        <v>448</v>
      </c>
      <c r="AK139" s="154" t="s">
        <v>1407</v>
      </c>
      <c r="AL139" s="154">
        <v>28282</v>
      </c>
      <c r="AM139" s="154" t="s">
        <v>1414</v>
      </c>
      <c r="AN139" s="154" t="s">
        <v>1572</v>
      </c>
      <c r="AO139" s="154">
        <v>28</v>
      </c>
      <c r="AP139" s="154" t="s">
        <v>1416</v>
      </c>
      <c r="AQ139" s="154">
        <v>0</v>
      </c>
      <c r="AR139" s="154" t="s">
        <v>1410</v>
      </c>
      <c r="AS139" s="154"/>
      <c r="AT139" s="154" t="s">
        <v>1411</v>
      </c>
      <c r="AU139" s="154" t="s">
        <v>2958</v>
      </c>
    </row>
    <row r="140" spans="1:47" x14ac:dyDescent="0.45">
      <c r="A140" s="154">
        <v>2505700068</v>
      </c>
      <c r="B140" s="154">
        <v>57</v>
      </c>
      <c r="C140" s="154" t="s">
        <v>1551</v>
      </c>
      <c r="D140" s="154">
        <v>57</v>
      </c>
      <c r="E140" s="154" t="s">
        <v>1552</v>
      </c>
      <c r="F140" s="154" t="s">
        <v>195</v>
      </c>
      <c r="G140" s="154" t="s">
        <v>196</v>
      </c>
      <c r="H140" s="154">
        <v>1</v>
      </c>
      <c r="I140" s="154" t="s">
        <v>197</v>
      </c>
      <c r="J140" s="154" t="s">
        <v>1403</v>
      </c>
      <c r="K140" s="154">
        <v>0</v>
      </c>
      <c r="L140" s="155">
        <v>2025</v>
      </c>
      <c r="M140" s="156">
        <v>45747</v>
      </c>
      <c r="N140" s="154" t="s">
        <v>36</v>
      </c>
      <c r="O140" s="154">
        <v>7</v>
      </c>
      <c r="P140" s="154">
        <v>266</v>
      </c>
      <c r="Q140" s="154" t="s">
        <v>1526</v>
      </c>
      <c r="R140" s="154">
        <v>2</v>
      </c>
      <c r="S140" s="154">
        <v>1</v>
      </c>
      <c r="T140" s="154" t="s">
        <v>1527</v>
      </c>
      <c r="U140" s="154">
        <v>3</v>
      </c>
      <c r="V140" s="155">
        <v>2580203</v>
      </c>
      <c r="W140" s="155">
        <v>0</v>
      </c>
      <c r="X140" s="155" t="s">
        <v>1406</v>
      </c>
      <c r="Y140" s="154"/>
      <c r="Z140" s="154" t="s">
        <v>2958</v>
      </c>
      <c r="AA140" s="156">
        <v>45747</v>
      </c>
      <c r="AB140" s="154">
        <v>25</v>
      </c>
      <c r="AC140" s="154">
        <v>80203</v>
      </c>
      <c r="AD140" s="154">
        <v>57</v>
      </c>
      <c r="AE140" s="154" t="s">
        <v>1551</v>
      </c>
      <c r="AF140" s="154">
        <v>57</v>
      </c>
      <c r="AG140" s="154" t="s">
        <v>1552</v>
      </c>
      <c r="AH140" s="154" t="s">
        <v>36</v>
      </c>
      <c r="AI140" s="154">
        <v>7</v>
      </c>
      <c r="AJ140" s="154">
        <v>266</v>
      </c>
      <c r="AK140" s="154" t="s">
        <v>1407</v>
      </c>
      <c r="AL140" s="154">
        <v>28029</v>
      </c>
      <c r="AM140" s="154" t="s">
        <v>1421</v>
      </c>
      <c r="AN140" s="154" t="s">
        <v>1441</v>
      </c>
      <c r="AO140" s="154">
        <v>28</v>
      </c>
      <c r="AP140" s="154" t="s">
        <v>1416</v>
      </c>
      <c r="AQ140" s="154">
        <v>0</v>
      </c>
      <c r="AR140" s="154" t="s">
        <v>1410</v>
      </c>
      <c r="AS140" s="154"/>
      <c r="AT140" s="154" t="s">
        <v>1411</v>
      </c>
      <c r="AU140" s="154" t="s">
        <v>2958</v>
      </c>
    </row>
    <row r="141" spans="1:47" x14ac:dyDescent="0.45">
      <c r="A141" s="154">
        <v>2505700802</v>
      </c>
      <c r="B141" s="154">
        <v>57</v>
      </c>
      <c r="C141" s="154" t="s">
        <v>1551</v>
      </c>
      <c r="D141" s="154">
        <v>57</v>
      </c>
      <c r="E141" s="154" t="s">
        <v>1552</v>
      </c>
      <c r="F141" s="154" t="s">
        <v>3064</v>
      </c>
      <c r="G141" s="154" t="s">
        <v>3065</v>
      </c>
      <c r="H141" s="154">
        <v>1</v>
      </c>
      <c r="I141" s="154" t="s">
        <v>3066</v>
      </c>
      <c r="J141" s="154" t="s">
        <v>1403</v>
      </c>
      <c r="K141" s="154">
        <v>2025</v>
      </c>
      <c r="L141" s="155">
        <v>2025</v>
      </c>
      <c r="M141" s="156">
        <v>45562</v>
      </c>
      <c r="N141" s="154" t="s">
        <v>36</v>
      </c>
      <c r="O141" s="154">
        <v>6</v>
      </c>
      <c r="P141" s="154">
        <v>488</v>
      </c>
      <c r="Q141" s="154" t="s">
        <v>1553</v>
      </c>
      <c r="R141" s="154">
        <v>2</v>
      </c>
      <c r="S141" s="154">
        <v>1</v>
      </c>
      <c r="T141" s="154" t="s">
        <v>1527</v>
      </c>
      <c r="U141" s="154">
        <v>3</v>
      </c>
      <c r="V141" s="155">
        <v>2580063</v>
      </c>
      <c r="W141" s="155">
        <v>0</v>
      </c>
      <c r="X141" s="155" t="s">
        <v>1406</v>
      </c>
      <c r="Y141" s="154"/>
      <c r="Z141" s="154" t="s">
        <v>3067</v>
      </c>
      <c r="AA141" s="156">
        <v>45611</v>
      </c>
      <c r="AB141" s="154">
        <v>25</v>
      </c>
      <c r="AC141" s="154">
        <v>80063</v>
      </c>
      <c r="AD141" s="154">
        <v>57</v>
      </c>
      <c r="AE141" s="154" t="s">
        <v>1551</v>
      </c>
      <c r="AF141" s="154">
        <v>57</v>
      </c>
      <c r="AG141" s="154" t="s">
        <v>1552</v>
      </c>
      <c r="AH141" s="154" t="s">
        <v>36</v>
      </c>
      <c r="AI141" s="154">
        <v>6</v>
      </c>
      <c r="AJ141" s="154">
        <v>488</v>
      </c>
      <c r="AK141" s="154" t="s">
        <v>1407</v>
      </c>
      <c r="AL141" s="154">
        <v>50443</v>
      </c>
      <c r="AM141" s="154" t="s">
        <v>1408</v>
      </c>
      <c r="AN141" s="154" t="s">
        <v>3068</v>
      </c>
      <c r="AO141" s="154">
        <v>28</v>
      </c>
      <c r="AP141" s="154" t="s">
        <v>1416</v>
      </c>
      <c r="AQ141" s="154">
        <v>1</v>
      </c>
      <c r="AR141" s="154" t="s">
        <v>1410</v>
      </c>
      <c r="AS141" s="154"/>
      <c r="AT141" s="154" t="s">
        <v>1417</v>
      </c>
      <c r="AU141" s="154" t="s">
        <v>1412</v>
      </c>
    </row>
    <row r="142" spans="1:47" x14ac:dyDescent="0.45">
      <c r="A142" s="154">
        <v>2505700813</v>
      </c>
      <c r="B142" s="154">
        <v>57</v>
      </c>
      <c r="C142" s="154" t="s">
        <v>1551</v>
      </c>
      <c r="D142" s="154">
        <v>57</v>
      </c>
      <c r="E142" s="154" t="s">
        <v>1552</v>
      </c>
      <c r="F142" s="154" t="s">
        <v>3069</v>
      </c>
      <c r="G142" s="154" t="s">
        <v>3070</v>
      </c>
      <c r="H142" s="154">
        <v>2</v>
      </c>
      <c r="I142" s="154" t="s">
        <v>733</v>
      </c>
      <c r="J142" s="154" t="s">
        <v>1403</v>
      </c>
      <c r="K142" s="154">
        <v>2025</v>
      </c>
      <c r="L142" s="155">
        <v>2025</v>
      </c>
      <c r="M142" s="156">
        <v>45595</v>
      </c>
      <c r="N142" s="154" t="s">
        <v>36</v>
      </c>
      <c r="O142" s="154">
        <v>57</v>
      </c>
      <c r="P142" s="154">
        <v>1756</v>
      </c>
      <c r="Q142" s="154" t="s">
        <v>2784</v>
      </c>
      <c r="R142" s="154">
        <v>2</v>
      </c>
      <c r="S142" s="154">
        <v>3</v>
      </c>
      <c r="T142" s="154" t="s">
        <v>1477</v>
      </c>
      <c r="U142" s="154">
        <v>4</v>
      </c>
      <c r="V142" s="155">
        <v>0</v>
      </c>
      <c r="W142" s="155">
        <v>0</v>
      </c>
      <c r="X142" s="155" t="s">
        <v>1406</v>
      </c>
      <c r="Y142" s="154"/>
      <c r="Z142" s="154" t="s">
        <v>3067</v>
      </c>
      <c r="AA142" s="154"/>
      <c r="AB142" s="154">
        <v>0</v>
      </c>
      <c r="AC142" s="154">
        <v>0</v>
      </c>
      <c r="AD142" s="154">
        <v>0</v>
      </c>
      <c r="AE142" s="154" t="s">
        <v>1446</v>
      </c>
      <c r="AF142" s="154"/>
      <c r="AG142" s="154" t="s">
        <v>1446</v>
      </c>
      <c r="AH142" s="154"/>
      <c r="AI142" s="154"/>
      <c r="AJ142" s="154">
        <v>0</v>
      </c>
      <c r="AK142" s="154" t="s">
        <v>1407</v>
      </c>
      <c r="AL142" s="154">
        <v>50447</v>
      </c>
      <c r="AM142" s="154" t="s">
        <v>1408</v>
      </c>
      <c r="AN142" s="154" t="s">
        <v>3071</v>
      </c>
      <c r="AO142" s="154">
        <v>28</v>
      </c>
      <c r="AP142" s="154" t="s">
        <v>1416</v>
      </c>
      <c r="AQ142" s="154">
        <v>1</v>
      </c>
      <c r="AR142" s="154" t="s">
        <v>1499</v>
      </c>
      <c r="AS142" s="154"/>
      <c r="AT142" s="154" t="s">
        <v>1417</v>
      </c>
      <c r="AU142" s="154" t="s">
        <v>1412</v>
      </c>
    </row>
    <row r="143" spans="1:47" x14ac:dyDescent="0.45">
      <c r="A143" s="154">
        <v>2505700854</v>
      </c>
      <c r="B143" s="154">
        <v>57</v>
      </c>
      <c r="C143" s="154" t="s">
        <v>1551</v>
      </c>
      <c r="D143" s="154">
        <v>57</v>
      </c>
      <c r="E143" s="154" t="s">
        <v>1552</v>
      </c>
      <c r="F143" s="154" t="s">
        <v>3072</v>
      </c>
      <c r="G143" s="154" t="s">
        <v>3073</v>
      </c>
      <c r="H143" s="154">
        <v>2</v>
      </c>
      <c r="I143" s="154" t="s">
        <v>3074</v>
      </c>
      <c r="J143" s="154" t="s">
        <v>1403</v>
      </c>
      <c r="K143" s="154">
        <v>0</v>
      </c>
      <c r="L143" s="155">
        <v>2025</v>
      </c>
      <c r="M143" s="156">
        <v>45631</v>
      </c>
      <c r="N143" s="154" t="s">
        <v>36</v>
      </c>
      <c r="O143" s="154">
        <v>57</v>
      </c>
      <c r="P143" s="154">
        <v>1044</v>
      </c>
      <c r="Q143" s="154" t="s">
        <v>1476</v>
      </c>
      <c r="R143" s="154">
        <v>2</v>
      </c>
      <c r="S143" s="154">
        <v>3</v>
      </c>
      <c r="T143" s="154" t="s">
        <v>1477</v>
      </c>
      <c r="U143" s="154">
        <v>4</v>
      </c>
      <c r="V143" s="155">
        <v>2580101</v>
      </c>
      <c r="W143" s="155">
        <v>0</v>
      </c>
      <c r="X143" s="155" t="s">
        <v>1406</v>
      </c>
      <c r="Y143" s="154"/>
      <c r="Z143" s="154" t="s">
        <v>3067</v>
      </c>
      <c r="AA143" s="156">
        <v>45663</v>
      </c>
      <c r="AB143" s="154">
        <v>25</v>
      </c>
      <c r="AC143" s="154">
        <v>80101</v>
      </c>
      <c r="AD143" s="154">
        <v>57</v>
      </c>
      <c r="AE143" s="154" t="s">
        <v>1551</v>
      </c>
      <c r="AF143" s="154">
        <v>57</v>
      </c>
      <c r="AG143" s="154" t="s">
        <v>1552</v>
      </c>
      <c r="AH143" s="154" t="s">
        <v>36</v>
      </c>
      <c r="AI143" s="154">
        <v>57</v>
      </c>
      <c r="AJ143" s="154">
        <v>1044</v>
      </c>
      <c r="AK143" s="154" t="s">
        <v>1407</v>
      </c>
      <c r="AL143" s="154">
        <v>50393</v>
      </c>
      <c r="AM143" s="154" t="s">
        <v>1408</v>
      </c>
      <c r="AN143" s="154" t="s">
        <v>3075</v>
      </c>
      <c r="AO143" s="154">
        <v>27</v>
      </c>
      <c r="AP143" s="154" t="s">
        <v>1581</v>
      </c>
      <c r="AQ143" s="154">
        <v>4</v>
      </c>
      <c r="AR143" s="154" t="s">
        <v>1410</v>
      </c>
      <c r="AS143" s="154"/>
      <c r="AT143" s="154" t="s">
        <v>1411</v>
      </c>
      <c r="AU143" s="154" t="s">
        <v>1412</v>
      </c>
    </row>
    <row r="144" spans="1:47" x14ac:dyDescent="0.45">
      <c r="A144" s="154">
        <v>2505750001</v>
      </c>
      <c r="B144" s="154">
        <v>57</v>
      </c>
      <c r="C144" s="154" t="s">
        <v>1551</v>
      </c>
      <c r="D144" s="154">
        <v>57</v>
      </c>
      <c r="E144" s="154" t="s">
        <v>1552</v>
      </c>
      <c r="F144" s="154" t="s">
        <v>1647</v>
      </c>
      <c r="G144" s="154" t="s">
        <v>1648</v>
      </c>
      <c r="H144" s="154">
        <v>1</v>
      </c>
      <c r="I144" s="154" t="s">
        <v>179</v>
      </c>
      <c r="J144" s="154" t="s">
        <v>1403</v>
      </c>
      <c r="K144" s="154">
        <v>2025</v>
      </c>
      <c r="L144" s="155">
        <v>2025</v>
      </c>
      <c r="M144" s="156">
        <v>45536</v>
      </c>
      <c r="N144" s="154" t="s">
        <v>36</v>
      </c>
      <c r="O144" s="154" t="s">
        <v>135</v>
      </c>
      <c r="P144" s="154">
        <v>870</v>
      </c>
      <c r="Q144" s="154" t="s">
        <v>1610</v>
      </c>
      <c r="R144" s="154">
        <v>2</v>
      </c>
      <c r="S144" s="154">
        <v>5</v>
      </c>
      <c r="T144" s="154" t="s">
        <v>1470</v>
      </c>
      <c r="U144" s="154">
        <v>15</v>
      </c>
      <c r="V144" s="155">
        <v>2580019</v>
      </c>
      <c r="W144" s="155">
        <v>0</v>
      </c>
      <c r="X144" s="155" t="s">
        <v>1406</v>
      </c>
      <c r="Y144" s="154"/>
      <c r="Z144" s="154" t="s">
        <v>32</v>
      </c>
      <c r="AA144" s="156">
        <v>45576</v>
      </c>
      <c r="AB144" s="154">
        <v>25</v>
      </c>
      <c r="AC144" s="154">
        <v>80019</v>
      </c>
      <c r="AD144" s="154">
        <v>57</v>
      </c>
      <c r="AE144" s="154" t="s">
        <v>1551</v>
      </c>
      <c r="AF144" s="154">
        <v>57</v>
      </c>
      <c r="AG144" s="154" t="s">
        <v>1552</v>
      </c>
      <c r="AH144" s="154" t="s">
        <v>36</v>
      </c>
      <c r="AI144" s="154" t="s">
        <v>135</v>
      </c>
      <c r="AJ144" s="154">
        <v>870</v>
      </c>
      <c r="AK144" s="154" t="s">
        <v>1407</v>
      </c>
      <c r="AL144" s="154">
        <v>33103</v>
      </c>
      <c r="AM144" s="154" t="s">
        <v>1421</v>
      </c>
      <c r="AN144" s="154" t="s">
        <v>2787</v>
      </c>
      <c r="AO144" s="154">
        <v>33</v>
      </c>
      <c r="AP144" s="154" t="s">
        <v>1427</v>
      </c>
      <c r="AQ144" s="154">
        <v>0</v>
      </c>
      <c r="AR144" s="154" t="s">
        <v>1410</v>
      </c>
      <c r="AS144" s="154"/>
      <c r="AT144" s="154" t="s">
        <v>1417</v>
      </c>
      <c r="AU144" s="154" t="s">
        <v>1412</v>
      </c>
    </row>
    <row r="145" spans="1:47" x14ac:dyDescent="0.45">
      <c r="A145" s="154">
        <v>2505750003</v>
      </c>
      <c r="B145" s="154">
        <v>57</v>
      </c>
      <c r="C145" s="154" t="s">
        <v>1551</v>
      </c>
      <c r="D145" s="154">
        <v>57</v>
      </c>
      <c r="E145" s="154" t="s">
        <v>1552</v>
      </c>
      <c r="F145" s="154" t="s">
        <v>1652</v>
      </c>
      <c r="G145" s="154" t="s">
        <v>1653</v>
      </c>
      <c r="H145" s="154">
        <v>2</v>
      </c>
      <c r="I145" s="154" t="s">
        <v>1147</v>
      </c>
      <c r="J145" s="154" t="s">
        <v>1403</v>
      </c>
      <c r="K145" s="154">
        <v>2025</v>
      </c>
      <c r="L145" s="155">
        <v>2025</v>
      </c>
      <c r="M145" s="156">
        <v>45543</v>
      </c>
      <c r="N145" s="154" t="s">
        <v>36</v>
      </c>
      <c r="O145" s="154">
        <v>58</v>
      </c>
      <c r="P145" s="154">
        <v>857</v>
      </c>
      <c r="Q145" s="154" t="s">
        <v>1481</v>
      </c>
      <c r="R145" s="154">
        <v>2</v>
      </c>
      <c r="S145" s="154">
        <v>2</v>
      </c>
      <c r="T145" s="154" t="s">
        <v>1464</v>
      </c>
      <c r="U145" s="154">
        <v>1</v>
      </c>
      <c r="V145" s="155">
        <v>2580011</v>
      </c>
      <c r="W145" s="155">
        <v>0</v>
      </c>
      <c r="X145" s="155" t="s">
        <v>1406</v>
      </c>
      <c r="Y145" s="154"/>
      <c r="Z145" s="154" t="s">
        <v>32</v>
      </c>
      <c r="AA145" s="156">
        <v>45573</v>
      </c>
      <c r="AB145" s="154">
        <v>25</v>
      </c>
      <c r="AC145" s="154">
        <v>80011</v>
      </c>
      <c r="AD145" s="154">
        <v>57</v>
      </c>
      <c r="AE145" s="154" t="s">
        <v>1551</v>
      </c>
      <c r="AF145" s="154">
        <v>57</v>
      </c>
      <c r="AG145" s="154" t="s">
        <v>1552</v>
      </c>
      <c r="AH145" s="154" t="s">
        <v>36</v>
      </c>
      <c r="AI145" s="154">
        <v>58</v>
      </c>
      <c r="AJ145" s="154">
        <v>857</v>
      </c>
      <c r="AK145" s="154" t="s">
        <v>1407</v>
      </c>
      <c r="AL145" s="154">
        <v>28025</v>
      </c>
      <c r="AM145" s="154" t="s">
        <v>1421</v>
      </c>
      <c r="AN145" s="154" t="s">
        <v>1550</v>
      </c>
      <c r="AO145" s="154">
        <v>28</v>
      </c>
      <c r="AP145" s="154" t="s">
        <v>1416</v>
      </c>
      <c r="AQ145" s="154">
        <v>0</v>
      </c>
      <c r="AR145" s="154" t="s">
        <v>1410</v>
      </c>
      <c r="AS145" s="154"/>
      <c r="AT145" s="154" t="s">
        <v>1417</v>
      </c>
      <c r="AU145" s="154" t="s">
        <v>1412</v>
      </c>
    </row>
    <row r="146" spans="1:47" x14ac:dyDescent="0.45">
      <c r="A146" s="154">
        <v>2505750004</v>
      </c>
      <c r="B146" s="154">
        <v>57</v>
      </c>
      <c r="C146" s="154" t="s">
        <v>1551</v>
      </c>
      <c r="D146" s="154">
        <v>57</v>
      </c>
      <c r="E146" s="154" t="s">
        <v>1552</v>
      </c>
      <c r="F146" s="154" t="s">
        <v>1655</v>
      </c>
      <c r="G146" s="154" t="s">
        <v>1656</v>
      </c>
      <c r="H146" s="154">
        <v>1</v>
      </c>
      <c r="I146" s="154" t="s">
        <v>1657</v>
      </c>
      <c r="J146" s="154" t="s">
        <v>1403</v>
      </c>
      <c r="K146" s="154">
        <v>2025</v>
      </c>
      <c r="L146" s="155">
        <v>2025</v>
      </c>
      <c r="M146" s="156">
        <v>45545</v>
      </c>
      <c r="N146" s="154" t="s">
        <v>36</v>
      </c>
      <c r="O146" s="154">
        <v>6</v>
      </c>
      <c r="P146" s="154">
        <v>448</v>
      </c>
      <c r="Q146" s="154" t="s">
        <v>1557</v>
      </c>
      <c r="R146" s="154">
        <v>2</v>
      </c>
      <c r="S146" s="154">
        <v>1</v>
      </c>
      <c r="T146" s="154" t="s">
        <v>1527</v>
      </c>
      <c r="U146" s="154">
        <v>3</v>
      </c>
      <c r="V146" s="155">
        <v>2580066</v>
      </c>
      <c r="W146" s="155">
        <v>0</v>
      </c>
      <c r="X146" s="155" t="s">
        <v>1406</v>
      </c>
      <c r="Y146" s="154"/>
      <c r="Z146" s="154" t="s">
        <v>32</v>
      </c>
      <c r="AA146" s="156">
        <v>45614</v>
      </c>
      <c r="AB146" s="154">
        <v>25</v>
      </c>
      <c r="AC146" s="154">
        <v>80066</v>
      </c>
      <c r="AD146" s="154">
        <v>57</v>
      </c>
      <c r="AE146" s="154" t="s">
        <v>1551</v>
      </c>
      <c r="AF146" s="154">
        <v>57</v>
      </c>
      <c r="AG146" s="154" t="s">
        <v>1552</v>
      </c>
      <c r="AH146" s="154" t="s">
        <v>36</v>
      </c>
      <c r="AI146" s="154">
        <v>6</v>
      </c>
      <c r="AJ146" s="154">
        <v>448</v>
      </c>
      <c r="AK146" s="154" t="s">
        <v>1407</v>
      </c>
      <c r="AL146" s="154">
        <v>28234</v>
      </c>
      <c r="AM146" s="154" t="s">
        <v>1414</v>
      </c>
      <c r="AN146" s="154" t="s">
        <v>2788</v>
      </c>
      <c r="AO146" s="154">
        <v>28</v>
      </c>
      <c r="AP146" s="154" t="s">
        <v>1416</v>
      </c>
      <c r="AQ146" s="154">
        <v>0</v>
      </c>
      <c r="AR146" s="154" t="s">
        <v>1410</v>
      </c>
      <c r="AS146" s="154"/>
      <c r="AT146" s="154" t="s">
        <v>1417</v>
      </c>
      <c r="AU146" s="154" t="s">
        <v>1412</v>
      </c>
    </row>
    <row r="147" spans="1:47" x14ac:dyDescent="0.45">
      <c r="A147" s="154">
        <v>2505750006</v>
      </c>
      <c r="B147" s="154">
        <v>57</v>
      </c>
      <c r="C147" s="154" t="s">
        <v>1551</v>
      </c>
      <c r="D147" s="154">
        <v>57</v>
      </c>
      <c r="E147" s="154" t="s">
        <v>1552</v>
      </c>
      <c r="F147" s="154" t="s">
        <v>1662</v>
      </c>
      <c r="G147" s="154" t="s">
        <v>1663</v>
      </c>
      <c r="H147" s="154">
        <v>2</v>
      </c>
      <c r="I147" s="154" t="s">
        <v>1664</v>
      </c>
      <c r="J147" s="154" t="s">
        <v>1403</v>
      </c>
      <c r="K147" s="154">
        <v>2025</v>
      </c>
      <c r="L147" s="155">
        <v>2025</v>
      </c>
      <c r="M147" s="156">
        <v>45540</v>
      </c>
      <c r="N147" s="154" t="s">
        <v>36</v>
      </c>
      <c r="O147" s="154">
        <v>58</v>
      </c>
      <c r="P147" s="154">
        <v>857</v>
      </c>
      <c r="Q147" s="154" t="s">
        <v>1481</v>
      </c>
      <c r="R147" s="154">
        <v>2</v>
      </c>
      <c r="S147" s="154">
        <v>2</v>
      </c>
      <c r="T147" s="154" t="s">
        <v>1464</v>
      </c>
      <c r="U147" s="154">
        <v>1</v>
      </c>
      <c r="V147" s="155">
        <v>0</v>
      </c>
      <c r="W147" s="155">
        <v>0</v>
      </c>
      <c r="X147" s="155" t="s">
        <v>1406</v>
      </c>
      <c r="Y147" s="156">
        <v>45677</v>
      </c>
      <c r="Z147" s="154" t="s">
        <v>32</v>
      </c>
      <c r="AA147" s="154"/>
      <c r="AB147" s="154">
        <v>0</v>
      </c>
      <c r="AC147" s="154">
        <v>0</v>
      </c>
      <c r="AD147" s="154">
        <v>0</v>
      </c>
      <c r="AE147" s="154" t="s">
        <v>1446</v>
      </c>
      <c r="AF147" s="154"/>
      <c r="AG147" s="154" t="s">
        <v>1446</v>
      </c>
      <c r="AH147" s="154"/>
      <c r="AI147" s="154"/>
      <c r="AJ147" s="154">
        <v>0</v>
      </c>
      <c r="AK147" s="154" t="s">
        <v>1410</v>
      </c>
      <c r="AL147" s="154">
        <v>28030</v>
      </c>
      <c r="AM147" s="154" t="s">
        <v>1418</v>
      </c>
      <c r="AN147" s="154" t="s">
        <v>1566</v>
      </c>
      <c r="AO147" s="154">
        <v>28</v>
      </c>
      <c r="AP147" s="154" t="s">
        <v>1416</v>
      </c>
      <c r="AQ147" s="154">
        <v>0</v>
      </c>
      <c r="AR147" s="154" t="s">
        <v>1410</v>
      </c>
      <c r="AS147" s="154"/>
      <c r="AT147" s="154" t="s">
        <v>1417</v>
      </c>
      <c r="AU147" s="154" t="s">
        <v>1412</v>
      </c>
    </row>
    <row r="148" spans="1:47" x14ac:dyDescent="0.45">
      <c r="A148" s="154">
        <v>2505750007</v>
      </c>
      <c r="B148" s="154">
        <v>57</v>
      </c>
      <c r="C148" s="154" t="s">
        <v>1551</v>
      </c>
      <c r="D148" s="154">
        <v>57</v>
      </c>
      <c r="E148" s="154" t="s">
        <v>1552</v>
      </c>
      <c r="F148" s="154" t="s">
        <v>1666</v>
      </c>
      <c r="G148" s="154" t="s">
        <v>1667</v>
      </c>
      <c r="H148" s="154">
        <v>2</v>
      </c>
      <c r="I148" s="154" t="s">
        <v>1328</v>
      </c>
      <c r="J148" s="154" t="s">
        <v>1403</v>
      </c>
      <c r="K148" s="154">
        <v>2025</v>
      </c>
      <c r="L148" s="155">
        <v>2025</v>
      </c>
      <c r="M148" s="156">
        <v>45543</v>
      </c>
      <c r="N148" s="154" t="s">
        <v>36</v>
      </c>
      <c r="O148" s="154">
        <v>58</v>
      </c>
      <c r="P148" s="154">
        <v>968</v>
      </c>
      <c r="Q148" s="154" t="s">
        <v>1474</v>
      </c>
      <c r="R148" s="154">
        <v>2</v>
      </c>
      <c r="S148" s="154">
        <v>2</v>
      </c>
      <c r="T148" s="154" t="s">
        <v>1464</v>
      </c>
      <c r="U148" s="154">
        <v>1</v>
      </c>
      <c r="V148" s="155">
        <v>2580020</v>
      </c>
      <c r="W148" s="155">
        <v>0</v>
      </c>
      <c r="X148" s="155" t="s">
        <v>1406</v>
      </c>
      <c r="Y148" s="154"/>
      <c r="Z148" s="154" t="s">
        <v>32</v>
      </c>
      <c r="AA148" s="156">
        <v>45580</v>
      </c>
      <c r="AB148" s="154">
        <v>25</v>
      </c>
      <c r="AC148" s="154">
        <v>80020</v>
      </c>
      <c r="AD148" s="154">
        <v>57</v>
      </c>
      <c r="AE148" s="154" t="s">
        <v>1551</v>
      </c>
      <c r="AF148" s="154">
        <v>57</v>
      </c>
      <c r="AG148" s="154" t="s">
        <v>1552</v>
      </c>
      <c r="AH148" s="154" t="s">
        <v>36</v>
      </c>
      <c r="AI148" s="154">
        <v>58</v>
      </c>
      <c r="AJ148" s="154">
        <v>968</v>
      </c>
      <c r="AK148" s="154" t="s">
        <v>1407</v>
      </c>
      <c r="AL148" s="154">
        <v>28261</v>
      </c>
      <c r="AM148" s="154" t="s">
        <v>1414</v>
      </c>
      <c r="AN148" s="154" t="s">
        <v>1586</v>
      </c>
      <c r="AO148" s="154">
        <v>28</v>
      </c>
      <c r="AP148" s="154" t="s">
        <v>1416</v>
      </c>
      <c r="AQ148" s="154">
        <v>0</v>
      </c>
      <c r="AR148" s="154" t="s">
        <v>1410</v>
      </c>
      <c r="AS148" s="154"/>
      <c r="AT148" s="154" t="s">
        <v>1417</v>
      </c>
      <c r="AU148" s="154" t="s">
        <v>1412</v>
      </c>
    </row>
    <row r="149" spans="1:47" x14ac:dyDescent="0.45">
      <c r="A149" s="154">
        <v>2505750008</v>
      </c>
      <c r="B149" s="154">
        <v>57</v>
      </c>
      <c r="C149" s="154" t="s">
        <v>1551</v>
      </c>
      <c r="D149" s="154">
        <v>57</v>
      </c>
      <c r="E149" s="154" t="s">
        <v>1552</v>
      </c>
      <c r="F149" s="154" t="s">
        <v>1668</v>
      </c>
      <c r="G149" s="154" t="s">
        <v>1669</v>
      </c>
      <c r="H149" s="154">
        <v>2</v>
      </c>
      <c r="I149" s="154" t="s">
        <v>1670</v>
      </c>
      <c r="J149" s="154" t="s">
        <v>1403</v>
      </c>
      <c r="K149" s="154">
        <v>2025</v>
      </c>
      <c r="L149" s="155">
        <v>2025</v>
      </c>
      <c r="M149" s="156">
        <v>45548</v>
      </c>
      <c r="N149" s="154" t="s">
        <v>36</v>
      </c>
      <c r="O149" s="154" t="s">
        <v>94</v>
      </c>
      <c r="P149" s="154">
        <v>121</v>
      </c>
      <c r="Q149" s="154" t="s">
        <v>1502</v>
      </c>
      <c r="R149" s="154">
        <v>2</v>
      </c>
      <c r="S149" s="154">
        <v>8</v>
      </c>
      <c r="T149" s="154" t="s">
        <v>1503</v>
      </c>
      <c r="U149" s="154">
        <v>6</v>
      </c>
      <c r="V149" s="155">
        <v>2580005</v>
      </c>
      <c r="W149" s="155">
        <v>0</v>
      </c>
      <c r="X149" s="155" t="s">
        <v>1406</v>
      </c>
      <c r="Y149" s="154"/>
      <c r="Z149" s="154" t="s">
        <v>32</v>
      </c>
      <c r="AA149" s="156">
        <v>45567</v>
      </c>
      <c r="AB149" s="154">
        <v>25</v>
      </c>
      <c r="AC149" s="154">
        <v>80005</v>
      </c>
      <c r="AD149" s="154">
        <v>57</v>
      </c>
      <c r="AE149" s="154" t="s">
        <v>1551</v>
      </c>
      <c r="AF149" s="154">
        <v>57</v>
      </c>
      <c r="AG149" s="154" t="s">
        <v>1552</v>
      </c>
      <c r="AH149" s="154" t="s">
        <v>36</v>
      </c>
      <c r="AI149" s="154" t="s">
        <v>94</v>
      </c>
      <c r="AJ149" s="154">
        <v>121</v>
      </c>
      <c r="AK149" s="154" t="s">
        <v>1407</v>
      </c>
      <c r="AL149" s="154">
        <v>28007</v>
      </c>
      <c r="AM149" s="154" t="s">
        <v>1418</v>
      </c>
      <c r="AN149" s="154" t="s">
        <v>1583</v>
      </c>
      <c r="AO149" s="154">
        <v>28</v>
      </c>
      <c r="AP149" s="154" t="s">
        <v>1416</v>
      </c>
      <c r="AQ149" s="154">
        <v>0</v>
      </c>
      <c r="AR149" s="154" t="s">
        <v>1410</v>
      </c>
      <c r="AS149" s="154"/>
      <c r="AT149" s="154" t="s">
        <v>1417</v>
      </c>
      <c r="AU149" s="154" t="s">
        <v>1412</v>
      </c>
    </row>
    <row r="150" spans="1:47" x14ac:dyDescent="0.45">
      <c r="A150" s="154">
        <v>2505750009</v>
      </c>
      <c r="B150" s="154">
        <v>57</v>
      </c>
      <c r="C150" s="154" t="s">
        <v>1551</v>
      </c>
      <c r="D150" s="154">
        <v>57</v>
      </c>
      <c r="E150" s="154" t="s">
        <v>1552</v>
      </c>
      <c r="F150" s="154" t="s">
        <v>1672</v>
      </c>
      <c r="G150" s="154" t="s">
        <v>1673</v>
      </c>
      <c r="H150" s="154">
        <v>2</v>
      </c>
      <c r="I150" s="154" t="s">
        <v>1674</v>
      </c>
      <c r="J150" s="154" t="s">
        <v>1403</v>
      </c>
      <c r="K150" s="154">
        <v>2025</v>
      </c>
      <c r="L150" s="155">
        <v>2025</v>
      </c>
      <c r="M150" s="156">
        <v>45569</v>
      </c>
      <c r="N150" s="154" t="s">
        <v>36</v>
      </c>
      <c r="O150" s="154" t="s">
        <v>94</v>
      </c>
      <c r="P150" s="154">
        <v>121</v>
      </c>
      <c r="Q150" s="154" t="s">
        <v>1502</v>
      </c>
      <c r="R150" s="154">
        <v>2</v>
      </c>
      <c r="S150" s="154">
        <v>8</v>
      </c>
      <c r="T150" s="154" t="s">
        <v>1503</v>
      </c>
      <c r="U150" s="154">
        <v>6</v>
      </c>
      <c r="V150" s="155">
        <v>2580037</v>
      </c>
      <c r="W150" s="155">
        <v>0</v>
      </c>
      <c r="X150" s="155" t="s">
        <v>1406</v>
      </c>
      <c r="Y150" s="154"/>
      <c r="Z150" s="154" t="s">
        <v>32</v>
      </c>
      <c r="AA150" s="156">
        <v>45593</v>
      </c>
      <c r="AB150" s="154">
        <v>25</v>
      </c>
      <c r="AC150" s="154">
        <v>80037</v>
      </c>
      <c r="AD150" s="154">
        <v>57</v>
      </c>
      <c r="AE150" s="154" t="s">
        <v>1551</v>
      </c>
      <c r="AF150" s="154">
        <v>57</v>
      </c>
      <c r="AG150" s="154" t="s">
        <v>1552</v>
      </c>
      <c r="AH150" s="154" t="s">
        <v>36</v>
      </c>
      <c r="AI150" s="154" t="s">
        <v>94</v>
      </c>
      <c r="AJ150" s="154">
        <v>121</v>
      </c>
      <c r="AK150" s="154" t="s">
        <v>1407</v>
      </c>
      <c r="AL150" s="154">
        <v>28079</v>
      </c>
      <c r="AM150" s="154" t="s">
        <v>1421</v>
      </c>
      <c r="AN150" s="154" t="s">
        <v>2789</v>
      </c>
      <c r="AO150" s="154">
        <v>28</v>
      </c>
      <c r="AP150" s="154" t="s">
        <v>1416</v>
      </c>
      <c r="AQ150" s="154">
        <v>0</v>
      </c>
      <c r="AR150" s="154" t="s">
        <v>1410</v>
      </c>
      <c r="AS150" s="154"/>
      <c r="AT150" s="154" t="s">
        <v>1417</v>
      </c>
      <c r="AU150" s="154" t="s">
        <v>1412</v>
      </c>
    </row>
    <row r="151" spans="1:47" x14ac:dyDescent="0.45">
      <c r="A151" s="154">
        <v>2505750010</v>
      </c>
      <c r="B151" s="154">
        <v>57</v>
      </c>
      <c r="C151" s="154" t="s">
        <v>1551</v>
      </c>
      <c r="D151" s="154">
        <v>57</v>
      </c>
      <c r="E151" s="154" t="s">
        <v>1552</v>
      </c>
      <c r="F151" s="154" t="s">
        <v>1675</v>
      </c>
      <c r="G151" s="154" t="s">
        <v>1676</v>
      </c>
      <c r="H151" s="154">
        <v>2</v>
      </c>
      <c r="I151" s="154" t="s">
        <v>1677</v>
      </c>
      <c r="J151" s="154" t="s">
        <v>1403</v>
      </c>
      <c r="K151" s="154">
        <v>2025</v>
      </c>
      <c r="L151" s="155">
        <v>2025</v>
      </c>
      <c r="M151" s="156">
        <v>45541</v>
      </c>
      <c r="N151" s="154" t="s">
        <v>36</v>
      </c>
      <c r="O151" s="154">
        <v>57</v>
      </c>
      <c r="P151" s="154">
        <v>1044</v>
      </c>
      <c r="Q151" s="154" t="s">
        <v>1476</v>
      </c>
      <c r="R151" s="154">
        <v>2</v>
      </c>
      <c r="S151" s="154">
        <v>3</v>
      </c>
      <c r="T151" s="154" t="s">
        <v>1477</v>
      </c>
      <c r="U151" s="154">
        <v>4</v>
      </c>
      <c r="V151" s="155">
        <v>2580013</v>
      </c>
      <c r="W151" s="155">
        <v>0</v>
      </c>
      <c r="X151" s="155" t="s">
        <v>1406</v>
      </c>
      <c r="Y151" s="154"/>
      <c r="Z151" s="154" t="s">
        <v>32</v>
      </c>
      <c r="AA151" s="156">
        <v>45575</v>
      </c>
      <c r="AB151" s="154">
        <v>25</v>
      </c>
      <c r="AC151" s="154">
        <v>80013</v>
      </c>
      <c r="AD151" s="154">
        <v>57</v>
      </c>
      <c r="AE151" s="154" t="s">
        <v>1551</v>
      </c>
      <c r="AF151" s="154">
        <v>57</v>
      </c>
      <c r="AG151" s="154" t="s">
        <v>1552</v>
      </c>
      <c r="AH151" s="154" t="s">
        <v>36</v>
      </c>
      <c r="AI151" s="154">
        <v>57</v>
      </c>
      <c r="AJ151" s="154">
        <v>1044</v>
      </c>
      <c r="AK151" s="154" t="s">
        <v>1407</v>
      </c>
      <c r="AL151" s="154">
        <v>28032</v>
      </c>
      <c r="AM151" s="154" t="s">
        <v>1421</v>
      </c>
      <c r="AN151" s="154" t="s">
        <v>1545</v>
      </c>
      <c r="AO151" s="154">
        <v>28</v>
      </c>
      <c r="AP151" s="154" t="s">
        <v>1416</v>
      </c>
      <c r="AQ151" s="154">
        <v>0</v>
      </c>
      <c r="AR151" s="154" t="s">
        <v>1410</v>
      </c>
      <c r="AS151" s="154"/>
      <c r="AT151" s="154" t="s">
        <v>1417</v>
      </c>
      <c r="AU151" s="154" t="s">
        <v>1412</v>
      </c>
    </row>
    <row r="152" spans="1:47" x14ac:dyDescent="0.45">
      <c r="A152" s="154">
        <v>2505750013</v>
      </c>
      <c r="B152" s="154">
        <v>57</v>
      </c>
      <c r="C152" s="154" t="s">
        <v>1551</v>
      </c>
      <c r="D152" s="154">
        <v>57</v>
      </c>
      <c r="E152" s="154" t="s">
        <v>1552</v>
      </c>
      <c r="F152" s="154" t="s">
        <v>1687</v>
      </c>
      <c r="G152" s="154" t="s">
        <v>1688</v>
      </c>
      <c r="H152" s="154">
        <v>1</v>
      </c>
      <c r="I152" s="154" t="s">
        <v>1689</v>
      </c>
      <c r="J152" s="154" t="s">
        <v>1403</v>
      </c>
      <c r="K152" s="154">
        <v>2025</v>
      </c>
      <c r="L152" s="155">
        <v>2025</v>
      </c>
      <c r="M152" s="156">
        <v>45576</v>
      </c>
      <c r="N152" s="154" t="s">
        <v>36</v>
      </c>
      <c r="O152" s="154" t="s">
        <v>135</v>
      </c>
      <c r="P152" s="154">
        <v>1046</v>
      </c>
      <c r="Q152" s="154" t="s">
        <v>2790</v>
      </c>
      <c r="R152" s="154">
        <v>2</v>
      </c>
      <c r="S152" s="154">
        <v>5</v>
      </c>
      <c r="T152" s="154" t="s">
        <v>1470</v>
      </c>
      <c r="U152" s="154">
        <v>15</v>
      </c>
      <c r="V152" s="155">
        <v>2580035</v>
      </c>
      <c r="W152" s="155">
        <v>0</v>
      </c>
      <c r="X152" s="155" t="s">
        <v>1406</v>
      </c>
      <c r="Y152" s="154"/>
      <c r="Z152" s="154" t="s">
        <v>32</v>
      </c>
      <c r="AA152" s="156">
        <v>45593</v>
      </c>
      <c r="AB152" s="154">
        <v>25</v>
      </c>
      <c r="AC152" s="154">
        <v>80035</v>
      </c>
      <c r="AD152" s="154">
        <v>57</v>
      </c>
      <c r="AE152" s="154" t="s">
        <v>1551</v>
      </c>
      <c r="AF152" s="154">
        <v>57</v>
      </c>
      <c r="AG152" s="154" t="s">
        <v>1552</v>
      </c>
      <c r="AH152" s="154" t="s">
        <v>36</v>
      </c>
      <c r="AI152" s="154" t="s">
        <v>135</v>
      </c>
      <c r="AJ152" s="154">
        <v>1046</v>
      </c>
      <c r="AK152" s="154" t="s">
        <v>1407</v>
      </c>
      <c r="AL152" s="154">
        <v>27077</v>
      </c>
      <c r="AM152" s="154" t="s">
        <v>1421</v>
      </c>
      <c r="AN152" s="154" t="s">
        <v>2791</v>
      </c>
      <c r="AO152" s="154">
        <v>27</v>
      </c>
      <c r="AP152" s="154" t="s">
        <v>1581</v>
      </c>
      <c r="AQ152" s="154">
        <v>0</v>
      </c>
      <c r="AR152" s="154" t="s">
        <v>1410</v>
      </c>
      <c r="AS152" s="154"/>
      <c r="AT152" s="154" t="s">
        <v>1417</v>
      </c>
      <c r="AU152" s="154" t="s">
        <v>1412</v>
      </c>
    </row>
    <row r="153" spans="1:47" x14ac:dyDescent="0.45">
      <c r="A153" s="154">
        <v>2505750014</v>
      </c>
      <c r="B153" s="154">
        <v>57</v>
      </c>
      <c r="C153" s="154" t="s">
        <v>1551</v>
      </c>
      <c r="D153" s="154">
        <v>57</v>
      </c>
      <c r="E153" s="154" t="s">
        <v>1552</v>
      </c>
      <c r="F153" s="154" t="s">
        <v>1690</v>
      </c>
      <c r="G153" s="154" t="s">
        <v>1691</v>
      </c>
      <c r="H153" s="154">
        <v>2</v>
      </c>
      <c r="I153" s="154" t="s">
        <v>519</v>
      </c>
      <c r="J153" s="154" t="s">
        <v>1403</v>
      </c>
      <c r="K153" s="154">
        <v>2025</v>
      </c>
      <c r="L153" s="155">
        <v>2025</v>
      </c>
      <c r="M153" s="156">
        <v>45577</v>
      </c>
      <c r="N153" s="154" t="s">
        <v>36</v>
      </c>
      <c r="O153" s="154">
        <v>6</v>
      </c>
      <c r="P153" s="154">
        <v>488</v>
      </c>
      <c r="Q153" s="154" t="s">
        <v>1553</v>
      </c>
      <c r="R153" s="154">
        <v>2</v>
      </c>
      <c r="S153" s="154">
        <v>1</v>
      </c>
      <c r="T153" s="154" t="s">
        <v>1527</v>
      </c>
      <c r="U153" s="154">
        <v>3</v>
      </c>
      <c r="V153" s="155">
        <v>2580121</v>
      </c>
      <c r="W153" s="155">
        <v>0</v>
      </c>
      <c r="X153" s="155" t="s">
        <v>1406</v>
      </c>
      <c r="Y153" s="154"/>
      <c r="Z153" s="154" t="s">
        <v>32</v>
      </c>
      <c r="AA153" s="156">
        <v>45686</v>
      </c>
      <c r="AB153" s="154">
        <v>25</v>
      </c>
      <c r="AC153" s="154">
        <v>80121</v>
      </c>
      <c r="AD153" s="154">
        <v>57</v>
      </c>
      <c r="AE153" s="154" t="s">
        <v>1551</v>
      </c>
      <c r="AF153" s="154">
        <v>57</v>
      </c>
      <c r="AG153" s="154" t="s">
        <v>1552</v>
      </c>
      <c r="AH153" s="154" t="s">
        <v>36</v>
      </c>
      <c r="AI153" s="154">
        <v>6</v>
      </c>
      <c r="AJ153" s="154">
        <v>488</v>
      </c>
      <c r="AK153" s="154" t="s">
        <v>1407</v>
      </c>
      <c r="AL153" s="154">
        <v>28124</v>
      </c>
      <c r="AM153" s="154" t="s">
        <v>1414</v>
      </c>
      <c r="AN153" s="154" t="s">
        <v>1483</v>
      </c>
      <c r="AO153" s="154">
        <v>28</v>
      </c>
      <c r="AP153" s="154" t="s">
        <v>1416</v>
      </c>
      <c r="AQ153" s="154">
        <v>0</v>
      </c>
      <c r="AR153" s="154" t="s">
        <v>1410</v>
      </c>
      <c r="AS153" s="154"/>
      <c r="AT153" s="154" t="s">
        <v>1417</v>
      </c>
      <c r="AU153" s="154" t="s">
        <v>1412</v>
      </c>
    </row>
    <row r="154" spans="1:47" x14ac:dyDescent="0.45">
      <c r="A154" s="154">
        <v>2505750015</v>
      </c>
      <c r="B154" s="154">
        <v>57</v>
      </c>
      <c r="C154" s="154" t="s">
        <v>1551</v>
      </c>
      <c r="D154" s="154">
        <v>57</v>
      </c>
      <c r="E154" s="154" t="s">
        <v>1552</v>
      </c>
      <c r="F154" s="154" t="s">
        <v>1692</v>
      </c>
      <c r="G154" s="154" t="s">
        <v>1693</v>
      </c>
      <c r="H154" s="154">
        <v>2</v>
      </c>
      <c r="I154" s="154" t="s">
        <v>534</v>
      </c>
      <c r="J154" s="154" t="s">
        <v>1403</v>
      </c>
      <c r="K154" s="154">
        <v>2025</v>
      </c>
      <c r="L154" s="155">
        <v>2025</v>
      </c>
      <c r="M154" s="156">
        <v>45595</v>
      </c>
      <c r="N154" s="154" t="s">
        <v>36</v>
      </c>
      <c r="O154" s="154">
        <v>58</v>
      </c>
      <c r="P154" s="154">
        <v>427</v>
      </c>
      <c r="Q154" s="154" t="s">
        <v>1479</v>
      </c>
      <c r="R154" s="154">
        <v>2</v>
      </c>
      <c r="S154" s="154">
        <v>2</v>
      </c>
      <c r="T154" s="154" t="s">
        <v>1464</v>
      </c>
      <c r="U154" s="154">
        <v>1</v>
      </c>
      <c r="V154" s="155">
        <v>0</v>
      </c>
      <c r="W154" s="155">
        <v>0</v>
      </c>
      <c r="X154" s="155" t="s">
        <v>1406</v>
      </c>
      <c r="Y154" s="156">
        <v>45743</v>
      </c>
      <c r="Z154" s="154" t="s">
        <v>32</v>
      </c>
      <c r="AA154" s="154"/>
      <c r="AB154" s="154">
        <v>0</v>
      </c>
      <c r="AC154" s="154">
        <v>0</v>
      </c>
      <c r="AD154" s="154">
        <v>0</v>
      </c>
      <c r="AE154" s="154" t="s">
        <v>1446</v>
      </c>
      <c r="AF154" s="154"/>
      <c r="AG154" s="154" t="s">
        <v>1446</v>
      </c>
      <c r="AH154" s="154"/>
      <c r="AI154" s="154"/>
      <c r="AJ154" s="154">
        <v>0</v>
      </c>
      <c r="AK154" s="154" t="s">
        <v>1473</v>
      </c>
      <c r="AL154" s="154">
        <v>28108</v>
      </c>
      <c r="AM154" s="154" t="s">
        <v>1418</v>
      </c>
      <c r="AN154" s="154" t="s">
        <v>1534</v>
      </c>
      <c r="AO154" s="154">
        <v>28</v>
      </c>
      <c r="AP154" s="154" t="s">
        <v>1416</v>
      </c>
      <c r="AQ154" s="154">
        <v>0</v>
      </c>
      <c r="AR154" s="154" t="s">
        <v>1410</v>
      </c>
      <c r="AS154" s="154"/>
      <c r="AT154" s="154" t="s">
        <v>1417</v>
      </c>
      <c r="AU154" s="154" t="s">
        <v>1412</v>
      </c>
    </row>
    <row r="155" spans="1:47" x14ac:dyDescent="0.45">
      <c r="A155" s="154">
        <v>2505750016</v>
      </c>
      <c r="B155" s="154">
        <v>57</v>
      </c>
      <c r="C155" s="154" t="s">
        <v>1551</v>
      </c>
      <c r="D155" s="154">
        <v>57</v>
      </c>
      <c r="E155" s="154" t="s">
        <v>1552</v>
      </c>
      <c r="F155" s="154" t="s">
        <v>1694</v>
      </c>
      <c r="G155" s="154" t="s">
        <v>1695</v>
      </c>
      <c r="H155" s="154">
        <v>2</v>
      </c>
      <c r="I155" s="154" t="s">
        <v>288</v>
      </c>
      <c r="J155" s="154" t="s">
        <v>1403</v>
      </c>
      <c r="K155" s="154">
        <v>2025</v>
      </c>
      <c r="L155" s="155">
        <v>2025</v>
      </c>
      <c r="M155" s="156">
        <v>45566</v>
      </c>
      <c r="N155" s="154" t="s">
        <v>36</v>
      </c>
      <c r="O155" s="154">
        <v>6</v>
      </c>
      <c r="P155" s="154">
        <v>488</v>
      </c>
      <c r="Q155" s="154" t="s">
        <v>1553</v>
      </c>
      <c r="R155" s="154">
        <v>2</v>
      </c>
      <c r="S155" s="154">
        <v>1</v>
      </c>
      <c r="T155" s="154" t="s">
        <v>1527</v>
      </c>
      <c r="U155" s="154">
        <v>3</v>
      </c>
      <c r="V155" s="155">
        <v>2580048</v>
      </c>
      <c r="W155" s="155">
        <v>0</v>
      </c>
      <c r="X155" s="155" t="s">
        <v>1406</v>
      </c>
      <c r="Y155" s="154"/>
      <c r="Z155" s="154" t="s">
        <v>32</v>
      </c>
      <c r="AA155" s="156">
        <v>45602</v>
      </c>
      <c r="AB155" s="154">
        <v>25</v>
      </c>
      <c r="AC155" s="154">
        <v>80048</v>
      </c>
      <c r="AD155" s="154">
        <v>57</v>
      </c>
      <c r="AE155" s="154" t="s">
        <v>1551</v>
      </c>
      <c r="AF155" s="154">
        <v>57</v>
      </c>
      <c r="AG155" s="154" t="s">
        <v>1552</v>
      </c>
      <c r="AH155" s="154" t="s">
        <v>36</v>
      </c>
      <c r="AI155" s="154">
        <v>6</v>
      </c>
      <c r="AJ155" s="154">
        <v>488</v>
      </c>
      <c r="AK155" s="154" t="s">
        <v>1407</v>
      </c>
      <c r="AL155" s="154">
        <v>28124</v>
      </c>
      <c r="AM155" s="154" t="s">
        <v>1414</v>
      </c>
      <c r="AN155" s="154" t="s">
        <v>1483</v>
      </c>
      <c r="AO155" s="154">
        <v>28</v>
      </c>
      <c r="AP155" s="154" t="s">
        <v>1416</v>
      </c>
      <c r="AQ155" s="154">
        <v>0</v>
      </c>
      <c r="AR155" s="154" t="s">
        <v>1410</v>
      </c>
      <c r="AS155" s="154"/>
      <c r="AT155" s="154" t="s">
        <v>1417</v>
      </c>
      <c r="AU155" s="154" t="s">
        <v>1412</v>
      </c>
    </row>
    <row r="156" spans="1:47" x14ac:dyDescent="0.45">
      <c r="A156" s="154">
        <v>2505750018</v>
      </c>
      <c r="B156" s="154">
        <v>57</v>
      </c>
      <c r="C156" s="154" t="s">
        <v>1551</v>
      </c>
      <c r="D156" s="154">
        <v>57</v>
      </c>
      <c r="E156" s="154" t="s">
        <v>1552</v>
      </c>
      <c r="F156" s="154" t="s">
        <v>1699</v>
      </c>
      <c r="G156" s="154" t="s">
        <v>1700</v>
      </c>
      <c r="H156" s="154">
        <v>2</v>
      </c>
      <c r="I156" s="154" t="s">
        <v>634</v>
      </c>
      <c r="J156" s="154" t="s">
        <v>1403</v>
      </c>
      <c r="K156" s="154">
        <v>2025</v>
      </c>
      <c r="L156" s="155">
        <v>2025</v>
      </c>
      <c r="M156" s="156">
        <v>45575</v>
      </c>
      <c r="N156" s="154" t="s">
        <v>36</v>
      </c>
      <c r="O156" s="154">
        <v>57</v>
      </c>
      <c r="P156" s="154">
        <v>813</v>
      </c>
      <c r="Q156" s="154" t="s">
        <v>1580</v>
      </c>
      <c r="R156" s="154">
        <v>2</v>
      </c>
      <c r="S156" s="154">
        <v>3</v>
      </c>
      <c r="T156" s="154" t="s">
        <v>1477</v>
      </c>
      <c r="U156" s="154">
        <v>4</v>
      </c>
      <c r="V156" s="155">
        <v>2580036</v>
      </c>
      <c r="W156" s="155">
        <v>0</v>
      </c>
      <c r="X156" s="155" t="s">
        <v>1406</v>
      </c>
      <c r="Y156" s="154"/>
      <c r="Z156" s="154" t="s">
        <v>32</v>
      </c>
      <c r="AA156" s="156">
        <v>45593</v>
      </c>
      <c r="AB156" s="154">
        <v>25</v>
      </c>
      <c r="AC156" s="154">
        <v>80036</v>
      </c>
      <c r="AD156" s="154">
        <v>57</v>
      </c>
      <c r="AE156" s="154" t="s">
        <v>1551</v>
      </c>
      <c r="AF156" s="154">
        <v>57</v>
      </c>
      <c r="AG156" s="154" t="s">
        <v>1552</v>
      </c>
      <c r="AH156" s="154" t="s">
        <v>36</v>
      </c>
      <c r="AI156" s="154">
        <v>57</v>
      </c>
      <c r="AJ156" s="154">
        <v>813</v>
      </c>
      <c r="AK156" s="154" t="s">
        <v>1407</v>
      </c>
      <c r="AL156" s="154">
        <v>28117</v>
      </c>
      <c r="AM156" s="154" t="s">
        <v>1418</v>
      </c>
      <c r="AN156" s="154" t="s">
        <v>1576</v>
      </c>
      <c r="AO156" s="154">
        <v>28</v>
      </c>
      <c r="AP156" s="154" t="s">
        <v>1416</v>
      </c>
      <c r="AQ156" s="154">
        <v>0</v>
      </c>
      <c r="AR156" s="154" t="s">
        <v>1410</v>
      </c>
      <c r="AS156" s="154"/>
      <c r="AT156" s="154" t="s">
        <v>1417</v>
      </c>
      <c r="AU156" s="154" t="s">
        <v>1412</v>
      </c>
    </row>
    <row r="157" spans="1:47" x14ac:dyDescent="0.45">
      <c r="A157" s="154">
        <v>2505750019</v>
      </c>
      <c r="B157" s="154">
        <v>57</v>
      </c>
      <c r="C157" s="154" t="s">
        <v>1551</v>
      </c>
      <c r="D157" s="154">
        <v>57</v>
      </c>
      <c r="E157" s="154" t="s">
        <v>1552</v>
      </c>
      <c r="F157" s="154" t="s">
        <v>1702</v>
      </c>
      <c r="G157" s="154" t="s">
        <v>1703</v>
      </c>
      <c r="H157" s="154">
        <v>2</v>
      </c>
      <c r="I157" s="154" t="s">
        <v>1704</v>
      </c>
      <c r="J157" s="154" t="s">
        <v>1403</v>
      </c>
      <c r="K157" s="154">
        <v>2025</v>
      </c>
      <c r="L157" s="155">
        <v>2025</v>
      </c>
      <c r="M157" s="156">
        <v>45594</v>
      </c>
      <c r="N157" s="154" t="s">
        <v>36</v>
      </c>
      <c r="O157" s="154">
        <v>6</v>
      </c>
      <c r="P157" s="154">
        <v>448</v>
      </c>
      <c r="Q157" s="154" t="s">
        <v>1557</v>
      </c>
      <c r="R157" s="154">
        <v>2</v>
      </c>
      <c r="S157" s="154">
        <v>1</v>
      </c>
      <c r="T157" s="154" t="s">
        <v>1527</v>
      </c>
      <c r="U157" s="154">
        <v>3</v>
      </c>
      <c r="V157" s="155">
        <v>2580076</v>
      </c>
      <c r="W157" s="155">
        <v>0</v>
      </c>
      <c r="X157" s="155" t="s">
        <v>1406</v>
      </c>
      <c r="Y157" s="154"/>
      <c r="Z157" s="154" t="s">
        <v>32</v>
      </c>
      <c r="AA157" s="156">
        <v>45629</v>
      </c>
      <c r="AB157" s="154">
        <v>25</v>
      </c>
      <c r="AC157" s="154">
        <v>80076</v>
      </c>
      <c r="AD157" s="154">
        <v>57</v>
      </c>
      <c r="AE157" s="154" t="s">
        <v>1551</v>
      </c>
      <c r="AF157" s="154">
        <v>57</v>
      </c>
      <c r="AG157" s="154" t="s">
        <v>1552</v>
      </c>
      <c r="AH157" s="154" t="s">
        <v>36</v>
      </c>
      <c r="AI157" s="154">
        <v>6</v>
      </c>
      <c r="AJ157" s="154">
        <v>448</v>
      </c>
      <c r="AK157" s="154" t="s">
        <v>1407</v>
      </c>
      <c r="AL157" s="154">
        <v>28255</v>
      </c>
      <c r="AM157" s="154" t="s">
        <v>1421</v>
      </c>
      <c r="AN157" s="154" t="s">
        <v>2825</v>
      </c>
      <c r="AO157" s="154">
        <v>28</v>
      </c>
      <c r="AP157" s="154" t="s">
        <v>1416</v>
      </c>
      <c r="AQ157" s="154">
        <v>0</v>
      </c>
      <c r="AR157" s="154" t="s">
        <v>1410</v>
      </c>
      <c r="AS157" s="154"/>
      <c r="AT157" s="154" t="s">
        <v>1417</v>
      </c>
      <c r="AU157" s="154" t="s">
        <v>1412</v>
      </c>
    </row>
    <row r="158" spans="1:47" x14ac:dyDescent="0.45">
      <c r="A158" s="154">
        <v>2505750020</v>
      </c>
      <c r="B158" s="154">
        <v>57</v>
      </c>
      <c r="C158" s="154" t="s">
        <v>1551</v>
      </c>
      <c r="D158" s="154">
        <v>57</v>
      </c>
      <c r="E158" s="154" t="s">
        <v>1552</v>
      </c>
      <c r="F158" s="154" t="s">
        <v>1705</v>
      </c>
      <c r="G158" s="154" t="s">
        <v>1706</v>
      </c>
      <c r="H158" s="154">
        <v>1</v>
      </c>
      <c r="I158" s="154" t="s">
        <v>1707</v>
      </c>
      <c r="J158" s="154" t="s">
        <v>1403</v>
      </c>
      <c r="K158" s="154">
        <v>2025</v>
      </c>
      <c r="L158" s="155">
        <v>2025</v>
      </c>
      <c r="M158" s="156">
        <v>45549</v>
      </c>
      <c r="N158" s="154" t="s">
        <v>36</v>
      </c>
      <c r="O158" s="154">
        <v>6</v>
      </c>
      <c r="P158" s="154">
        <v>488</v>
      </c>
      <c r="Q158" s="154" t="s">
        <v>1553</v>
      </c>
      <c r="R158" s="154">
        <v>2</v>
      </c>
      <c r="S158" s="154">
        <v>1</v>
      </c>
      <c r="T158" s="154" t="s">
        <v>1527</v>
      </c>
      <c r="U158" s="154">
        <v>3</v>
      </c>
      <c r="V158" s="155">
        <v>2580004</v>
      </c>
      <c r="W158" s="155">
        <v>0</v>
      </c>
      <c r="X158" s="155" t="s">
        <v>1406</v>
      </c>
      <c r="Y158" s="154"/>
      <c r="Z158" s="154" t="s">
        <v>32</v>
      </c>
      <c r="AA158" s="156">
        <v>45566</v>
      </c>
      <c r="AB158" s="154">
        <v>25</v>
      </c>
      <c r="AC158" s="154">
        <v>80004</v>
      </c>
      <c r="AD158" s="154">
        <v>57</v>
      </c>
      <c r="AE158" s="154" t="s">
        <v>1551</v>
      </c>
      <c r="AF158" s="154">
        <v>57</v>
      </c>
      <c r="AG158" s="154" t="s">
        <v>1552</v>
      </c>
      <c r="AH158" s="154" t="s">
        <v>36</v>
      </c>
      <c r="AI158" s="154">
        <v>6</v>
      </c>
      <c r="AJ158" s="154">
        <v>488</v>
      </c>
      <c r="AK158" s="154" t="s">
        <v>1407</v>
      </c>
      <c r="AL158" s="154">
        <v>28030</v>
      </c>
      <c r="AM158" s="154" t="s">
        <v>1418</v>
      </c>
      <c r="AN158" s="154" t="s">
        <v>1566</v>
      </c>
      <c r="AO158" s="154">
        <v>28</v>
      </c>
      <c r="AP158" s="154" t="s">
        <v>1416</v>
      </c>
      <c r="AQ158" s="154">
        <v>0</v>
      </c>
      <c r="AR158" s="154" t="s">
        <v>1410</v>
      </c>
      <c r="AS158" s="154"/>
      <c r="AT158" s="154" t="s">
        <v>1417</v>
      </c>
      <c r="AU158" s="154" t="s">
        <v>1412</v>
      </c>
    </row>
    <row r="159" spans="1:47" x14ac:dyDescent="0.45">
      <c r="A159" s="154">
        <v>2505750021</v>
      </c>
      <c r="B159" s="154">
        <v>57</v>
      </c>
      <c r="C159" s="154" t="s">
        <v>1551</v>
      </c>
      <c r="D159" s="154">
        <v>57</v>
      </c>
      <c r="E159" s="154" t="s">
        <v>1552</v>
      </c>
      <c r="F159" s="154" t="s">
        <v>1708</v>
      </c>
      <c r="G159" s="154" t="s">
        <v>1709</v>
      </c>
      <c r="H159" s="154">
        <v>1</v>
      </c>
      <c r="I159" s="154" t="s">
        <v>1710</v>
      </c>
      <c r="J159" s="154" t="s">
        <v>1403</v>
      </c>
      <c r="K159" s="154">
        <v>2025</v>
      </c>
      <c r="L159" s="155">
        <v>2025</v>
      </c>
      <c r="M159" s="156">
        <v>45587</v>
      </c>
      <c r="N159" s="154" t="s">
        <v>36</v>
      </c>
      <c r="O159" s="154">
        <v>58</v>
      </c>
      <c r="P159" s="154">
        <v>428</v>
      </c>
      <c r="Q159" s="154" t="s">
        <v>1463</v>
      </c>
      <c r="R159" s="154">
        <v>2</v>
      </c>
      <c r="S159" s="154">
        <v>2</v>
      </c>
      <c r="T159" s="154" t="s">
        <v>1464</v>
      </c>
      <c r="U159" s="154">
        <v>1</v>
      </c>
      <c r="V159" s="155">
        <v>2580046</v>
      </c>
      <c r="W159" s="155">
        <v>0</v>
      </c>
      <c r="X159" s="155" t="s">
        <v>1406</v>
      </c>
      <c r="Y159" s="154"/>
      <c r="Z159" s="154" t="s">
        <v>32</v>
      </c>
      <c r="AA159" s="156">
        <v>45602</v>
      </c>
      <c r="AB159" s="154">
        <v>25</v>
      </c>
      <c r="AC159" s="154">
        <v>80046</v>
      </c>
      <c r="AD159" s="154">
        <v>57</v>
      </c>
      <c r="AE159" s="154" t="s">
        <v>1551</v>
      </c>
      <c r="AF159" s="154">
        <v>57</v>
      </c>
      <c r="AG159" s="154" t="s">
        <v>1552</v>
      </c>
      <c r="AH159" s="154" t="s">
        <v>36</v>
      </c>
      <c r="AI159" s="154">
        <v>58</v>
      </c>
      <c r="AJ159" s="154">
        <v>428</v>
      </c>
      <c r="AK159" s="154" t="s">
        <v>1407</v>
      </c>
      <c r="AL159" s="154">
        <v>28009</v>
      </c>
      <c r="AM159" s="154" t="s">
        <v>1418</v>
      </c>
      <c r="AN159" s="154" t="s">
        <v>1607</v>
      </c>
      <c r="AO159" s="154">
        <v>28</v>
      </c>
      <c r="AP159" s="154" t="s">
        <v>1416</v>
      </c>
      <c r="AQ159" s="154">
        <v>0</v>
      </c>
      <c r="AR159" s="154" t="s">
        <v>1410</v>
      </c>
      <c r="AS159" s="154"/>
      <c r="AT159" s="154" t="s">
        <v>1417</v>
      </c>
      <c r="AU159" s="154" t="s">
        <v>1412</v>
      </c>
    </row>
    <row r="160" spans="1:47" x14ac:dyDescent="0.45">
      <c r="A160" s="154">
        <v>2505750022</v>
      </c>
      <c r="B160" s="154">
        <v>57</v>
      </c>
      <c r="C160" s="154" t="s">
        <v>1551</v>
      </c>
      <c r="D160" s="154">
        <v>57</v>
      </c>
      <c r="E160" s="154" t="s">
        <v>1552</v>
      </c>
      <c r="F160" s="154" t="s">
        <v>1711</v>
      </c>
      <c r="G160" s="154" t="s">
        <v>1712</v>
      </c>
      <c r="H160" s="154">
        <v>1</v>
      </c>
      <c r="I160" s="154" t="s">
        <v>1713</v>
      </c>
      <c r="J160" s="154" t="s">
        <v>1403</v>
      </c>
      <c r="K160" s="154">
        <v>2025</v>
      </c>
      <c r="L160" s="155">
        <v>2025</v>
      </c>
      <c r="M160" s="156">
        <v>45584</v>
      </c>
      <c r="N160" s="154" t="s">
        <v>36</v>
      </c>
      <c r="O160" s="154" t="s">
        <v>135</v>
      </c>
      <c r="P160" s="154">
        <v>61</v>
      </c>
      <c r="Q160" s="154" t="s">
        <v>2792</v>
      </c>
      <c r="R160" s="154">
        <v>2</v>
      </c>
      <c r="S160" s="154">
        <v>5</v>
      </c>
      <c r="T160" s="154" t="s">
        <v>1470</v>
      </c>
      <c r="U160" s="154">
        <v>15</v>
      </c>
      <c r="V160" s="155">
        <v>2580059</v>
      </c>
      <c r="W160" s="155">
        <v>0</v>
      </c>
      <c r="X160" s="155" t="s">
        <v>1406</v>
      </c>
      <c r="Y160" s="154"/>
      <c r="Z160" s="154" t="s">
        <v>32</v>
      </c>
      <c r="AA160" s="156">
        <v>45611</v>
      </c>
      <c r="AB160" s="154">
        <v>25</v>
      </c>
      <c r="AC160" s="154">
        <v>80059</v>
      </c>
      <c r="AD160" s="154">
        <v>57</v>
      </c>
      <c r="AE160" s="154" t="s">
        <v>1551</v>
      </c>
      <c r="AF160" s="154">
        <v>57</v>
      </c>
      <c r="AG160" s="154" t="s">
        <v>1552</v>
      </c>
      <c r="AH160" s="154" t="s">
        <v>36</v>
      </c>
      <c r="AI160" s="154" t="s">
        <v>135</v>
      </c>
      <c r="AJ160" s="154">
        <v>61</v>
      </c>
      <c r="AK160" s="154" t="s">
        <v>1407</v>
      </c>
      <c r="AL160" s="154">
        <v>28200</v>
      </c>
      <c r="AM160" s="154" t="s">
        <v>1418</v>
      </c>
      <c r="AN160" s="154" t="s">
        <v>1520</v>
      </c>
      <c r="AO160" s="154">
        <v>28</v>
      </c>
      <c r="AP160" s="154" t="s">
        <v>1416</v>
      </c>
      <c r="AQ160" s="154">
        <v>0</v>
      </c>
      <c r="AR160" s="154" t="s">
        <v>1410</v>
      </c>
      <c r="AS160" s="154"/>
      <c r="AT160" s="154" t="s">
        <v>1417</v>
      </c>
      <c r="AU160" s="154" t="s">
        <v>1412</v>
      </c>
    </row>
    <row r="161" spans="1:47" x14ac:dyDescent="0.45">
      <c r="A161" s="154">
        <v>2505750023</v>
      </c>
      <c r="B161" s="154">
        <v>57</v>
      </c>
      <c r="C161" s="154" t="s">
        <v>1551</v>
      </c>
      <c r="D161" s="154">
        <v>57</v>
      </c>
      <c r="E161" s="154" t="s">
        <v>1552</v>
      </c>
      <c r="F161" s="154" t="s">
        <v>1714</v>
      </c>
      <c r="G161" s="154" t="s">
        <v>1715</v>
      </c>
      <c r="H161" s="154">
        <v>1</v>
      </c>
      <c r="I161" s="154" t="s">
        <v>1716</v>
      </c>
      <c r="J161" s="154" t="s">
        <v>1403</v>
      </c>
      <c r="K161" s="154">
        <v>2025</v>
      </c>
      <c r="L161" s="155">
        <v>2025</v>
      </c>
      <c r="M161" s="156">
        <v>45545</v>
      </c>
      <c r="N161" s="154" t="s">
        <v>36</v>
      </c>
      <c r="O161" s="154">
        <v>6</v>
      </c>
      <c r="P161" s="154">
        <v>448</v>
      </c>
      <c r="Q161" s="154" t="s">
        <v>1557</v>
      </c>
      <c r="R161" s="154">
        <v>2</v>
      </c>
      <c r="S161" s="154">
        <v>1</v>
      </c>
      <c r="T161" s="154" t="s">
        <v>1527</v>
      </c>
      <c r="U161" s="154">
        <v>3</v>
      </c>
      <c r="V161" s="155">
        <v>2580006</v>
      </c>
      <c r="W161" s="155">
        <v>0</v>
      </c>
      <c r="X161" s="155" t="s">
        <v>1406</v>
      </c>
      <c r="Y161" s="154"/>
      <c r="Z161" s="154" t="s">
        <v>32</v>
      </c>
      <c r="AA161" s="156">
        <v>45568</v>
      </c>
      <c r="AB161" s="154">
        <v>25</v>
      </c>
      <c r="AC161" s="154">
        <v>80006</v>
      </c>
      <c r="AD161" s="154">
        <v>57</v>
      </c>
      <c r="AE161" s="154" t="s">
        <v>1551</v>
      </c>
      <c r="AF161" s="154">
        <v>57</v>
      </c>
      <c r="AG161" s="154" t="s">
        <v>1552</v>
      </c>
      <c r="AH161" s="154" t="s">
        <v>36</v>
      </c>
      <c r="AI161" s="154">
        <v>6</v>
      </c>
      <c r="AJ161" s="154">
        <v>448</v>
      </c>
      <c r="AK161" s="154" t="s">
        <v>1407</v>
      </c>
      <c r="AL161" s="154">
        <v>28032</v>
      </c>
      <c r="AM161" s="154" t="s">
        <v>1421</v>
      </c>
      <c r="AN161" s="154" t="s">
        <v>1545</v>
      </c>
      <c r="AO161" s="154">
        <v>28</v>
      </c>
      <c r="AP161" s="154" t="s">
        <v>1416</v>
      </c>
      <c r="AQ161" s="154">
        <v>0</v>
      </c>
      <c r="AR161" s="154" t="s">
        <v>1410</v>
      </c>
      <c r="AS161" s="154"/>
      <c r="AT161" s="154" t="s">
        <v>1417</v>
      </c>
      <c r="AU161" s="154" t="s">
        <v>1412</v>
      </c>
    </row>
    <row r="162" spans="1:47" x14ac:dyDescent="0.45">
      <c r="A162" s="154">
        <v>2505750024</v>
      </c>
      <c r="B162" s="154">
        <v>57</v>
      </c>
      <c r="C162" s="154" t="s">
        <v>1551</v>
      </c>
      <c r="D162" s="154">
        <v>57</v>
      </c>
      <c r="E162" s="154" t="s">
        <v>1552</v>
      </c>
      <c r="F162" s="154" t="s">
        <v>1719</v>
      </c>
      <c r="G162" s="154" t="s">
        <v>1720</v>
      </c>
      <c r="H162" s="154">
        <v>1</v>
      </c>
      <c r="I162" s="154" t="s">
        <v>1721</v>
      </c>
      <c r="J162" s="154" t="s">
        <v>1403</v>
      </c>
      <c r="K162" s="154">
        <v>2025</v>
      </c>
      <c r="L162" s="155">
        <v>2025</v>
      </c>
      <c r="M162" s="156">
        <v>45577</v>
      </c>
      <c r="N162" s="154" t="s">
        <v>36</v>
      </c>
      <c r="O162" s="154" t="s">
        <v>135</v>
      </c>
      <c r="P162" s="154">
        <v>1046</v>
      </c>
      <c r="Q162" s="154" t="s">
        <v>2790</v>
      </c>
      <c r="R162" s="154">
        <v>2</v>
      </c>
      <c r="S162" s="154">
        <v>5</v>
      </c>
      <c r="T162" s="154" t="s">
        <v>1470</v>
      </c>
      <c r="U162" s="154">
        <v>15</v>
      </c>
      <c r="V162" s="155">
        <v>2580069</v>
      </c>
      <c r="W162" s="155">
        <v>0</v>
      </c>
      <c r="X162" s="155" t="s">
        <v>1406</v>
      </c>
      <c r="Y162" s="154"/>
      <c r="Z162" s="154" t="s">
        <v>32</v>
      </c>
      <c r="AA162" s="156">
        <v>45616</v>
      </c>
      <c r="AB162" s="154">
        <v>25</v>
      </c>
      <c r="AC162" s="154">
        <v>80069</v>
      </c>
      <c r="AD162" s="154">
        <v>57</v>
      </c>
      <c r="AE162" s="154" t="s">
        <v>1551</v>
      </c>
      <c r="AF162" s="154">
        <v>57</v>
      </c>
      <c r="AG162" s="154" t="s">
        <v>1552</v>
      </c>
      <c r="AH162" s="154" t="s">
        <v>36</v>
      </c>
      <c r="AI162" s="154" t="s">
        <v>135</v>
      </c>
      <c r="AJ162" s="154">
        <v>1046</v>
      </c>
      <c r="AK162" s="154" t="s">
        <v>1407</v>
      </c>
      <c r="AL162" s="154">
        <v>28140</v>
      </c>
      <c r="AM162" s="154" t="s">
        <v>1418</v>
      </c>
      <c r="AN162" s="154" t="s">
        <v>1480</v>
      </c>
      <c r="AO162" s="154">
        <v>28</v>
      </c>
      <c r="AP162" s="154" t="s">
        <v>1416</v>
      </c>
      <c r="AQ162" s="154">
        <v>0</v>
      </c>
      <c r="AR162" s="154" t="s">
        <v>1410</v>
      </c>
      <c r="AS162" s="154"/>
      <c r="AT162" s="154" t="s">
        <v>1417</v>
      </c>
      <c r="AU162" s="154" t="s">
        <v>1412</v>
      </c>
    </row>
    <row r="163" spans="1:47" x14ac:dyDescent="0.45">
      <c r="A163" s="154">
        <v>2505750026</v>
      </c>
      <c r="B163" s="154">
        <v>57</v>
      </c>
      <c r="C163" s="154" t="s">
        <v>1551</v>
      </c>
      <c r="D163" s="154">
        <v>57</v>
      </c>
      <c r="E163" s="154" t="s">
        <v>1552</v>
      </c>
      <c r="F163" s="154" t="s">
        <v>1726</v>
      </c>
      <c r="G163" s="154" t="s">
        <v>1727</v>
      </c>
      <c r="H163" s="154">
        <v>2</v>
      </c>
      <c r="I163" s="154" t="s">
        <v>467</v>
      </c>
      <c r="J163" s="154" t="s">
        <v>1403</v>
      </c>
      <c r="K163" s="154">
        <v>2025</v>
      </c>
      <c r="L163" s="155">
        <v>2025</v>
      </c>
      <c r="M163" s="156">
        <v>45537</v>
      </c>
      <c r="N163" s="154" t="s">
        <v>36</v>
      </c>
      <c r="O163" s="154" t="s">
        <v>94</v>
      </c>
      <c r="P163" s="154">
        <v>121</v>
      </c>
      <c r="Q163" s="154" t="s">
        <v>1502</v>
      </c>
      <c r="R163" s="154">
        <v>2</v>
      </c>
      <c r="S163" s="154">
        <v>8</v>
      </c>
      <c r="T163" s="154" t="s">
        <v>1503</v>
      </c>
      <c r="U163" s="154">
        <v>6</v>
      </c>
      <c r="V163" s="155">
        <v>2580023</v>
      </c>
      <c r="W163" s="155">
        <v>0</v>
      </c>
      <c r="X163" s="155" t="s">
        <v>1406</v>
      </c>
      <c r="Y163" s="154"/>
      <c r="Z163" s="154" t="s">
        <v>32</v>
      </c>
      <c r="AA163" s="156">
        <v>45580</v>
      </c>
      <c r="AB163" s="154">
        <v>25</v>
      </c>
      <c r="AC163" s="154">
        <v>80023</v>
      </c>
      <c r="AD163" s="154">
        <v>57</v>
      </c>
      <c r="AE163" s="154" t="s">
        <v>1551</v>
      </c>
      <c r="AF163" s="154">
        <v>57</v>
      </c>
      <c r="AG163" s="154" t="s">
        <v>1552</v>
      </c>
      <c r="AH163" s="154" t="s">
        <v>36</v>
      </c>
      <c r="AI163" s="154" t="s">
        <v>94</v>
      </c>
      <c r="AJ163" s="154">
        <v>121</v>
      </c>
      <c r="AK163" s="154" t="s">
        <v>1407</v>
      </c>
      <c r="AL163" s="154">
        <v>28203</v>
      </c>
      <c r="AM163" s="154" t="s">
        <v>1418</v>
      </c>
      <c r="AN163" s="154" t="s">
        <v>1619</v>
      </c>
      <c r="AO163" s="154">
        <v>28</v>
      </c>
      <c r="AP163" s="154" t="s">
        <v>1416</v>
      </c>
      <c r="AQ163" s="154">
        <v>0</v>
      </c>
      <c r="AR163" s="154" t="s">
        <v>1410</v>
      </c>
      <c r="AS163" s="154"/>
      <c r="AT163" s="154" t="s">
        <v>1417</v>
      </c>
      <c r="AU163" s="154" t="s">
        <v>1412</v>
      </c>
    </row>
    <row r="164" spans="1:47" x14ac:dyDescent="0.45">
      <c r="A164" s="154">
        <v>2505750027</v>
      </c>
      <c r="B164" s="154">
        <v>57</v>
      </c>
      <c r="C164" s="154" t="s">
        <v>1551</v>
      </c>
      <c r="D164" s="154">
        <v>57</v>
      </c>
      <c r="E164" s="154" t="s">
        <v>1552</v>
      </c>
      <c r="F164" s="154" t="s">
        <v>1728</v>
      </c>
      <c r="G164" s="154" t="s">
        <v>1729</v>
      </c>
      <c r="H164" s="154">
        <v>2</v>
      </c>
      <c r="I164" s="154" t="s">
        <v>1730</v>
      </c>
      <c r="J164" s="154" t="s">
        <v>1403</v>
      </c>
      <c r="K164" s="154">
        <v>2025</v>
      </c>
      <c r="L164" s="155">
        <v>2025</v>
      </c>
      <c r="M164" s="156">
        <v>45555</v>
      </c>
      <c r="N164" s="154" t="s">
        <v>36</v>
      </c>
      <c r="O164" s="154">
        <v>57</v>
      </c>
      <c r="P164" s="154">
        <v>969</v>
      </c>
      <c r="Q164" s="154" t="s">
        <v>1582</v>
      </c>
      <c r="R164" s="154">
        <v>2</v>
      </c>
      <c r="S164" s="154">
        <v>3</v>
      </c>
      <c r="T164" s="154" t="s">
        <v>1477</v>
      </c>
      <c r="U164" s="154">
        <v>4</v>
      </c>
      <c r="V164" s="155">
        <v>2580022</v>
      </c>
      <c r="W164" s="155">
        <v>0</v>
      </c>
      <c r="X164" s="155" t="s">
        <v>1406</v>
      </c>
      <c r="Y164" s="154"/>
      <c r="Z164" s="154" t="s">
        <v>32</v>
      </c>
      <c r="AA164" s="156">
        <v>45580</v>
      </c>
      <c r="AB164" s="154">
        <v>25</v>
      </c>
      <c r="AC164" s="154">
        <v>80022</v>
      </c>
      <c r="AD164" s="154">
        <v>57</v>
      </c>
      <c r="AE164" s="154" t="s">
        <v>1551</v>
      </c>
      <c r="AF164" s="154">
        <v>57</v>
      </c>
      <c r="AG164" s="154" t="s">
        <v>1552</v>
      </c>
      <c r="AH164" s="154" t="s">
        <v>36</v>
      </c>
      <c r="AI164" s="154">
        <v>57</v>
      </c>
      <c r="AJ164" s="154">
        <v>969</v>
      </c>
      <c r="AK164" s="154" t="s">
        <v>1407</v>
      </c>
      <c r="AL164" s="154">
        <v>28282</v>
      </c>
      <c r="AM164" s="154" t="s">
        <v>1414</v>
      </c>
      <c r="AN164" s="154" t="s">
        <v>1572</v>
      </c>
      <c r="AO164" s="154">
        <v>28</v>
      </c>
      <c r="AP164" s="154" t="s">
        <v>1416</v>
      </c>
      <c r="AQ164" s="154">
        <v>0</v>
      </c>
      <c r="AR164" s="154" t="s">
        <v>1410</v>
      </c>
      <c r="AS164" s="154"/>
      <c r="AT164" s="154" t="s">
        <v>1417</v>
      </c>
      <c r="AU164" s="154" t="s">
        <v>1412</v>
      </c>
    </row>
    <row r="165" spans="1:47" x14ac:dyDescent="0.45">
      <c r="A165" s="154">
        <v>2505750028</v>
      </c>
      <c r="B165" s="154">
        <v>57</v>
      </c>
      <c r="C165" s="154" t="s">
        <v>1551</v>
      </c>
      <c r="D165" s="154">
        <v>57</v>
      </c>
      <c r="E165" s="154" t="s">
        <v>1552</v>
      </c>
      <c r="F165" s="154" t="s">
        <v>1731</v>
      </c>
      <c r="G165" s="154" t="s">
        <v>1732</v>
      </c>
      <c r="H165" s="154">
        <v>2</v>
      </c>
      <c r="I165" s="154" t="s">
        <v>1355</v>
      </c>
      <c r="J165" s="154" t="s">
        <v>1403</v>
      </c>
      <c r="K165" s="154">
        <v>2025</v>
      </c>
      <c r="L165" s="155">
        <v>2025</v>
      </c>
      <c r="M165" s="156">
        <v>45568</v>
      </c>
      <c r="N165" s="154" t="s">
        <v>36</v>
      </c>
      <c r="O165" s="154">
        <v>57</v>
      </c>
      <c r="P165" s="154">
        <v>1044</v>
      </c>
      <c r="Q165" s="154" t="s">
        <v>1476</v>
      </c>
      <c r="R165" s="154">
        <v>2</v>
      </c>
      <c r="S165" s="154">
        <v>3</v>
      </c>
      <c r="T165" s="154" t="s">
        <v>1477</v>
      </c>
      <c r="U165" s="154">
        <v>4</v>
      </c>
      <c r="V165" s="155">
        <v>2580039</v>
      </c>
      <c r="W165" s="155">
        <v>0</v>
      </c>
      <c r="X165" s="155" t="s">
        <v>1406</v>
      </c>
      <c r="Y165" s="154"/>
      <c r="Z165" s="154" t="s">
        <v>32</v>
      </c>
      <c r="AA165" s="156">
        <v>45594</v>
      </c>
      <c r="AB165" s="154">
        <v>25</v>
      </c>
      <c r="AC165" s="154">
        <v>80039</v>
      </c>
      <c r="AD165" s="154">
        <v>57</v>
      </c>
      <c r="AE165" s="154" t="s">
        <v>1551</v>
      </c>
      <c r="AF165" s="154">
        <v>57</v>
      </c>
      <c r="AG165" s="154" t="s">
        <v>1552</v>
      </c>
      <c r="AH165" s="154" t="s">
        <v>36</v>
      </c>
      <c r="AI165" s="154">
        <v>57</v>
      </c>
      <c r="AJ165" s="154">
        <v>1044</v>
      </c>
      <c r="AK165" s="154" t="s">
        <v>1407</v>
      </c>
      <c r="AL165" s="154">
        <v>28124</v>
      </c>
      <c r="AM165" s="154" t="s">
        <v>1414</v>
      </c>
      <c r="AN165" s="154" t="s">
        <v>1483</v>
      </c>
      <c r="AO165" s="154">
        <v>28</v>
      </c>
      <c r="AP165" s="154" t="s">
        <v>1416</v>
      </c>
      <c r="AQ165" s="154">
        <v>0</v>
      </c>
      <c r="AR165" s="154" t="s">
        <v>1410</v>
      </c>
      <c r="AS165" s="154"/>
      <c r="AT165" s="154" t="s">
        <v>1417</v>
      </c>
      <c r="AU165" s="154" t="s">
        <v>1412</v>
      </c>
    </row>
    <row r="166" spans="1:47" x14ac:dyDescent="0.45">
      <c r="A166" s="154">
        <v>2505750030</v>
      </c>
      <c r="B166" s="154">
        <v>57</v>
      </c>
      <c r="C166" s="154" t="s">
        <v>1551</v>
      </c>
      <c r="D166" s="154">
        <v>57</v>
      </c>
      <c r="E166" s="154" t="s">
        <v>1552</v>
      </c>
      <c r="F166" s="154" t="s">
        <v>1736</v>
      </c>
      <c r="G166" s="154" t="s">
        <v>1737</v>
      </c>
      <c r="H166" s="154">
        <v>1</v>
      </c>
      <c r="I166" s="154" t="s">
        <v>1738</v>
      </c>
      <c r="J166" s="154" t="s">
        <v>1403</v>
      </c>
      <c r="K166" s="154">
        <v>2025</v>
      </c>
      <c r="L166" s="155">
        <v>2025</v>
      </c>
      <c r="M166" s="156">
        <v>45564</v>
      </c>
      <c r="N166" s="154" t="s">
        <v>36</v>
      </c>
      <c r="O166" s="154">
        <v>58</v>
      </c>
      <c r="P166" s="154">
        <v>856</v>
      </c>
      <c r="Q166" s="154" t="s">
        <v>1533</v>
      </c>
      <c r="R166" s="154">
        <v>2</v>
      </c>
      <c r="S166" s="154">
        <v>2</v>
      </c>
      <c r="T166" s="154" t="s">
        <v>1464</v>
      </c>
      <c r="U166" s="154">
        <v>1</v>
      </c>
      <c r="V166" s="155">
        <v>2580187</v>
      </c>
      <c r="W166" s="155">
        <v>0</v>
      </c>
      <c r="X166" s="155" t="s">
        <v>1406</v>
      </c>
      <c r="Y166" s="154"/>
      <c r="Z166" s="154" t="s">
        <v>32</v>
      </c>
      <c r="AA166" s="156">
        <v>45741</v>
      </c>
      <c r="AB166" s="154">
        <v>25</v>
      </c>
      <c r="AC166" s="154">
        <v>80187</v>
      </c>
      <c r="AD166" s="154">
        <v>57</v>
      </c>
      <c r="AE166" s="154" t="s">
        <v>1551</v>
      </c>
      <c r="AF166" s="154">
        <v>57</v>
      </c>
      <c r="AG166" s="154" t="s">
        <v>1552</v>
      </c>
      <c r="AH166" s="154" t="s">
        <v>36</v>
      </c>
      <c r="AI166" s="154">
        <v>58</v>
      </c>
      <c r="AJ166" s="154">
        <v>856</v>
      </c>
      <c r="AK166" s="154" t="s">
        <v>1410</v>
      </c>
      <c r="AL166" s="154">
        <v>28261</v>
      </c>
      <c r="AM166" s="154" t="s">
        <v>1414</v>
      </c>
      <c r="AN166" s="154" t="s">
        <v>1586</v>
      </c>
      <c r="AO166" s="154">
        <v>28</v>
      </c>
      <c r="AP166" s="154" t="s">
        <v>1416</v>
      </c>
      <c r="AQ166" s="154">
        <v>0</v>
      </c>
      <c r="AR166" s="154" t="s">
        <v>1410</v>
      </c>
      <c r="AS166" s="154"/>
      <c r="AT166" s="154" t="s">
        <v>1417</v>
      </c>
      <c r="AU166" s="154" t="s">
        <v>1412</v>
      </c>
    </row>
    <row r="167" spans="1:47" x14ac:dyDescent="0.45">
      <c r="A167" s="154">
        <v>2505750032</v>
      </c>
      <c r="B167" s="154">
        <v>57</v>
      </c>
      <c r="C167" s="154" t="s">
        <v>1551</v>
      </c>
      <c r="D167" s="154">
        <v>57</v>
      </c>
      <c r="E167" s="154" t="s">
        <v>1552</v>
      </c>
      <c r="F167" s="154" t="s">
        <v>1742</v>
      </c>
      <c r="G167" s="154" t="s">
        <v>1743</v>
      </c>
      <c r="H167" s="154">
        <v>1</v>
      </c>
      <c r="I167" s="154" t="s">
        <v>1744</v>
      </c>
      <c r="J167" s="154" t="s">
        <v>1403</v>
      </c>
      <c r="K167" s="154">
        <v>2025</v>
      </c>
      <c r="L167" s="155">
        <v>2025</v>
      </c>
      <c r="M167" s="156">
        <v>45594</v>
      </c>
      <c r="N167" s="154" t="s">
        <v>36</v>
      </c>
      <c r="O167" s="154" t="s">
        <v>51</v>
      </c>
      <c r="P167" s="154">
        <v>427</v>
      </c>
      <c r="Q167" s="154" t="s">
        <v>1479</v>
      </c>
      <c r="R167" s="154">
        <v>1</v>
      </c>
      <c r="S167" s="154">
        <v>2</v>
      </c>
      <c r="T167" s="154" t="s">
        <v>1464</v>
      </c>
      <c r="U167" s="154">
        <v>1</v>
      </c>
      <c r="V167" s="155">
        <v>0</v>
      </c>
      <c r="W167" s="155">
        <v>0</v>
      </c>
      <c r="X167" s="155" t="s">
        <v>1406</v>
      </c>
      <c r="Y167" s="156">
        <v>45664</v>
      </c>
      <c r="Z167" s="154" t="s">
        <v>32</v>
      </c>
      <c r="AA167" s="154"/>
      <c r="AB167" s="154">
        <v>0</v>
      </c>
      <c r="AC167" s="154">
        <v>0</v>
      </c>
      <c r="AD167" s="154">
        <v>0</v>
      </c>
      <c r="AE167" s="154" t="s">
        <v>1446</v>
      </c>
      <c r="AF167" s="154"/>
      <c r="AG167" s="154" t="s">
        <v>1446</v>
      </c>
      <c r="AH167" s="154"/>
      <c r="AI167" s="154"/>
      <c r="AJ167" s="154">
        <v>0</v>
      </c>
      <c r="AK167" s="154" t="s">
        <v>1473</v>
      </c>
      <c r="AL167" s="154">
        <v>28022</v>
      </c>
      <c r="AM167" s="154" t="s">
        <v>1421</v>
      </c>
      <c r="AN167" s="154" t="s">
        <v>1571</v>
      </c>
      <c r="AO167" s="154">
        <v>28</v>
      </c>
      <c r="AP167" s="154" t="s">
        <v>1416</v>
      </c>
      <c r="AQ167" s="154">
        <v>0</v>
      </c>
      <c r="AR167" s="154" t="s">
        <v>1410</v>
      </c>
      <c r="AS167" s="154"/>
      <c r="AT167" s="154" t="s">
        <v>1417</v>
      </c>
      <c r="AU167" s="154" t="s">
        <v>1412</v>
      </c>
    </row>
    <row r="168" spans="1:47" x14ac:dyDescent="0.45">
      <c r="A168" s="154">
        <v>2505750033</v>
      </c>
      <c r="B168" s="154">
        <v>57</v>
      </c>
      <c r="C168" s="154" t="s">
        <v>1551</v>
      </c>
      <c r="D168" s="154">
        <v>57</v>
      </c>
      <c r="E168" s="154" t="s">
        <v>1552</v>
      </c>
      <c r="F168" s="154" t="s">
        <v>1745</v>
      </c>
      <c r="G168" s="154" t="s">
        <v>1746</v>
      </c>
      <c r="H168" s="154">
        <v>1</v>
      </c>
      <c r="I168" s="154" t="s">
        <v>2043</v>
      </c>
      <c r="J168" s="154" t="s">
        <v>1403</v>
      </c>
      <c r="K168" s="154">
        <v>2025</v>
      </c>
      <c r="L168" s="155">
        <v>2025</v>
      </c>
      <c r="M168" s="156">
        <v>45587</v>
      </c>
      <c r="N168" s="154" t="s">
        <v>36</v>
      </c>
      <c r="O168" s="154">
        <v>58</v>
      </c>
      <c r="P168" s="154">
        <v>428</v>
      </c>
      <c r="Q168" s="154" t="s">
        <v>1463</v>
      </c>
      <c r="R168" s="154">
        <v>2</v>
      </c>
      <c r="S168" s="154">
        <v>2</v>
      </c>
      <c r="T168" s="154" t="s">
        <v>1464</v>
      </c>
      <c r="U168" s="154">
        <v>1</v>
      </c>
      <c r="V168" s="155">
        <v>2580077</v>
      </c>
      <c r="W168" s="155">
        <v>0</v>
      </c>
      <c r="X168" s="155" t="s">
        <v>1406</v>
      </c>
      <c r="Y168" s="154"/>
      <c r="Z168" s="154" t="s">
        <v>32</v>
      </c>
      <c r="AA168" s="156">
        <v>45630</v>
      </c>
      <c r="AB168" s="154">
        <v>25</v>
      </c>
      <c r="AC168" s="154">
        <v>80077</v>
      </c>
      <c r="AD168" s="154">
        <v>57</v>
      </c>
      <c r="AE168" s="154" t="s">
        <v>1551</v>
      </c>
      <c r="AF168" s="154">
        <v>57</v>
      </c>
      <c r="AG168" s="154" t="s">
        <v>1552</v>
      </c>
      <c r="AH168" s="154" t="s">
        <v>36</v>
      </c>
      <c r="AI168" s="154">
        <v>58</v>
      </c>
      <c r="AJ168" s="154">
        <v>428</v>
      </c>
      <c r="AK168" s="154" t="s">
        <v>1407</v>
      </c>
      <c r="AL168" s="154">
        <v>28032</v>
      </c>
      <c r="AM168" s="154" t="s">
        <v>1421</v>
      </c>
      <c r="AN168" s="154" t="s">
        <v>1545</v>
      </c>
      <c r="AO168" s="154">
        <v>28</v>
      </c>
      <c r="AP168" s="154" t="s">
        <v>1416</v>
      </c>
      <c r="AQ168" s="154">
        <v>0</v>
      </c>
      <c r="AR168" s="154" t="s">
        <v>1410</v>
      </c>
      <c r="AS168" s="154"/>
      <c r="AT168" s="154" t="s">
        <v>1417</v>
      </c>
      <c r="AU168" s="154" t="s">
        <v>1412</v>
      </c>
    </row>
    <row r="169" spans="1:47" x14ac:dyDescent="0.45">
      <c r="A169" s="154">
        <v>2505750034</v>
      </c>
      <c r="B169" s="154">
        <v>57</v>
      </c>
      <c r="C169" s="154" t="s">
        <v>1551</v>
      </c>
      <c r="D169" s="154">
        <v>57</v>
      </c>
      <c r="E169" s="154" t="s">
        <v>1552</v>
      </c>
      <c r="F169" s="154" t="s">
        <v>1747</v>
      </c>
      <c r="G169" s="154" t="s">
        <v>1748</v>
      </c>
      <c r="H169" s="154">
        <v>2</v>
      </c>
      <c r="I169" s="154" t="s">
        <v>179</v>
      </c>
      <c r="J169" s="154" t="s">
        <v>1403</v>
      </c>
      <c r="K169" s="154">
        <v>2025</v>
      </c>
      <c r="L169" s="155">
        <v>2025</v>
      </c>
      <c r="M169" s="156">
        <v>45562</v>
      </c>
      <c r="N169" s="154" t="s">
        <v>36</v>
      </c>
      <c r="O169" s="154">
        <v>57</v>
      </c>
      <c r="P169" s="154">
        <v>1044</v>
      </c>
      <c r="Q169" s="154" t="s">
        <v>1476</v>
      </c>
      <c r="R169" s="154">
        <v>2</v>
      </c>
      <c r="S169" s="154">
        <v>3</v>
      </c>
      <c r="T169" s="154" t="s">
        <v>1477</v>
      </c>
      <c r="U169" s="154">
        <v>4</v>
      </c>
      <c r="V169" s="155">
        <v>2580051</v>
      </c>
      <c r="W169" s="155">
        <v>0</v>
      </c>
      <c r="X169" s="155" t="s">
        <v>1406</v>
      </c>
      <c r="Y169" s="154"/>
      <c r="Z169" s="154" t="s">
        <v>32</v>
      </c>
      <c r="AA169" s="156">
        <v>45603</v>
      </c>
      <c r="AB169" s="154">
        <v>25</v>
      </c>
      <c r="AC169" s="154">
        <v>80051</v>
      </c>
      <c r="AD169" s="154">
        <v>57</v>
      </c>
      <c r="AE169" s="154" t="s">
        <v>1551</v>
      </c>
      <c r="AF169" s="154">
        <v>57</v>
      </c>
      <c r="AG169" s="154" t="s">
        <v>1552</v>
      </c>
      <c r="AH169" s="154" t="s">
        <v>36</v>
      </c>
      <c r="AI169" s="154">
        <v>57</v>
      </c>
      <c r="AJ169" s="154">
        <v>1044</v>
      </c>
      <c r="AK169" s="154" t="s">
        <v>1407</v>
      </c>
      <c r="AL169" s="154">
        <v>28108</v>
      </c>
      <c r="AM169" s="154" t="s">
        <v>1418</v>
      </c>
      <c r="AN169" s="154" t="s">
        <v>1534</v>
      </c>
      <c r="AO169" s="154">
        <v>28</v>
      </c>
      <c r="AP169" s="154" t="s">
        <v>1416</v>
      </c>
      <c r="AQ169" s="154">
        <v>0</v>
      </c>
      <c r="AR169" s="154" t="s">
        <v>1410</v>
      </c>
      <c r="AS169" s="154"/>
      <c r="AT169" s="154" t="s">
        <v>1417</v>
      </c>
      <c r="AU169" s="154" t="s">
        <v>1412</v>
      </c>
    </row>
    <row r="170" spans="1:47" x14ac:dyDescent="0.45">
      <c r="A170" s="154">
        <v>2505750036</v>
      </c>
      <c r="B170" s="154">
        <v>57</v>
      </c>
      <c r="C170" s="154" t="s">
        <v>1551</v>
      </c>
      <c r="D170" s="154">
        <v>57</v>
      </c>
      <c r="E170" s="154" t="s">
        <v>1552</v>
      </c>
      <c r="F170" s="154" t="s">
        <v>1752</v>
      </c>
      <c r="G170" s="154" t="s">
        <v>1753</v>
      </c>
      <c r="H170" s="154">
        <v>1</v>
      </c>
      <c r="I170" s="154" t="s">
        <v>1754</v>
      </c>
      <c r="J170" s="154" t="s">
        <v>1605</v>
      </c>
      <c r="K170" s="154">
        <v>2025</v>
      </c>
      <c r="L170" s="155">
        <v>2025</v>
      </c>
      <c r="M170" s="156">
        <v>45546</v>
      </c>
      <c r="N170" s="154" t="s">
        <v>36</v>
      </c>
      <c r="O170" s="154">
        <v>58</v>
      </c>
      <c r="P170" s="154">
        <v>428</v>
      </c>
      <c r="Q170" s="154" t="s">
        <v>1463</v>
      </c>
      <c r="R170" s="154">
        <v>2</v>
      </c>
      <c r="S170" s="154">
        <v>2</v>
      </c>
      <c r="T170" s="154" t="s">
        <v>1464</v>
      </c>
      <c r="U170" s="154">
        <v>1</v>
      </c>
      <c r="V170" s="155">
        <v>0</v>
      </c>
      <c r="W170" s="155">
        <v>0</v>
      </c>
      <c r="X170" s="155" t="s">
        <v>1406</v>
      </c>
      <c r="Y170" s="156">
        <v>45622</v>
      </c>
      <c r="Z170" s="154" t="s">
        <v>32</v>
      </c>
      <c r="AA170" s="154"/>
      <c r="AB170" s="154">
        <v>0</v>
      </c>
      <c r="AC170" s="154">
        <v>0</v>
      </c>
      <c r="AD170" s="154">
        <v>0</v>
      </c>
      <c r="AE170" s="154" t="s">
        <v>1446</v>
      </c>
      <c r="AF170" s="154"/>
      <c r="AG170" s="154" t="s">
        <v>1446</v>
      </c>
      <c r="AH170" s="154"/>
      <c r="AI170" s="154"/>
      <c r="AJ170" s="154">
        <v>0</v>
      </c>
      <c r="AK170" s="154" t="s">
        <v>1473</v>
      </c>
      <c r="AL170" s="154">
        <v>37012</v>
      </c>
      <c r="AM170" s="154" t="s">
        <v>1421</v>
      </c>
      <c r="AN170" s="154" t="s">
        <v>2793</v>
      </c>
      <c r="AO170" s="154">
        <v>37</v>
      </c>
      <c r="AP170" s="154" t="s">
        <v>1573</v>
      </c>
      <c r="AQ170" s="154">
        <v>0</v>
      </c>
      <c r="AR170" s="154" t="s">
        <v>1410</v>
      </c>
      <c r="AS170" s="154"/>
      <c r="AT170" s="154" t="s">
        <v>1417</v>
      </c>
      <c r="AU170" s="154" t="s">
        <v>1412</v>
      </c>
    </row>
    <row r="171" spans="1:47" x14ac:dyDescent="0.45">
      <c r="A171" s="154">
        <v>2505750037</v>
      </c>
      <c r="B171" s="154">
        <v>57</v>
      </c>
      <c r="C171" s="154" t="s">
        <v>1551</v>
      </c>
      <c r="D171" s="154">
        <v>57</v>
      </c>
      <c r="E171" s="154" t="s">
        <v>1552</v>
      </c>
      <c r="F171" s="154" t="s">
        <v>1755</v>
      </c>
      <c r="G171" s="154" t="s">
        <v>1756</v>
      </c>
      <c r="H171" s="154">
        <v>1</v>
      </c>
      <c r="I171" s="154" t="s">
        <v>1757</v>
      </c>
      <c r="J171" s="154" t="s">
        <v>1403</v>
      </c>
      <c r="K171" s="154">
        <v>2025</v>
      </c>
      <c r="L171" s="155">
        <v>2025</v>
      </c>
      <c r="M171" s="156">
        <v>45555</v>
      </c>
      <c r="N171" s="154" t="s">
        <v>36</v>
      </c>
      <c r="O171" s="154">
        <v>6</v>
      </c>
      <c r="P171" s="154">
        <v>488</v>
      </c>
      <c r="Q171" s="154" t="s">
        <v>1553</v>
      </c>
      <c r="R171" s="154">
        <v>2</v>
      </c>
      <c r="S171" s="154">
        <v>1</v>
      </c>
      <c r="T171" s="154" t="s">
        <v>1527</v>
      </c>
      <c r="U171" s="154">
        <v>3</v>
      </c>
      <c r="V171" s="155">
        <v>2580106</v>
      </c>
      <c r="W171" s="155">
        <v>0</v>
      </c>
      <c r="X171" s="155" t="s">
        <v>1406</v>
      </c>
      <c r="Y171" s="154"/>
      <c r="Z171" s="154" t="s">
        <v>32</v>
      </c>
      <c r="AA171" s="156">
        <v>45671</v>
      </c>
      <c r="AB171" s="154">
        <v>25</v>
      </c>
      <c r="AC171" s="154">
        <v>80106</v>
      </c>
      <c r="AD171" s="154">
        <v>57</v>
      </c>
      <c r="AE171" s="154" t="s">
        <v>1551</v>
      </c>
      <c r="AF171" s="154">
        <v>57</v>
      </c>
      <c r="AG171" s="154" t="s">
        <v>1552</v>
      </c>
      <c r="AH171" s="154" t="s">
        <v>36</v>
      </c>
      <c r="AI171" s="154">
        <v>6</v>
      </c>
      <c r="AJ171" s="154">
        <v>488</v>
      </c>
      <c r="AK171" s="154" t="s">
        <v>1407</v>
      </c>
      <c r="AL171" s="154">
        <v>28121</v>
      </c>
      <c r="AM171" s="154" t="s">
        <v>1418</v>
      </c>
      <c r="AN171" s="154" t="s">
        <v>1556</v>
      </c>
      <c r="AO171" s="154">
        <v>28</v>
      </c>
      <c r="AP171" s="154" t="s">
        <v>1416</v>
      </c>
      <c r="AQ171" s="154">
        <v>0</v>
      </c>
      <c r="AR171" s="154" t="s">
        <v>1410</v>
      </c>
      <c r="AS171" s="154"/>
      <c r="AT171" s="154" t="s">
        <v>1417</v>
      </c>
      <c r="AU171" s="154" t="s">
        <v>1412</v>
      </c>
    </row>
    <row r="172" spans="1:47" x14ac:dyDescent="0.45">
      <c r="A172" s="154">
        <v>2505750038</v>
      </c>
      <c r="B172" s="154">
        <v>57</v>
      </c>
      <c r="C172" s="154" t="s">
        <v>1551</v>
      </c>
      <c r="D172" s="154">
        <v>57</v>
      </c>
      <c r="E172" s="154" t="s">
        <v>1552</v>
      </c>
      <c r="F172" s="154" t="s">
        <v>1758</v>
      </c>
      <c r="G172" s="154" t="s">
        <v>1759</v>
      </c>
      <c r="H172" s="154">
        <v>2</v>
      </c>
      <c r="I172" s="154" t="s">
        <v>1218</v>
      </c>
      <c r="J172" s="154" t="s">
        <v>1403</v>
      </c>
      <c r="K172" s="154">
        <v>2025</v>
      </c>
      <c r="L172" s="155">
        <v>2025</v>
      </c>
      <c r="M172" s="156">
        <v>45549</v>
      </c>
      <c r="N172" s="154" t="s">
        <v>36</v>
      </c>
      <c r="O172" s="154" t="s">
        <v>135</v>
      </c>
      <c r="P172" s="154">
        <v>870</v>
      </c>
      <c r="Q172" s="154" t="s">
        <v>1610</v>
      </c>
      <c r="R172" s="154">
        <v>2</v>
      </c>
      <c r="S172" s="154">
        <v>5</v>
      </c>
      <c r="T172" s="154" t="s">
        <v>1470</v>
      </c>
      <c r="U172" s="154">
        <v>15</v>
      </c>
      <c r="V172" s="155">
        <v>2580030</v>
      </c>
      <c r="W172" s="155">
        <v>0</v>
      </c>
      <c r="X172" s="155" t="s">
        <v>1406</v>
      </c>
      <c r="Y172" s="154"/>
      <c r="Z172" s="154" t="s">
        <v>32</v>
      </c>
      <c r="AA172" s="156">
        <v>45582</v>
      </c>
      <c r="AB172" s="154">
        <v>25</v>
      </c>
      <c r="AC172" s="154">
        <v>80030</v>
      </c>
      <c r="AD172" s="154">
        <v>57</v>
      </c>
      <c r="AE172" s="154" t="s">
        <v>1551</v>
      </c>
      <c r="AF172" s="154">
        <v>57</v>
      </c>
      <c r="AG172" s="154" t="s">
        <v>1552</v>
      </c>
      <c r="AH172" s="154" t="s">
        <v>36</v>
      </c>
      <c r="AI172" s="154" t="s">
        <v>135</v>
      </c>
      <c r="AJ172" s="154">
        <v>870</v>
      </c>
      <c r="AK172" s="154" t="s">
        <v>1407</v>
      </c>
      <c r="AL172" s="154">
        <v>28034</v>
      </c>
      <c r="AM172" s="154" t="s">
        <v>1418</v>
      </c>
      <c r="AN172" s="154" t="s">
        <v>1599</v>
      </c>
      <c r="AO172" s="154">
        <v>28</v>
      </c>
      <c r="AP172" s="154" t="s">
        <v>1416</v>
      </c>
      <c r="AQ172" s="154">
        <v>0</v>
      </c>
      <c r="AR172" s="154" t="s">
        <v>1410</v>
      </c>
      <c r="AS172" s="154"/>
      <c r="AT172" s="154" t="s">
        <v>1417</v>
      </c>
      <c r="AU172" s="154" t="s">
        <v>1412</v>
      </c>
    </row>
    <row r="173" spans="1:47" x14ac:dyDescent="0.45">
      <c r="A173" s="154">
        <v>2505750039</v>
      </c>
      <c r="B173" s="154">
        <v>57</v>
      </c>
      <c r="C173" s="154" t="s">
        <v>1551</v>
      </c>
      <c r="D173" s="154">
        <v>57</v>
      </c>
      <c r="E173" s="154" t="s">
        <v>1552</v>
      </c>
      <c r="F173" s="154" t="s">
        <v>1761</v>
      </c>
      <c r="G173" s="154" t="s">
        <v>1762</v>
      </c>
      <c r="H173" s="154">
        <v>2</v>
      </c>
      <c r="I173" s="154" t="s">
        <v>1763</v>
      </c>
      <c r="J173" s="154" t="s">
        <v>1403</v>
      </c>
      <c r="K173" s="154">
        <v>2025</v>
      </c>
      <c r="L173" s="155">
        <v>2025</v>
      </c>
      <c r="M173" s="156">
        <v>45539</v>
      </c>
      <c r="N173" s="154" t="s">
        <v>36</v>
      </c>
      <c r="O173" s="154">
        <v>58</v>
      </c>
      <c r="P173" s="154">
        <v>427</v>
      </c>
      <c r="Q173" s="154" t="s">
        <v>1479</v>
      </c>
      <c r="R173" s="154">
        <v>2</v>
      </c>
      <c r="S173" s="154">
        <v>2</v>
      </c>
      <c r="T173" s="154" t="s">
        <v>1464</v>
      </c>
      <c r="U173" s="154">
        <v>1</v>
      </c>
      <c r="V173" s="155">
        <v>2580117</v>
      </c>
      <c r="W173" s="155">
        <v>0</v>
      </c>
      <c r="X173" s="155" t="s">
        <v>1406</v>
      </c>
      <c r="Y173" s="154"/>
      <c r="Z173" s="154" t="s">
        <v>32</v>
      </c>
      <c r="AA173" s="156">
        <v>45685</v>
      </c>
      <c r="AB173" s="154">
        <v>25</v>
      </c>
      <c r="AC173" s="154">
        <v>80117</v>
      </c>
      <c r="AD173" s="154">
        <v>57</v>
      </c>
      <c r="AE173" s="154" t="s">
        <v>1551</v>
      </c>
      <c r="AF173" s="154">
        <v>57</v>
      </c>
      <c r="AG173" s="154" t="s">
        <v>1552</v>
      </c>
      <c r="AH173" s="154" t="s">
        <v>36</v>
      </c>
      <c r="AI173" s="154">
        <v>58</v>
      </c>
      <c r="AJ173" s="154">
        <v>427</v>
      </c>
      <c r="AK173" s="154" t="s">
        <v>1407</v>
      </c>
      <c r="AL173" s="154">
        <v>28230</v>
      </c>
      <c r="AM173" s="154" t="s">
        <v>1418</v>
      </c>
      <c r="AN173" s="154" t="s">
        <v>2794</v>
      </c>
      <c r="AO173" s="154">
        <v>28</v>
      </c>
      <c r="AP173" s="154" t="s">
        <v>1416</v>
      </c>
      <c r="AQ173" s="154">
        <v>0</v>
      </c>
      <c r="AR173" s="154" t="s">
        <v>1410</v>
      </c>
      <c r="AS173" s="154"/>
      <c r="AT173" s="154" t="s">
        <v>1417</v>
      </c>
      <c r="AU173" s="154" t="s">
        <v>1412</v>
      </c>
    </row>
    <row r="174" spans="1:47" x14ac:dyDescent="0.45">
      <c r="A174" s="154">
        <v>2505750041</v>
      </c>
      <c r="B174" s="154">
        <v>57</v>
      </c>
      <c r="C174" s="154" t="s">
        <v>1551</v>
      </c>
      <c r="D174" s="154">
        <v>57</v>
      </c>
      <c r="E174" s="154" t="s">
        <v>1552</v>
      </c>
      <c r="F174" s="154" t="s">
        <v>1768</v>
      </c>
      <c r="G174" s="154" t="s">
        <v>1769</v>
      </c>
      <c r="H174" s="154">
        <v>1</v>
      </c>
      <c r="I174" s="154" t="s">
        <v>1358</v>
      </c>
      <c r="J174" s="154" t="s">
        <v>1403</v>
      </c>
      <c r="K174" s="154">
        <v>2025</v>
      </c>
      <c r="L174" s="155">
        <v>2025</v>
      </c>
      <c r="M174" s="156">
        <v>45548</v>
      </c>
      <c r="N174" s="154" t="s">
        <v>36</v>
      </c>
      <c r="O174" s="154">
        <v>58</v>
      </c>
      <c r="P174" s="154">
        <v>427</v>
      </c>
      <c r="Q174" s="154" t="s">
        <v>1479</v>
      </c>
      <c r="R174" s="154">
        <v>2</v>
      </c>
      <c r="S174" s="154">
        <v>2</v>
      </c>
      <c r="T174" s="154" t="s">
        <v>1464</v>
      </c>
      <c r="U174" s="154">
        <v>1</v>
      </c>
      <c r="V174" s="155">
        <v>0</v>
      </c>
      <c r="W174" s="155">
        <v>0</v>
      </c>
      <c r="X174" s="155" t="s">
        <v>1406</v>
      </c>
      <c r="Y174" s="156">
        <v>45733</v>
      </c>
      <c r="Z174" s="154" t="s">
        <v>32</v>
      </c>
      <c r="AA174" s="154"/>
      <c r="AB174" s="154">
        <v>0</v>
      </c>
      <c r="AC174" s="154">
        <v>0</v>
      </c>
      <c r="AD174" s="154">
        <v>0</v>
      </c>
      <c r="AE174" s="154" t="s">
        <v>1446</v>
      </c>
      <c r="AF174" s="154"/>
      <c r="AG174" s="154" t="s">
        <v>1446</v>
      </c>
      <c r="AH174" s="154"/>
      <c r="AI174" s="154"/>
      <c r="AJ174" s="154">
        <v>0</v>
      </c>
      <c r="AK174" s="154" t="s">
        <v>1410</v>
      </c>
      <c r="AL174" s="154">
        <v>28024</v>
      </c>
      <c r="AM174" s="154" t="s">
        <v>1421</v>
      </c>
      <c r="AN174" s="154" t="s">
        <v>1535</v>
      </c>
      <c r="AO174" s="154">
        <v>28</v>
      </c>
      <c r="AP174" s="154" t="s">
        <v>1416</v>
      </c>
      <c r="AQ174" s="154">
        <v>0</v>
      </c>
      <c r="AR174" s="154" t="s">
        <v>1410</v>
      </c>
      <c r="AS174" s="154"/>
      <c r="AT174" s="154" t="s">
        <v>1417</v>
      </c>
      <c r="AU174" s="154" t="s">
        <v>1412</v>
      </c>
    </row>
    <row r="175" spans="1:47" x14ac:dyDescent="0.45">
      <c r="A175" s="154">
        <v>2505750042</v>
      </c>
      <c r="B175" s="154">
        <v>57</v>
      </c>
      <c r="C175" s="154" t="s">
        <v>1551</v>
      </c>
      <c r="D175" s="154">
        <v>57</v>
      </c>
      <c r="E175" s="154" t="s">
        <v>1552</v>
      </c>
      <c r="F175" s="154" t="s">
        <v>1770</v>
      </c>
      <c r="G175" s="154" t="s">
        <v>1771</v>
      </c>
      <c r="H175" s="154">
        <v>1</v>
      </c>
      <c r="I175" s="154" t="s">
        <v>334</v>
      </c>
      <c r="J175" s="154" t="s">
        <v>1403</v>
      </c>
      <c r="K175" s="154">
        <v>2025</v>
      </c>
      <c r="L175" s="155">
        <v>2025</v>
      </c>
      <c r="M175" s="156">
        <v>45591</v>
      </c>
      <c r="N175" s="154" t="s">
        <v>36</v>
      </c>
      <c r="O175" s="154">
        <v>58</v>
      </c>
      <c r="P175" s="154">
        <v>857</v>
      </c>
      <c r="Q175" s="154" t="s">
        <v>1481</v>
      </c>
      <c r="R175" s="154">
        <v>2</v>
      </c>
      <c r="S175" s="154">
        <v>2</v>
      </c>
      <c r="T175" s="154" t="s">
        <v>1464</v>
      </c>
      <c r="U175" s="154">
        <v>1</v>
      </c>
      <c r="V175" s="155">
        <v>2580050</v>
      </c>
      <c r="W175" s="155">
        <v>0</v>
      </c>
      <c r="X175" s="155" t="s">
        <v>1406</v>
      </c>
      <c r="Y175" s="154"/>
      <c r="Z175" s="154" t="s">
        <v>32</v>
      </c>
      <c r="AA175" s="156">
        <v>45602</v>
      </c>
      <c r="AB175" s="154">
        <v>25</v>
      </c>
      <c r="AC175" s="154">
        <v>80050</v>
      </c>
      <c r="AD175" s="154">
        <v>57</v>
      </c>
      <c r="AE175" s="154" t="s">
        <v>1551</v>
      </c>
      <c r="AF175" s="154">
        <v>57</v>
      </c>
      <c r="AG175" s="154" t="s">
        <v>1552</v>
      </c>
      <c r="AH175" s="154" t="s">
        <v>36</v>
      </c>
      <c r="AI175" s="154">
        <v>58</v>
      </c>
      <c r="AJ175" s="154">
        <v>857</v>
      </c>
      <c r="AK175" s="154" t="s">
        <v>1407</v>
      </c>
      <c r="AL175" s="154">
        <v>28197</v>
      </c>
      <c r="AM175" s="154" t="s">
        <v>1421</v>
      </c>
      <c r="AN175" s="154" t="s">
        <v>1616</v>
      </c>
      <c r="AO175" s="154">
        <v>28</v>
      </c>
      <c r="AP175" s="154" t="s">
        <v>1416</v>
      </c>
      <c r="AQ175" s="154">
        <v>0</v>
      </c>
      <c r="AR175" s="154" t="s">
        <v>1410</v>
      </c>
      <c r="AS175" s="154"/>
      <c r="AT175" s="154" t="s">
        <v>1417</v>
      </c>
      <c r="AU175" s="154" t="s">
        <v>1412</v>
      </c>
    </row>
    <row r="176" spans="1:47" x14ac:dyDescent="0.45">
      <c r="A176" s="154">
        <v>2505750043</v>
      </c>
      <c r="B176" s="154">
        <v>57</v>
      </c>
      <c r="C176" s="154" t="s">
        <v>1551</v>
      </c>
      <c r="D176" s="154">
        <v>57</v>
      </c>
      <c r="E176" s="154" t="s">
        <v>1552</v>
      </c>
      <c r="F176" s="154" t="s">
        <v>1773</v>
      </c>
      <c r="G176" s="154" t="s">
        <v>1774</v>
      </c>
      <c r="H176" s="154">
        <v>2</v>
      </c>
      <c r="I176" s="154" t="s">
        <v>1775</v>
      </c>
      <c r="J176" s="154" t="s">
        <v>1403</v>
      </c>
      <c r="K176" s="154">
        <v>2025</v>
      </c>
      <c r="L176" s="155">
        <v>2025</v>
      </c>
      <c r="M176" s="156">
        <v>45571</v>
      </c>
      <c r="N176" s="154" t="s">
        <v>36</v>
      </c>
      <c r="O176" s="154" t="s">
        <v>51</v>
      </c>
      <c r="P176" s="154">
        <v>785</v>
      </c>
      <c r="Q176" s="154" t="s">
        <v>1491</v>
      </c>
      <c r="R176" s="154">
        <v>1</v>
      </c>
      <c r="S176" s="154">
        <v>2</v>
      </c>
      <c r="T176" s="154" t="s">
        <v>1464</v>
      </c>
      <c r="U176" s="154">
        <v>1</v>
      </c>
      <c r="V176" s="155">
        <v>2580180</v>
      </c>
      <c r="W176" s="155">
        <v>0</v>
      </c>
      <c r="X176" s="155" t="s">
        <v>1406</v>
      </c>
      <c r="Y176" s="154"/>
      <c r="Z176" s="154" t="s">
        <v>32</v>
      </c>
      <c r="AA176" s="156">
        <v>45737</v>
      </c>
      <c r="AB176" s="154">
        <v>25</v>
      </c>
      <c r="AC176" s="154">
        <v>80180</v>
      </c>
      <c r="AD176" s="154">
        <v>57</v>
      </c>
      <c r="AE176" s="154" t="s">
        <v>1551</v>
      </c>
      <c r="AF176" s="154">
        <v>57</v>
      </c>
      <c r="AG176" s="154" t="s">
        <v>1552</v>
      </c>
      <c r="AH176" s="154" t="s">
        <v>36</v>
      </c>
      <c r="AI176" s="154" t="s">
        <v>51</v>
      </c>
      <c r="AJ176" s="154">
        <v>785</v>
      </c>
      <c r="AK176" s="154" t="s">
        <v>1473</v>
      </c>
      <c r="AL176" s="154">
        <v>28109</v>
      </c>
      <c r="AM176" s="154" t="s">
        <v>1418</v>
      </c>
      <c r="AN176" s="154" t="s">
        <v>2795</v>
      </c>
      <c r="AO176" s="154">
        <v>28</v>
      </c>
      <c r="AP176" s="154" t="s">
        <v>1416</v>
      </c>
      <c r="AQ176" s="154">
        <v>0</v>
      </c>
      <c r="AR176" s="154" t="s">
        <v>1410</v>
      </c>
      <c r="AS176" s="154"/>
      <c r="AT176" s="154" t="s">
        <v>1417</v>
      </c>
      <c r="AU176" s="154" t="s">
        <v>1412</v>
      </c>
    </row>
    <row r="177" spans="1:47" x14ac:dyDescent="0.45">
      <c r="A177" s="154">
        <v>2505750044</v>
      </c>
      <c r="B177" s="154">
        <v>57</v>
      </c>
      <c r="C177" s="154" t="s">
        <v>1551</v>
      </c>
      <c r="D177" s="154">
        <v>57</v>
      </c>
      <c r="E177" s="154" t="s">
        <v>1552</v>
      </c>
      <c r="F177" s="154" t="s">
        <v>1776</v>
      </c>
      <c r="G177" s="154" t="s">
        <v>1777</v>
      </c>
      <c r="H177" s="154">
        <v>1</v>
      </c>
      <c r="I177" s="154" t="s">
        <v>1778</v>
      </c>
      <c r="J177" s="154" t="s">
        <v>1403</v>
      </c>
      <c r="K177" s="154">
        <v>2025</v>
      </c>
      <c r="L177" s="155">
        <v>2025</v>
      </c>
      <c r="M177" s="156">
        <v>45578</v>
      </c>
      <c r="N177" s="154" t="s">
        <v>36</v>
      </c>
      <c r="O177" s="154">
        <v>58</v>
      </c>
      <c r="P177" s="154">
        <v>968</v>
      </c>
      <c r="Q177" s="154" t="s">
        <v>1474</v>
      </c>
      <c r="R177" s="154">
        <v>2</v>
      </c>
      <c r="S177" s="154">
        <v>2</v>
      </c>
      <c r="T177" s="154" t="s">
        <v>1464</v>
      </c>
      <c r="U177" s="154">
        <v>1</v>
      </c>
      <c r="V177" s="155">
        <v>2580134</v>
      </c>
      <c r="W177" s="155">
        <v>0</v>
      </c>
      <c r="X177" s="155" t="s">
        <v>1406</v>
      </c>
      <c r="Y177" s="154"/>
      <c r="Z177" s="154" t="s">
        <v>32</v>
      </c>
      <c r="AA177" s="156">
        <v>45691</v>
      </c>
      <c r="AB177" s="154">
        <v>25</v>
      </c>
      <c r="AC177" s="154">
        <v>80134</v>
      </c>
      <c r="AD177" s="154">
        <v>57</v>
      </c>
      <c r="AE177" s="154" t="s">
        <v>1551</v>
      </c>
      <c r="AF177" s="154">
        <v>57</v>
      </c>
      <c r="AG177" s="154" t="s">
        <v>1552</v>
      </c>
      <c r="AH177" s="154" t="s">
        <v>36</v>
      </c>
      <c r="AI177" s="154">
        <v>58</v>
      </c>
      <c r="AJ177" s="154">
        <v>968</v>
      </c>
      <c r="AK177" s="154" t="s">
        <v>1473</v>
      </c>
      <c r="AL177" s="154">
        <v>28121</v>
      </c>
      <c r="AM177" s="154" t="s">
        <v>1418</v>
      </c>
      <c r="AN177" s="154" t="s">
        <v>1556</v>
      </c>
      <c r="AO177" s="154">
        <v>28</v>
      </c>
      <c r="AP177" s="154" t="s">
        <v>1416</v>
      </c>
      <c r="AQ177" s="154">
        <v>0</v>
      </c>
      <c r="AR177" s="154" t="s">
        <v>1410</v>
      </c>
      <c r="AS177" s="154"/>
      <c r="AT177" s="154" t="s">
        <v>1417</v>
      </c>
      <c r="AU177" s="154" t="s">
        <v>1412</v>
      </c>
    </row>
    <row r="178" spans="1:47" x14ac:dyDescent="0.45">
      <c r="A178" s="154">
        <v>2505750045</v>
      </c>
      <c r="B178" s="154">
        <v>57</v>
      </c>
      <c r="C178" s="154" t="s">
        <v>1551</v>
      </c>
      <c r="D178" s="154">
        <v>57</v>
      </c>
      <c r="E178" s="154" t="s">
        <v>1552</v>
      </c>
      <c r="F178" s="154" t="s">
        <v>1779</v>
      </c>
      <c r="G178" s="154" t="s">
        <v>1780</v>
      </c>
      <c r="H178" s="154">
        <v>2</v>
      </c>
      <c r="I178" s="154" t="s">
        <v>1249</v>
      </c>
      <c r="J178" s="154" t="s">
        <v>1403</v>
      </c>
      <c r="K178" s="154">
        <v>2025</v>
      </c>
      <c r="L178" s="155">
        <v>2025</v>
      </c>
      <c r="M178" s="156">
        <v>45560</v>
      </c>
      <c r="N178" s="154" t="s">
        <v>36</v>
      </c>
      <c r="O178" s="154" t="s">
        <v>94</v>
      </c>
      <c r="P178" s="154">
        <v>1005</v>
      </c>
      <c r="Q178" s="154" t="s">
        <v>2796</v>
      </c>
      <c r="R178" s="154">
        <v>2</v>
      </c>
      <c r="S178" s="154">
        <v>8</v>
      </c>
      <c r="T178" s="154" t="s">
        <v>1503</v>
      </c>
      <c r="U178" s="154">
        <v>6</v>
      </c>
      <c r="V178" s="155">
        <v>2580007</v>
      </c>
      <c r="W178" s="155">
        <v>0</v>
      </c>
      <c r="X178" s="155" t="s">
        <v>1406</v>
      </c>
      <c r="Y178" s="154"/>
      <c r="Z178" s="154" t="s">
        <v>32</v>
      </c>
      <c r="AA178" s="156">
        <v>45568</v>
      </c>
      <c r="AB178" s="154">
        <v>25</v>
      </c>
      <c r="AC178" s="154">
        <v>80007</v>
      </c>
      <c r="AD178" s="154">
        <v>57</v>
      </c>
      <c r="AE178" s="154" t="s">
        <v>1551</v>
      </c>
      <c r="AF178" s="154">
        <v>57</v>
      </c>
      <c r="AG178" s="154" t="s">
        <v>1552</v>
      </c>
      <c r="AH178" s="154" t="s">
        <v>36</v>
      </c>
      <c r="AI178" s="154" t="s">
        <v>94</v>
      </c>
      <c r="AJ178" s="154">
        <v>1005</v>
      </c>
      <c r="AK178" s="154" t="s">
        <v>1407</v>
      </c>
      <c r="AL178" s="154">
        <v>28246</v>
      </c>
      <c r="AM178" s="154" t="s">
        <v>1418</v>
      </c>
      <c r="AN178" s="154" t="s">
        <v>1567</v>
      </c>
      <c r="AO178" s="154">
        <v>28</v>
      </c>
      <c r="AP178" s="154" t="s">
        <v>1416</v>
      </c>
      <c r="AQ178" s="154">
        <v>0</v>
      </c>
      <c r="AR178" s="154" t="s">
        <v>1410</v>
      </c>
      <c r="AS178" s="154"/>
      <c r="AT178" s="154" t="s">
        <v>1417</v>
      </c>
      <c r="AU178" s="154" t="s">
        <v>1412</v>
      </c>
    </row>
    <row r="179" spans="1:47" x14ac:dyDescent="0.45">
      <c r="A179" s="154">
        <v>2505750046</v>
      </c>
      <c r="B179" s="154">
        <v>57</v>
      </c>
      <c r="C179" s="154" t="s">
        <v>1551</v>
      </c>
      <c r="D179" s="154">
        <v>57</v>
      </c>
      <c r="E179" s="154" t="s">
        <v>1552</v>
      </c>
      <c r="F179" s="154" t="s">
        <v>1781</v>
      </c>
      <c r="G179" s="154" t="s">
        <v>1782</v>
      </c>
      <c r="H179" s="154">
        <v>2</v>
      </c>
      <c r="I179" s="154" t="s">
        <v>1783</v>
      </c>
      <c r="J179" s="154" t="s">
        <v>1403</v>
      </c>
      <c r="K179" s="154">
        <v>2025</v>
      </c>
      <c r="L179" s="155">
        <v>2025</v>
      </c>
      <c r="M179" s="156">
        <v>45584</v>
      </c>
      <c r="N179" s="154" t="s">
        <v>36</v>
      </c>
      <c r="O179" s="154">
        <v>57</v>
      </c>
      <c r="P179" s="154">
        <v>1044</v>
      </c>
      <c r="Q179" s="154" t="s">
        <v>1476</v>
      </c>
      <c r="R179" s="154">
        <v>2</v>
      </c>
      <c r="S179" s="154">
        <v>3</v>
      </c>
      <c r="T179" s="154" t="s">
        <v>1477</v>
      </c>
      <c r="U179" s="154">
        <v>4</v>
      </c>
      <c r="V179" s="155">
        <v>2580083</v>
      </c>
      <c r="W179" s="155">
        <v>0</v>
      </c>
      <c r="X179" s="155" t="s">
        <v>1406</v>
      </c>
      <c r="Y179" s="154"/>
      <c r="Z179" s="154" t="s">
        <v>32</v>
      </c>
      <c r="AA179" s="156">
        <v>45636</v>
      </c>
      <c r="AB179" s="154">
        <v>25</v>
      </c>
      <c r="AC179" s="154">
        <v>80083</v>
      </c>
      <c r="AD179" s="154">
        <v>57</v>
      </c>
      <c r="AE179" s="154" t="s">
        <v>1551</v>
      </c>
      <c r="AF179" s="154">
        <v>57</v>
      </c>
      <c r="AG179" s="154" t="s">
        <v>1552</v>
      </c>
      <c r="AH179" s="154" t="s">
        <v>36</v>
      </c>
      <c r="AI179" s="154">
        <v>57</v>
      </c>
      <c r="AJ179" s="154">
        <v>1044</v>
      </c>
      <c r="AK179" s="154" t="s">
        <v>1407</v>
      </c>
      <c r="AL179" s="154">
        <v>28282</v>
      </c>
      <c r="AM179" s="154" t="s">
        <v>1414</v>
      </c>
      <c r="AN179" s="154" t="s">
        <v>1572</v>
      </c>
      <c r="AO179" s="154">
        <v>28</v>
      </c>
      <c r="AP179" s="154" t="s">
        <v>1416</v>
      </c>
      <c r="AQ179" s="154">
        <v>0</v>
      </c>
      <c r="AR179" s="154" t="s">
        <v>1410</v>
      </c>
      <c r="AS179" s="154"/>
      <c r="AT179" s="154" t="s">
        <v>1417</v>
      </c>
      <c r="AU179" s="154" t="s">
        <v>1412</v>
      </c>
    </row>
    <row r="180" spans="1:47" x14ac:dyDescent="0.45">
      <c r="A180" s="154">
        <v>2505750047</v>
      </c>
      <c r="B180" s="154">
        <v>57</v>
      </c>
      <c r="C180" s="154" t="s">
        <v>1551</v>
      </c>
      <c r="D180" s="154">
        <v>57</v>
      </c>
      <c r="E180" s="154" t="s">
        <v>1552</v>
      </c>
      <c r="F180" s="154" t="s">
        <v>1784</v>
      </c>
      <c r="G180" s="154" t="s">
        <v>1785</v>
      </c>
      <c r="H180" s="154">
        <v>1</v>
      </c>
      <c r="I180" s="154" t="s">
        <v>1786</v>
      </c>
      <c r="J180" s="154" t="s">
        <v>1403</v>
      </c>
      <c r="K180" s="154">
        <v>2025</v>
      </c>
      <c r="L180" s="155">
        <v>2025</v>
      </c>
      <c r="M180" s="156">
        <v>45547</v>
      </c>
      <c r="N180" s="154" t="s">
        <v>36</v>
      </c>
      <c r="O180" s="154">
        <v>57</v>
      </c>
      <c r="P180" s="154">
        <v>1044</v>
      </c>
      <c r="Q180" s="154" t="s">
        <v>1476</v>
      </c>
      <c r="R180" s="154">
        <v>2</v>
      </c>
      <c r="S180" s="154">
        <v>3</v>
      </c>
      <c r="T180" s="154" t="s">
        <v>1477</v>
      </c>
      <c r="U180" s="154">
        <v>4</v>
      </c>
      <c r="V180" s="155">
        <v>2580085</v>
      </c>
      <c r="W180" s="155">
        <v>0</v>
      </c>
      <c r="X180" s="155" t="s">
        <v>1406</v>
      </c>
      <c r="Y180" s="154"/>
      <c r="Z180" s="154" t="s">
        <v>32</v>
      </c>
      <c r="AA180" s="156">
        <v>45637</v>
      </c>
      <c r="AB180" s="154">
        <v>25</v>
      </c>
      <c r="AC180" s="154">
        <v>80085</v>
      </c>
      <c r="AD180" s="154">
        <v>57</v>
      </c>
      <c r="AE180" s="154" t="s">
        <v>1551</v>
      </c>
      <c r="AF180" s="154">
        <v>57</v>
      </c>
      <c r="AG180" s="154" t="s">
        <v>1552</v>
      </c>
      <c r="AH180" s="154" t="s">
        <v>36</v>
      </c>
      <c r="AI180" s="154">
        <v>57</v>
      </c>
      <c r="AJ180" s="154">
        <v>1044</v>
      </c>
      <c r="AK180" s="154" t="s">
        <v>1407</v>
      </c>
      <c r="AL180" s="154">
        <v>28254</v>
      </c>
      <c r="AM180" s="154" t="s">
        <v>1421</v>
      </c>
      <c r="AN180" s="154" t="s">
        <v>1638</v>
      </c>
      <c r="AO180" s="154">
        <v>28</v>
      </c>
      <c r="AP180" s="154" t="s">
        <v>1416</v>
      </c>
      <c r="AQ180" s="154">
        <v>0</v>
      </c>
      <c r="AR180" s="154" t="s">
        <v>1410</v>
      </c>
      <c r="AS180" s="154"/>
      <c r="AT180" s="154" t="s">
        <v>1417</v>
      </c>
      <c r="AU180" s="154" t="s">
        <v>1412</v>
      </c>
    </row>
    <row r="181" spans="1:47" x14ac:dyDescent="0.45">
      <c r="A181" s="154">
        <v>2505750048</v>
      </c>
      <c r="B181" s="154">
        <v>57</v>
      </c>
      <c r="C181" s="154" t="s">
        <v>1551</v>
      </c>
      <c r="D181" s="154">
        <v>57</v>
      </c>
      <c r="E181" s="154" t="s">
        <v>1552</v>
      </c>
      <c r="F181" s="154" t="s">
        <v>1787</v>
      </c>
      <c r="G181" s="154" t="s">
        <v>1788</v>
      </c>
      <c r="H181" s="154">
        <v>1</v>
      </c>
      <c r="I181" s="154" t="s">
        <v>1789</v>
      </c>
      <c r="J181" s="154" t="s">
        <v>1403</v>
      </c>
      <c r="K181" s="154">
        <v>2025</v>
      </c>
      <c r="L181" s="155">
        <v>2025</v>
      </c>
      <c r="M181" s="156">
        <v>45557</v>
      </c>
      <c r="N181" s="154" t="s">
        <v>36</v>
      </c>
      <c r="O181" s="154">
        <v>58</v>
      </c>
      <c r="P181" s="154">
        <v>859</v>
      </c>
      <c r="Q181" s="154" t="s">
        <v>1494</v>
      </c>
      <c r="R181" s="154">
        <v>2</v>
      </c>
      <c r="S181" s="154">
        <v>2</v>
      </c>
      <c r="T181" s="154" t="s">
        <v>1464</v>
      </c>
      <c r="U181" s="154">
        <v>1</v>
      </c>
      <c r="V181" s="155">
        <v>2580017</v>
      </c>
      <c r="W181" s="155">
        <v>0</v>
      </c>
      <c r="X181" s="155" t="s">
        <v>1406</v>
      </c>
      <c r="Y181" s="154"/>
      <c r="Z181" s="154" t="s">
        <v>32</v>
      </c>
      <c r="AA181" s="156">
        <v>45576</v>
      </c>
      <c r="AB181" s="154">
        <v>25</v>
      </c>
      <c r="AC181" s="154">
        <v>80017</v>
      </c>
      <c r="AD181" s="154">
        <v>57</v>
      </c>
      <c r="AE181" s="154" t="s">
        <v>1551</v>
      </c>
      <c r="AF181" s="154">
        <v>57</v>
      </c>
      <c r="AG181" s="154" t="s">
        <v>1552</v>
      </c>
      <c r="AH181" s="154" t="s">
        <v>36</v>
      </c>
      <c r="AI181" s="154">
        <v>58</v>
      </c>
      <c r="AJ181" s="154">
        <v>859</v>
      </c>
      <c r="AK181" s="154" t="s">
        <v>1407</v>
      </c>
      <c r="AL181" s="154">
        <v>28282</v>
      </c>
      <c r="AM181" s="154" t="s">
        <v>1414</v>
      </c>
      <c r="AN181" s="154" t="s">
        <v>1572</v>
      </c>
      <c r="AO181" s="154">
        <v>28</v>
      </c>
      <c r="AP181" s="154" t="s">
        <v>1416</v>
      </c>
      <c r="AQ181" s="154">
        <v>0</v>
      </c>
      <c r="AR181" s="154" t="s">
        <v>1410</v>
      </c>
      <c r="AS181" s="154"/>
      <c r="AT181" s="154" t="s">
        <v>1417</v>
      </c>
      <c r="AU181" s="154" t="s">
        <v>1412</v>
      </c>
    </row>
    <row r="182" spans="1:47" x14ac:dyDescent="0.45">
      <c r="A182" s="154">
        <v>2505750050</v>
      </c>
      <c r="B182" s="154">
        <v>57</v>
      </c>
      <c r="C182" s="154" t="s">
        <v>1551</v>
      </c>
      <c r="D182" s="154">
        <v>57</v>
      </c>
      <c r="E182" s="154" t="s">
        <v>1552</v>
      </c>
      <c r="F182" s="154" t="s">
        <v>1793</v>
      </c>
      <c r="G182" s="154" t="s">
        <v>1794</v>
      </c>
      <c r="H182" s="154">
        <v>2</v>
      </c>
      <c r="I182" s="154" t="s">
        <v>256</v>
      </c>
      <c r="J182" s="154" t="s">
        <v>1403</v>
      </c>
      <c r="K182" s="154">
        <v>2025</v>
      </c>
      <c r="L182" s="155">
        <v>2025</v>
      </c>
      <c r="M182" s="156">
        <v>45538</v>
      </c>
      <c r="N182" s="154" t="s">
        <v>36</v>
      </c>
      <c r="O182" s="154" t="s">
        <v>94</v>
      </c>
      <c r="P182" s="154">
        <v>121</v>
      </c>
      <c r="Q182" s="154" t="s">
        <v>1502</v>
      </c>
      <c r="R182" s="154">
        <v>2</v>
      </c>
      <c r="S182" s="154">
        <v>8</v>
      </c>
      <c r="T182" s="154" t="s">
        <v>1503</v>
      </c>
      <c r="U182" s="154">
        <v>6</v>
      </c>
      <c r="V182" s="155">
        <v>2580091</v>
      </c>
      <c r="W182" s="155">
        <v>0</v>
      </c>
      <c r="X182" s="155" t="s">
        <v>1406</v>
      </c>
      <c r="Y182" s="154"/>
      <c r="Z182" s="154" t="s">
        <v>32</v>
      </c>
      <c r="AA182" s="156">
        <v>45645</v>
      </c>
      <c r="AB182" s="154">
        <v>25</v>
      </c>
      <c r="AC182" s="154">
        <v>80091</v>
      </c>
      <c r="AD182" s="154">
        <v>57</v>
      </c>
      <c r="AE182" s="154" t="s">
        <v>1551</v>
      </c>
      <c r="AF182" s="154">
        <v>57</v>
      </c>
      <c r="AG182" s="154" t="s">
        <v>1552</v>
      </c>
      <c r="AH182" s="154" t="s">
        <v>36</v>
      </c>
      <c r="AI182" s="154" t="s">
        <v>94</v>
      </c>
      <c r="AJ182" s="154">
        <v>121</v>
      </c>
      <c r="AK182" s="154" t="s">
        <v>1407</v>
      </c>
      <c r="AL182" s="154">
        <v>28197</v>
      </c>
      <c r="AM182" s="154" t="s">
        <v>1421</v>
      </c>
      <c r="AN182" s="154" t="s">
        <v>1616</v>
      </c>
      <c r="AO182" s="154">
        <v>28</v>
      </c>
      <c r="AP182" s="154" t="s">
        <v>1416</v>
      </c>
      <c r="AQ182" s="154">
        <v>0</v>
      </c>
      <c r="AR182" s="154" t="s">
        <v>1410</v>
      </c>
      <c r="AS182" s="154"/>
      <c r="AT182" s="154" t="s">
        <v>1417</v>
      </c>
      <c r="AU182" s="154" t="s">
        <v>1412</v>
      </c>
    </row>
    <row r="183" spans="1:47" x14ac:dyDescent="0.45">
      <c r="A183" s="154">
        <v>2505750051</v>
      </c>
      <c r="B183" s="154">
        <v>57</v>
      </c>
      <c r="C183" s="154" t="s">
        <v>1551</v>
      </c>
      <c r="D183" s="154">
        <v>57</v>
      </c>
      <c r="E183" s="154" t="s">
        <v>1552</v>
      </c>
      <c r="F183" s="154" t="s">
        <v>1795</v>
      </c>
      <c r="G183" s="154" t="s">
        <v>1796</v>
      </c>
      <c r="H183" s="154">
        <v>1</v>
      </c>
      <c r="I183" s="154" t="s">
        <v>1797</v>
      </c>
      <c r="J183" s="154" t="s">
        <v>1403</v>
      </c>
      <c r="K183" s="154">
        <v>2025</v>
      </c>
      <c r="L183" s="155">
        <v>2025</v>
      </c>
      <c r="M183" s="156">
        <v>45536</v>
      </c>
      <c r="N183" s="154" t="s">
        <v>36</v>
      </c>
      <c r="O183" s="154" t="s">
        <v>135</v>
      </c>
      <c r="P183" s="154">
        <v>502</v>
      </c>
      <c r="Q183" s="154" t="s">
        <v>1500</v>
      </c>
      <c r="R183" s="154">
        <v>2</v>
      </c>
      <c r="S183" s="154">
        <v>5</v>
      </c>
      <c r="T183" s="154" t="s">
        <v>1470</v>
      </c>
      <c r="U183" s="154">
        <v>15</v>
      </c>
      <c r="V183" s="155">
        <v>2580001</v>
      </c>
      <c r="W183" s="155">
        <v>0</v>
      </c>
      <c r="X183" s="155" t="s">
        <v>1406</v>
      </c>
      <c r="Y183" s="154"/>
      <c r="Z183" s="154" t="s">
        <v>32</v>
      </c>
      <c r="AA183" s="156">
        <v>45562</v>
      </c>
      <c r="AB183" s="154">
        <v>25</v>
      </c>
      <c r="AC183" s="154">
        <v>80001</v>
      </c>
      <c r="AD183" s="154">
        <v>57</v>
      </c>
      <c r="AE183" s="154" t="s">
        <v>1551</v>
      </c>
      <c r="AF183" s="154">
        <v>57</v>
      </c>
      <c r="AG183" s="154" t="s">
        <v>1552</v>
      </c>
      <c r="AH183" s="154" t="s">
        <v>36</v>
      </c>
      <c r="AI183" s="154" t="s">
        <v>135</v>
      </c>
      <c r="AJ183" s="154">
        <v>502</v>
      </c>
      <c r="AK183" s="154" t="s">
        <v>1407</v>
      </c>
      <c r="AL183" s="154">
        <v>28202</v>
      </c>
      <c r="AM183" s="154" t="s">
        <v>1418</v>
      </c>
      <c r="AN183" s="154" t="s">
        <v>1554</v>
      </c>
      <c r="AO183" s="154">
        <v>28</v>
      </c>
      <c r="AP183" s="154" t="s">
        <v>1416</v>
      </c>
      <c r="AQ183" s="154">
        <v>0</v>
      </c>
      <c r="AR183" s="154" t="s">
        <v>1410</v>
      </c>
      <c r="AS183" s="154"/>
      <c r="AT183" s="154" t="s">
        <v>1417</v>
      </c>
      <c r="AU183" s="154" t="s">
        <v>1412</v>
      </c>
    </row>
    <row r="184" spans="1:47" x14ac:dyDescent="0.45">
      <c r="A184" s="154">
        <v>2505750052</v>
      </c>
      <c r="B184" s="154">
        <v>57</v>
      </c>
      <c r="C184" s="154" t="s">
        <v>1551</v>
      </c>
      <c r="D184" s="154">
        <v>57</v>
      </c>
      <c r="E184" s="154" t="s">
        <v>1552</v>
      </c>
      <c r="F184" s="154" t="s">
        <v>1798</v>
      </c>
      <c r="G184" s="154" t="s">
        <v>1799</v>
      </c>
      <c r="H184" s="154">
        <v>1</v>
      </c>
      <c r="I184" s="154" t="s">
        <v>1800</v>
      </c>
      <c r="J184" s="154" t="s">
        <v>1403</v>
      </c>
      <c r="K184" s="154">
        <v>2025</v>
      </c>
      <c r="L184" s="155">
        <v>2025</v>
      </c>
      <c r="M184" s="156">
        <v>45589</v>
      </c>
      <c r="N184" s="154" t="s">
        <v>36</v>
      </c>
      <c r="O184" s="154">
        <v>58</v>
      </c>
      <c r="P184" s="154">
        <v>428</v>
      </c>
      <c r="Q184" s="154" t="s">
        <v>1463</v>
      </c>
      <c r="R184" s="154">
        <v>2</v>
      </c>
      <c r="S184" s="154">
        <v>2</v>
      </c>
      <c r="T184" s="154" t="s">
        <v>1464</v>
      </c>
      <c r="U184" s="154">
        <v>1</v>
      </c>
      <c r="V184" s="155">
        <v>2580098</v>
      </c>
      <c r="W184" s="155">
        <v>0</v>
      </c>
      <c r="X184" s="155" t="s">
        <v>1406</v>
      </c>
      <c r="Y184" s="154"/>
      <c r="Z184" s="154" t="s">
        <v>32</v>
      </c>
      <c r="AA184" s="156">
        <v>45663</v>
      </c>
      <c r="AB184" s="154">
        <v>25</v>
      </c>
      <c r="AC184" s="154">
        <v>80098</v>
      </c>
      <c r="AD184" s="154">
        <v>57</v>
      </c>
      <c r="AE184" s="154" t="s">
        <v>1551</v>
      </c>
      <c r="AF184" s="154">
        <v>57</v>
      </c>
      <c r="AG184" s="154" t="s">
        <v>1552</v>
      </c>
      <c r="AH184" s="154" t="s">
        <v>36</v>
      </c>
      <c r="AI184" s="154">
        <v>58</v>
      </c>
      <c r="AJ184" s="154">
        <v>428</v>
      </c>
      <c r="AK184" s="154" t="s">
        <v>1407</v>
      </c>
      <c r="AL184" s="154">
        <v>28029</v>
      </c>
      <c r="AM184" s="154" t="s">
        <v>1421</v>
      </c>
      <c r="AN184" s="154" t="s">
        <v>1441</v>
      </c>
      <c r="AO184" s="154">
        <v>28</v>
      </c>
      <c r="AP184" s="154" t="s">
        <v>1416</v>
      </c>
      <c r="AQ184" s="154">
        <v>0</v>
      </c>
      <c r="AR184" s="154" t="s">
        <v>1410</v>
      </c>
      <c r="AS184" s="154"/>
      <c r="AT184" s="154" t="s">
        <v>1417</v>
      </c>
      <c r="AU184" s="154" t="s">
        <v>1412</v>
      </c>
    </row>
    <row r="185" spans="1:47" x14ac:dyDescent="0.45">
      <c r="A185" s="154">
        <v>2505750053</v>
      </c>
      <c r="B185" s="154">
        <v>57</v>
      </c>
      <c r="C185" s="154" t="s">
        <v>1551</v>
      </c>
      <c r="D185" s="154">
        <v>57</v>
      </c>
      <c r="E185" s="154" t="s">
        <v>1552</v>
      </c>
      <c r="F185" s="154" t="s">
        <v>1801</v>
      </c>
      <c r="G185" s="154" t="s">
        <v>1802</v>
      </c>
      <c r="H185" s="154">
        <v>1</v>
      </c>
      <c r="I185" s="154" t="s">
        <v>1803</v>
      </c>
      <c r="J185" s="154" t="s">
        <v>1403</v>
      </c>
      <c r="K185" s="154">
        <v>2025</v>
      </c>
      <c r="L185" s="155">
        <v>2025</v>
      </c>
      <c r="M185" s="156">
        <v>45595</v>
      </c>
      <c r="N185" s="154" t="s">
        <v>36</v>
      </c>
      <c r="O185" s="154">
        <v>58</v>
      </c>
      <c r="P185" s="154">
        <v>428</v>
      </c>
      <c r="Q185" s="154" t="s">
        <v>1463</v>
      </c>
      <c r="R185" s="154">
        <v>2</v>
      </c>
      <c r="S185" s="154">
        <v>2</v>
      </c>
      <c r="T185" s="154" t="s">
        <v>1464</v>
      </c>
      <c r="U185" s="154">
        <v>1</v>
      </c>
      <c r="V185" s="155">
        <v>2580107</v>
      </c>
      <c r="W185" s="155">
        <v>0</v>
      </c>
      <c r="X185" s="155" t="s">
        <v>1406</v>
      </c>
      <c r="Y185" s="154"/>
      <c r="Z185" s="154" t="s">
        <v>32</v>
      </c>
      <c r="AA185" s="156">
        <v>45671</v>
      </c>
      <c r="AB185" s="154">
        <v>25</v>
      </c>
      <c r="AC185" s="154">
        <v>80107</v>
      </c>
      <c r="AD185" s="154">
        <v>57</v>
      </c>
      <c r="AE185" s="154" t="s">
        <v>1551</v>
      </c>
      <c r="AF185" s="154">
        <v>57</v>
      </c>
      <c r="AG185" s="154" t="s">
        <v>1552</v>
      </c>
      <c r="AH185" s="154" t="s">
        <v>36</v>
      </c>
      <c r="AI185" s="154">
        <v>58</v>
      </c>
      <c r="AJ185" s="154">
        <v>428</v>
      </c>
      <c r="AK185" s="154" t="s">
        <v>1473</v>
      </c>
      <c r="AL185" s="154">
        <v>28246</v>
      </c>
      <c r="AM185" s="154" t="s">
        <v>1418</v>
      </c>
      <c r="AN185" s="154" t="s">
        <v>1567</v>
      </c>
      <c r="AO185" s="154">
        <v>28</v>
      </c>
      <c r="AP185" s="154" t="s">
        <v>1416</v>
      </c>
      <c r="AQ185" s="154">
        <v>0</v>
      </c>
      <c r="AR185" s="154" t="s">
        <v>1410</v>
      </c>
      <c r="AS185" s="154"/>
      <c r="AT185" s="154" t="s">
        <v>1417</v>
      </c>
      <c r="AU185" s="154" t="s">
        <v>1412</v>
      </c>
    </row>
    <row r="186" spans="1:47" x14ac:dyDescent="0.45">
      <c r="A186" s="154">
        <v>2505750054</v>
      </c>
      <c r="B186" s="154">
        <v>57</v>
      </c>
      <c r="C186" s="154" t="s">
        <v>1551</v>
      </c>
      <c r="D186" s="154">
        <v>57</v>
      </c>
      <c r="E186" s="154" t="s">
        <v>1552</v>
      </c>
      <c r="F186" s="154" t="s">
        <v>1804</v>
      </c>
      <c r="G186" s="154" t="s">
        <v>1805</v>
      </c>
      <c r="H186" s="154">
        <v>1</v>
      </c>
      <c r="I186" s="154" t="s">
        <v>224</v>
      </c>
      <c r="J186" s="154" t="s">
        <v>1403</v>
      </c>
      <c r="K186" s="154">
        <v>2025</v>
      </c>
      <c r="L186" s="155">
        <v>2025</v>
      </c>
      <c r="M186" s="156">
        <v>45580</v>
      </c>
      <c r="N186" s="154" t="s">
        <v>36</v>
      </c>
      <c r="O186" s="154" t="s">
        <v>51</v>
      </c>
      <c r="P186" s="154">
        <v>852</v>
      </c>
      <c r="Q186" s="154" t="s">
        <v>1472</v>
      </c>
      <c r="R186" s="154">
        <v>1</v>
      </c>
      <c r="S186" s="154">
        <v>2</v>
      </c>
      <c r="T186" s="154" t="s">
        <v>1464</v>
      </c>
      <c r="U186" s="154">
        <v>1</v>
      </c>
      <c r="V186" s="155">
        <v>0</v>
      </c>
      <c r="W186" s="155">
        <v>0</v>
      </c>
      <c r="X186" s="155" t="s">
        <v>1406</v>
      </c>
      <c r="Y186" s="156">
        <v>45645</v>
      </c>
      <c r="Z186" s="154" t="s">
        <v>32</v>
      </c>
      <c r="AA186" s="154"/>
      <c r="AB186" s="154">
        <v>0</v>
      </c>
      <c r="AC186" s="154">
        <v>0</v>
      </c>
      <c r="AD186" s="154">
        <v>0</v>
      </c>
      <c r="AE186" s="154" t="s">
        <v>1446</v>
      </c>
      <c r="AF186" s="154"/>
      <c r="AG186" s="154" t="s">
        <v>1446</v>
      </c>
      <c r="AH186" s="154"/>
      <c r="AI186" s="154"/>
      <c r="AJ186" s="154">
        <v>0</v>
      </c>
      <c r="AK186" s="154" t="s">
        <v>1473</v>
      </c>
      <c r="AL186" s="154">
        <v>28185</v>
      </c>
      <c r="AM186" s="154" t="s">
        <v>1418</v>
      </c>
      <c r="AN186" s="154" t="s">
        <v>1438</v>
      </c>
      <c r="AO186" s="154">
        <v>28</v>
      </c>
      <c r="AP186" s="154" t="s">
        <v>1416</v>
      </c>
      <c r="AQ186" s="154">
        <v>0</v>
      </c>
      <c r="AR186" s="154" t="s">
        <v>1410</v>
      </c>
      <c r="AS186" s="154"/>
      <c r="AT186" s="154" t="s">
        <v>1417</v>
      </c>
      <c r="AU186" s="154" t="s">
        <v>1412</v>
      </c>
    </row>
    <row r="187" spans="1:47" x14ac:dyDescent="0.45">
      <c r="A187" s="154">
        <v>2505750055</v>
      </c>
      <c r="B187" s="154">
        <v>57</v>
      </c>
      <c r="C187" s="154" t="s">
        <v>1551</v>
      </c>
      <c r="D187" s="154">
        <v>57</v>
      </c>
      <c r="E187" s="154" t="s">
        <v>1552</v>
      </c>
      <c r="F187" s="154" t="s">
        <v>1807</v>
      </c>
      <c r="G187" s="154" t="s">
        <v>1808</v>
      </c>
      <c r="H187" s="154">
        <v>2</v>
      </c>
      <c r="I187" s="154" t="s">
        <v>1809</v>
      </c>
      <c r="J187" s="154" t="s">
        <v>1569</v>
      </c>
      <c r="K187" s="154">
        <v>2025</v>
      </c>
      <c r="L187" s="155">
        <v>2025</v>
      </c>
      <c r="M187" s="156">
        <v>45549</v>
      </c>
      <c r="N187" s="154" t="s">
        <v>36</v>
      </c>
      <c r="O187" s="154" t="s">
        <v>135</v>
      </c>
      <c r="P187" s="154">
        <v>502</v>
      </c>
      <c r="Q187" s="154" t="s">
        <v>1500</v>
      </c>
      <c r="R187" s="154">
        <v>2</v>
      </c>
      <c r="S187" s="154">
        <v>5</v>
      </c>
      <c r="T187" s="154" t="s">
        <v>1470</v>
      </c>
      <c r="U187" s="154">
        <v>15</v>
      </c>
      <c r="V187" s="155">
        <v>2580021</v>
      </c>
      <c r="W187" s="155">
        <v>0</v>
      </c>
      <c r="X187" s="155" t="s">
        <v>1406</v>
      </c>
      <c r="Y187" s="154"/>
      <c r="Z187" s="154" t="s">
        <v>32</v>
      </c>
      <c r="AA187" s="156">
        <v>45580</v>
      </c>
      <c r="AB187" s="154">
        <v>25</v>
      </c>
      <c r="AC187" s="154">
        <v>80021</v>
      </c>
      <c r="AD187" s="154">
        <v>57</v>
      </c>
      <c r="AE187" s="154" t="s">
        <v>1551</v>
      </c>
      <c r="AF187" s="154">
        <v>57</v>
      </c>
      <c r="AG187" s="154" t="s">
        <v>1552</v>
      </c>
      <c r="AH187" s="154" t="s">
        <v>36</v>
      </c>
      <c r="AI187" s="154" t="s">
        <v>135</v>
      </c>
      <c r="AJ187" s="154">
        <v>502</v>
      </c>
      <c r="AK187" s="154" t="s">
        <v>1407</v>
      </c>
      <c r="AL187" s="154">
        <v>32014</v>
      </c>
      <c r="AM187" s="154" t="s">
        <v>1418</v>
      </c>
      <c r="AN187" s="154" t="s">
        <v>2797</v>
      </c>
      <c r="AO187" s="154">
        <v>32</v>
      </c>
      <c r="AP187" s="154" t="s">
        <v>1570</v>
      </c>
      <c r="AQ187" s="154">
        <v>0</v>
      </c>
      <c r="AR187" s="154" t="s">
        <v>1410</v>
      </c>
      <c r="AS187" s="154"/>
      <c r="AT187" s="154" t="s">
        <v>1417</v>
      </c>
      <c r="AU187" s="154" t="s">
        <v>1412</v>
      </c>
    </row>
    <row r="188" spans="1:47" x14ac:dyDescent="0.45">
      <c r="A188" s="154">
        <v>2505750056</v>
      </c>
      <c r="B188" s="154">
        <v>57</v>
      </c>
      <c r="C188" s="154" t="s">
        <v>1551</v>
      </c>
      <c r="D188" s="154">
        <v>57</v>
      </c>
      <c r="E188" s="154" t="s">
        <v>1552</v>
      </c>
      <c r="F188" s="154" t="s">
        <v>1811</v>
      </c>
      <c r="G188" s="154" t="s">
        <v>1812</v>
      </c>
      <c r="H188" s="154">
        <v>1</v>
      </c>
      <c r="I188" s="154" t="s">
        <v>1813</v>
      </c>
      <c r="J188" s="154" t="s">
        <v>1629</v>
      </c>
      <c r="K188" s="154">
        <v>2025</v>
      </c>
      <c r="L188" s="155">
        <v>2025</v>
      </c>
      <c r="M188" s="156">
        <v>45541</v>
      </c>
      <c r="N188" s="154" t="s">
        <v>36</v>
      </c>
      <c r="O188" s="154">
        <v>58</v>
      </c>
      <c r="P188" s="154">
        <v>428</v>
      </c>
      <c r="Q188" s="154" t="s">
        <v>1463</v>
      </c>
      <c r="R188" s="154">
        <v>2</v>
      </c>
      <c r="S188" s="154">
        <v>2</v>
      </c>
      <c r="T188" s="154" t="s">
        <v>1464</v>
      </c>
      <c r="U188" s="154">
        <v>1</v>
      </c>
      <c r="V188" s="155">
        <v>2580002</v>
      </c>
      <c r="W188" s="155">
        <v>0</v>
      </c>
      <c r="X188" s="155" t="s">
        <v>1406</v>
      </c>
      <c r="Y188" s="154"/>
      <c r="Z188" s="154" t="s">
        <v>32</v>
      </c>
      <c r="AA188" s="156">
        <v>45566</v>
      </c>
      <c r="AB188" s="154">
        <v>25</v>
      </c>
      <c r="AC188" s="154">
        <v>80002</v>
      </c>
      <c r="AD188" s="154">
        <v>57</v>
      </c>
      <c r="AE188" s="154" t="s">
        <v>1551</v>
      </c>
      <c r="AF188" s="154">
        <v>57</v>
      </c>
      <c r="AG188" s="154" t="s">
        <v>1552</v>
      </c>
      <c r="AH188" s="154" t="s">
        <v>36</v>
      </c>
      <c r="AI188" s="154">
        <v>58</v>
      </c>
      <c r="AJ188" s="154">
        <v>428</v>
      </c>
      <c r="AK188" s="154" t="s">
        <v>1407</v>
      </c>
      <c r="AL188" s="154">
        <v>39049</v>
      </c>
      <c r="AM188" s="154" t="s">
        <v>1421</v>
      </c>
      <c r="AN188" s="154" t="s">
        <v>2798</v>
      </c>
      <c r="AO188" s="154">
        <v>39</v>
      </c>
      <c r="AP188" s="154" t="s">
        <v>1631</v>
      </c>
      <c r="AQ188" s="154">
        <v>0</v>
      </c>
      <c r="AR188" s="154" t="s">
        <v>1410</v>
      </c>
      <c r="AS188" s="154"/>
      <c r="AT188" s="154" t="s">
        <v>1417</v>
      </c>
      <c r="AU188" s="154" t="s">
        <v>1412</v>
      </c>
    </row>
    <row r="189" spans="1:47" x14ac:dyDescent="0.45">
      <c r="A189" s="154">
        <v>2505750057</v>
      </c>
      <c r="B189" s="154">
        <v>57</v>
      </c>
      <c r="C189" s="154" t="s">
        <v>1551</v>
      </c>
      <c r="D189" s="154">
        <v>57</v>
      </c>
      <c r="E189" s="154" t="s">
        <v>1552</v>
      </c>
      <c r="F189" s="154" t="s">
        <v>1814</v>
      </c>
      <c r="G189" s="154" t="s">
        <v>1815</v>
      </c>
      <c r="H189" s="154">
        <v>1</v>
      </c>
      <c r="I189" s="154" t="s">
        <v>1816</v>
      </c>
      <c r="J189" s="154" t="s">
        <v>1403</v>
      </c>
      <c r="K189" s="154">
        <v>2025</v>
      </c>
      <c r="L189" s="155">
        <v>2025</v>
      </c>
      <c r="M189" s="156">
        <v>45556</v>
      </c>
      <c r="N189" s="154" t="s">
        <v>36</v>
      </c>
      <c r="O189" s="154">
        <v>58</v>
      </c>
      <c r="P189" s="154">
        <v>852</v>
      </c>
      <c r="Q189" s="154" t="s">
        <v>1472</v>
      </c>
      <c r="R189" s="154">
        <v>2</v>
      </c>
      <c r="S189" s="154">
        <v>2</v>
      </c>
      <c r="T189" s="154" t="s">
        <v>1464</v>
      </c>
      <c r="U189" s="154">
        <v>1</v>
      </c>
      <c r="V189" s="155">
        <v>2580146</v>
      </c>
      <c r="W189" s="155">
        <v>0</v>
      </c>
      <c r="X189" s="155" t="s">
        <v>1406</v>
      </c>
      <c r="Y189" s="154"/>
      <c r="Z189" s="154" t="s">
        <v>32</v>
      </c>
      <c r="AA189" s="156">
        <v>45705</v>
      </c>
      <c r="AB189" s="154">
        <v>25</v>
      </c>
      <c r="AC189" s="154">
        <v>80146</v>
      </c>
      <c r="AD189" s="154">
        <v>57</v>
      </c>
      <c r="AE189" s="154" t="s">
        <v>1551</v>
      </c>
      <c r="AF189" s="154">
        <v>57</v>
      </c>
      <c r="AG189" s="154" t="s">
        <v>1552</v>
      </c>
      <c r="AH189" s="154" t="s">
        <v>36</v>
      </c>
      <c r="AI189" s="154">
        <v>58</v>
      </c>
      <c r="AJ189" s="154">
        <v>852</v>
      </c>
      <c r="AK189" s="154" t="s">
        <v>1407</v>
      </c>
      <c r="AL189" s="154">
        <v>28022</v>
      </c>
      <c r="AM189" s="154" t="s">
        <v>1421</v>
      </c>
      <c r="AN189" s="154" t="s">
        <v>1571</v>
      </c>
      <c r="AO189" s="154">
        <v>28</v>
      </c>
      <c r="AP189" s="154" t="s">
        <v>1416</v>
      </c>
      <c r="AQ189" s="154">
        <v>0</v>
      </c>
      <c r="AR189" s="154" t="s">
        <v>1410</v>
      </c>
      <c r="AS189" s="154"/>
      <c r="AT189" s="154" t="s">
        <v>1417</v>
      </c>
      <c r="AU189" s="154" t="s">
        <v>1412</v>
      </c>
    </row>
    <row r="190" spans="1:47" x14ac:dyDescent="0.45">
      <c r="A190" s="154">
        <v>2505750058</v>
      </c>
      <c r="B190" s="154">
        <v>57</v>
      </c>
      <c r="C190" s="154" t="s">
        <v>1551</v>
      </c>
      <c r="D190" s="154">
        <v>57</v>
      </c>
      <c r="E190" s="154" t="s">
        <v>1552</v>
      </c>
      <c r="F190" s="154" t="s">
        <v>1817</v>
      </c>
      <c r="G190" s="154" t="s">
        <v>1818</v>
      </c>
      <c r="H190" s="154">
        <v>1</v>
      </c>
      <c r="I190" s="154" t="s">
        <v>1819</v>
      </c>
      <c r="J190" s="154" t="s">
        <v>1403</v>
      </c>
      <c r="K190" s="154">
        <v>2025</v>
      </c>
      <c r="L190" s="155">
        <v>2025</v>
      </c>
      <c r="M190" s="156">
        <v>45594</v>
      </c>
      <c r="N190" s="154" t="s">
        <v>36</v>
      </c>
      <c r="O190" s="154">
        <v>58</v>
      </c>
      <c r="P190" s="154">
        <v>428</v>
      </c>
      <c r="Q190" s="154" t="s">
        <v>1463</v>
      </c>
      <c r="R190" s="154">
        <v>2</v>
      </c>
      <c r="S190" s="154">
        <v>2</v>
      </c>
      <c r="T190" s="154" t="s">
        <v>1464</v>
      </c>
      <c r="U190" s="154">
        <v>1</v>
      </c>
      <c r="V190" s="155">
        <v>2580205</v>
      </c>
      <c r="W190" s="155">
        <v>0</v>
      </c>
      <c r="X190" s="155" t="s">
        <v>1406</v>
      </c>
      <c r="Y190" s="154"/>
      <c r="Z190" s="154" t="s">
        <v>32</v>
      </c>
      <c r="AA190" s="156">
        <v>45747</v>
      </c>
      <c r="AB190" s="154">
        <v>25</v>
      </c>
      <c r="AC190" s="154">
        <v>80205</v>
      </c>
      <c r="AD190" s="154">
        <v>57</v>
      </c>
      <c r="AE190" s="154" t="s">
        <v>1551</v>
      </c>
      <c r="AF190" s="154">
        <v>57</v>
      </c>
      <c r="AG190" s="154" t="s">
        <v>1552</v>
      </c>
      <c r="AH190" s="154" t="s">
        <v>36</v>
      </c>
      <c r="AI190" s="154">
        <v>58</v>
      </c>
      <c r="AJ190" s="154">
        <v>428</v>
      </c>
      <c r="AK190" s="154" t="s">
        <v>1407</v>
      </c>
      <c r="AL190" s="154">
        <v>28282</v>
      </c>
      <c r="AM190" s="154" t="s">
        <v>1414</v>
      </c>
      <c r="AN190" s="154" t="s">
        <v>1572</v>
      </c>
      <c r="AO190" s="154">
        <v>28</v>
      </c>
      <c r="AP190" s="154" t="s">
        <v>1416</v>
      </c>
      <c r="AQ190" s="154">
        <v>0</v>
      </c>
      <c r="AR190" s="154" t="s">
        <v>1410</v>
      </c>
      <c r="AS190" s="154"/>
      <c r="AT190" s="154" t="s">
        <v>1417</v>
      </c>
      <c r="AU190" s="154" t="s">
        <v>1412</v>
      </c>
    </row>
    <row r="191" spans="1:47" x14ac:dyDescent="0.45">
      <c r="A191" s="154">
        <v>2505750059</v>
      </c>
      <c r="B191" s="154">
        <v>57</v>
      </c>
      <c r="C191" s="154" t="s">
        <v>1551</v>
      </c>
      <c r="D191" s="154">
        <v>57</v>
      </c>
      <c r="E191" s="154" t="s">
        <v>1552</v>
      </c>
      <c r="F191" s="154" t="s">
        <v>1821</v>
      </c>
      <c r="G191" s="154" t="s">
        <v>1822</v>
      </c>
      <c r="H191" s="154">
        <v>1</v>
      </c>
      <c r="I191" s="154" t="s">
        <v>1823</v>
      </c>
      <c r="J191" s="154" t="s">
        <v>1403</v>
      </c>
      <c r="K191" s="154">
        <v>2025</v>
      </c>
      <c r="L191" s="155">
        <v>2025</v>
      </c>
      <c r="M191" s="156">
        <v>45591</v>
      </c>
      <c r="N191" s="154" t="s">
        <v>36</v>
      </c>
      <c r="O191" s="154" t="s">
        <v>135</v>
      </c>
      <c r="P191" s="154">
        <v>504</v>
      </c>
      <c r="Q191" s="154" t="s">
        <v>1509</v>
      </c>
      <c r="R191" s="154">
        <v>2</v>
      </c>
      <c r="S191" s="154">
        <v>5</v>
      </c>
      <c r="T191" s="154" t="s">
        <v>1470</v>
      </c>
      <c r="U191" s="154">
        <v>15</v>
      </c>
      <c r="V191" s="155">
        <v>0</v>
      </c>
      <c r="W191" s="155">
        <v>0</v>
      </c>
      <c r="X191" s="155" t="s">
        <v>1406</v>
      </c>
      <c r="Y191" s="156">
        <v>45630</v>
      </c>
      <c r="Z191" s="154" t="s">
        <v>32</v>
      </c>
      <c r="AA191" s="154"/>
      <c r="AB191" s="154">
        <v>0</v>
      </c>
      <c r="AC191" s="154">
        <v>0</v>
      </c>
      <c r="AD191" s="154">
        <v>0</v>
      </c>
      <c r="AE191" s="154" t="s">
        <v>1446</v>
      </c>
      <c r="AF191" s="154"/>
      <c r="AG191" s="154" t="s">
        <v>1446</v>
      </c>
      <c r="AH191" s="154"/>
      <c r="AI191" s="154"/>
      <c r="AJ191" s="154">
        <v>0</v>
      </c>
      <c r="AK191" s="154" t="s">
        <v>1410</v>
      </c>
      <c r="AL191" s="154">
        <v>28121</v>
      </c>
      <c r="AM191" s="154" t="s">
        <v>1418</v>
      </c>
      <c r="AN191" s="154" t="s">
        <v>1556</v>
      </c>
      <c r="AO191" s="154">
        <v>28</v>
      </c>
      <c r="AP191" s="154" t="s">
        <v>1416</v>
      </c>
      <c r="AQ191" s="154">
        <v>0</v>
      </c>
      <c r="AR191" s="154" t="s">
        <v>1410</v>
      </c>
      <c r="AS191" s="154"/>
      <c r="AT191" s="154" t="s">
        <v>1417</v>
      </c>
      <c r="AU191" s="154" t="s">
        <v>1412</v>
      </c>
    </row>
    <row r="192" spans="1:47" x14ac:dyDescent="0.45">
      <c r="A192" s="154">
        <v>2505750060</v>
      </c>
      <c r="B192" s="154">
        <v>57</v>
      </c>
      <c r="C192" s="154" t="s">
        <v>1551</v>
      </c>
      <c r="D192" s="154">
        <v>57</v>
      </c>
      <c r="E192" s="154" t="s">
        <v>1552</v>
      </c>
      <c r="F192" s="154" t="s">
        <v>1824</v>
      </c>
      <c r="G192" s="154" t="s">
        <v>1825</v>
      </c>
      <c r="H192" s="154">
        <v>2</v>
      </c>
      <c r="I192" s="154" t="s">
        <v>1826</v>
      </c>
      <c r="J192" s="154" t="s">
        <v>1403</v>
      </c>
      <c r="K192" s="154">
        <v>2025</v>
      </c>
      <c r="L192" s="155">
        <v>2025</v>
      </c>
      <c r="M192" s="156">
        <v>45568</v>
      </c>
      <c r="N192" s="154" t="s">
        <v>36</v>
      </c>
      <c r="O192" s="154" t="s">
        <v>135</v>
      </c>
      <c r="P192" s="154">
        <v>1046</v>
      </c>
      <c r="Q192" s="154" t="s">
        <v>2790</v>
      </c>
      <c r="R192" s="154">
        <v>2</v>
      </c>
      <c r="S192" s="154">
        <v>5</v>
      </c>
      <c r="T192" s="154" t="s">
        <v>1470</v>
      </c>
      <c r="U192" s="154">
        <v>15</v>
      </c>
      <c r="V192" s="155">
        <v>2580052</v>
      </c>
      <c r="W192" s="155">
        <v>0</v>
      </c>
      <c r="X192" s="155" t="s">
        <v>1406</v>
      </c>
      <c r="Y192" s="154"/>
      <c r="Z192" s="154" t="s">
        <v>32</v>
      </c>
      <c r="AA192" s="156">
        <v>45603</v>
      </c>
      <c r="AB192" s="154">
        <v>25</v>
      </c>
      <c r="AC192" s="154">
        <v>80052</v>
      </c>
      <c r="AD192" s="154">
        <v>57</v>
      </c>
      <c r="AE192" s="154" t="s">
        <v>1551</v>
      </c>
      <c r="AF192" s="154">
        <v>57</v>
      </c>
      <c r="AG192" s="154" t="s">
        <v>1552</v>
      </c>
      <c r="AH192" s="154" t="s">
        <v>36</v>
      </c>
      <c r="AI192" s="154" t="s">
        <v>135</v>
      </c>
      <c r="AJ192" s="154">
        <v>1046</v>
      </c>
      <c r="AK192" s="154" t="s">
        <v>1407</v>
      </c>
      <c r="AL192" s="154">
        <v>28107</v>
      </c>
      <c r="AM192" s="154" t="s">
        <v>1418</v>
      </c>
      <c r="AN192" s="154" t="s">
        <v>1484</v>
      </c>
      <c r="AO192" s="154">
        <v>28</v>
      </c>
      <c r="AP192" s="154" t="s">
        <v>1416</v>
      </c>
      <c r="AQ192" s="154">
        <v>0</v>
      </c>
      <c r="AR192" s="154" t="s">
        <v>1410</v>
      </c>
      <c r="AS192" s="154"/>
      <c r="AT192" s="154" t="s">
        <v>1417</v>
      </c>
      <c r="AU192" s="154" t="s">
        <v>1412</v>
      </c>
    </row>
    <row r="193" spans="1:47" x14ac:dyDescent="0.45">
      <c r="A193" s="154">
        <v>2505750061</v>
      </c>
      <c r="B193" s="154">
        <v>57</v>
      </c>
      <c r="C193" s="154" t="s">
        <v>1551</v>
      </c>
      <c r="D193" s="154">
        <v>57</v>
      </c>
      <c r="E193" s="154" t="s">
        <v>1552</v>
      </c>
      <c r="F193" s="154" t="s">
        <v>1827</v>
      </c>
      <c r="G193" s="154" t="s">
        <v>1828</v>
      </c>
      <c r="H193" s="154">
        <v>2</v>
      </c>
      <c r="I193" s="154" t="s">
        <v>1829</v>
      </c>
      <c r="J193" s="154" t="s">
        <v>1403</v>
      </c>
      <c r="K193" s="154">
        <v>2025</v>
      </c>
      <c r="L193" s="155">
        <v>2025</v>
      </c>
      <c r="M193" s="156">
        <v>45572</v>
      </c>
      <c r="N193" s="154" t="s">
        <v>36</v>
      </c>
      <c r="O193" s="154">
        <v>58</v>
      </c>
      <c r="P193" s="154">
        <v>968</v>
      </c>
      <c r="Q193" s="154" t="s">
        <v>1474</v>
      </c>
      <c r="R193" s="154">
        <v>2</v>
      </c>
      <c r="S193" s="154">
        <v>2</v>
      </c>
      <c r="T193" s="154" t="s">
        <v>1464</v>
      </c>
      <c r="U193" s="154">
        <v>1</v>
      </c>
      <c r="V193" s="155">
        <v>2580033</v>
      </c>
      <c r="W193" s="155">
        <v>0</v>
      </c>
      <c r="X193" s="155" t="s">
        <v>1406</v>
      </c>
      <c r="Y193" s="154"/>
      <c r="Z193" s="154" t="s">
        <v>32</v>
      </c>
      <c r="AA193" s="156">
        <v>45586</v>
      </c>
      <c r="AB193" s="154">
        <v>25</v>
      </c>
      <c r="AC193" s="154">
        <v>80033</v>
      </c>
      <c r="AD193" s="154">
        <v>57</v>
      </c>
      <c r="AE193" s="154" t="s">
        <v>1551</v>
      </c>
      <c r="AF193" s="154">
        <v>57</v>
      </c>
      <c r="AG193" s="154" t="s">
        <v>1552</v>
      </c>
      <c r="AH193" s="154" t="s">
        <v>36</v>
      </c>
      <c r="AI193" s="154">
        <v>58</v>
      </c>
      <c r="AJ193" s="154">
        <v>968</v>
      </c>
      <c r="AK193" s="154" t="s">
        <v>1407</v>
      </c>
      <c r="AL193" s="154">
        <v>28033</v>
      </c>
      <c r="AM193" s="154" t="s">
        <v>1418</v>
      </c>
      <c r="AN193" s="154" t="s">
        <v>1604</v>
      </c>
      <c r="AO193" s="154">
        <v>28</v>
      </c>
      <c r="AP193" s="154" t="s">
        <v>1416</v>
      </c>
      <c r="AQ193" s="154">
        <v>0</v>
      </c>
      <c r="AR193" s="154" t="s">
        <v>1410</v>
      </c>
      <c r="AS193" s="154"/>
      <c r="AT193" s="154" t="s">
        <v>1417</v>
      </c>
      <c r="AU193" s="154" t="s">
        <v>1412</v>
      </c>
    </row>
    <row r="194" spans="1:47" x14ac:dyDescent="0.45">
      <c r="A194" s="154">
        <v>2505750063</v>
      </c>
      <c r="B194" s="154">
        <v>57</v>
      </c>
      <c r="C194" s="154" t="s">
        <v>1551</v>
      </c>
      <c r="D194" s="154">
        <v>57</v>
      </c>
      <c r="E194" s="154" t="s">
        <v>1552</v>
      </c>
      <c r="F194" s="154" t="s">
        <v>1832</v>
      </c>
      <c r="G194" s="154" t="s">
        <v>1833</v>
      </c>
      <c r="H194" s="154">
        <v>1</v>
      </c>
      <c r="I194" s="154" t="s">
        <v>1834</v>
      </c>
      <c r="J194" s="154" t="s">
        <v>1403</v>
      </c>
      <c r="K194" s="154">
        <v>2025</v>
      </c>
      <c r="L194" s="155">
        <v>2025</v>
      </c>
      <c r="M194" s="156">
        <v>45543</v>
      </c>
      <c r="N194" s="154" t="s">
        <v>36</v>
      </c>
      <c r="O194" s="154">
        <v>7</v>
      </c>
      <c r="P194" s="154">
        <v>265</v>
      </c>
      <c r="Q194" s="154" t="s">
        <v>1562</v>
      </c>
      <c r="R194" s="154">
        <v>2</v>
      </c>
      <c r="S194" s="154">
        <v>1</v>
      </c>
      <c r="T194" s="154" t="s">
        <v>1527</v>
      </c>
      <c r="U194" s="154">
        <v>3</v>
      </c>
      <c r="V194" s="155">
        <v>2580049</v>
      </c>
      <c r="W194" s="155">
        <v>0</v>
      </c>
      <c r="X194" s="155" t="s">
        <v>1406</v>
      </c>
      <c r="Y194" s="154"/>
      <c r="Z194" s="154" t="s">
        <v>32</v>
      </c>
      <c r="AA194" s="156">
        <v>45602</v>
      </c>
      <c r="AB194" s="154">
        <v>25</v>
      </c>
      <c r="AC194" s="154">
        <v>80049</v>
      </c>
      <c r="AD194" s="154">
        <v>57</v>
      </c>
      <c r="AE194" s="154" t="s">
        <v>1551</v>
      </c>
      <c r="AF194" s="154">
        <v>57</v>
      </c>
      <c r="AG194" s="154" t="s">
        <v>1552</v>
      </c>
      <c r="AH194" s="154" t="s">
        <v>36</v>
      </c>
      <c r="AI194" s="154">
        <v>7</v>
      </c>
      <c r="AJ194" s="154">
        <v>265</v>
      </c>
      <c r="AK194" s="154" t="s">
        <v>1407</v>
      </c>
      <c r="AL194" s="154">
        <v>28124</v>
      </c>
      <c r="AM194" s="154" t="s">
        <v>1414</v>
      </c>
      <c r="AN194" s="154" t="s">
        <v>1483</v>
      </c>
      <c r="AO194" s="154">
        <v>28</v>
      </c>
      <c r="AP194" s="154" t="s">
        <v>1416</v>
      </c>
      <c r="AQ194" s="154">
        <v>0</v>
      </c>
      <c r="AR194" s="154" t="s">
        <v>1410</v>
      </c>
      <c r="AS194" s="154"/>
      <c r="AT194" s="154" t="s">
        <v>1417</v>
      </c>
      <c r="AU194" s="154" t="s">
        <v>1412</v>
      </c>
    </row>
    <row r="195" spans="1:47" x14ac:dyDescent="0.45">
      <c r="A195" s="154">
        <v>2505750065</v>
      </c>
      <c r="B195" s="154">
        <v>57</v>
      </c>
      <c r="C195" s="154" t="s">
        <v>1551</v>
      </c>
      <c r="D195" s="154">
        <v>57</v>
      </c>
      <c r="E195" s="154" t="s">
        <v>1552</v>
      </c>
      <c r="F195" s="154" t="s">
        <v>1839</v>
      </c>
      <c r="G195" s="154" t="s">
        <v>1840</v>
      </c>
      <c r="H195" s="154">
        <v>2</v>
      </c>
      <c r="I195" s="154" t="s">
        <v>1841</v>
      </c>
      <c r="J195" s="154" t="s">
        <v>1403</v>
      </c>
      <c r="K195" s="154">
        <v>2025</v>
      </c>
      <c r="L195" s="155">
        <v>2025</v>
      </c>
      <c r="M195" s="156">
        <v>45585</v>
      </c>
      <c r="N195" s="154" t="s">
        <v>36</v>
      </c>
      <c r="O195" s="154" t="s">
        <v>51</v>
      </c>
      <c r="P195" s="154">
        <v>427</v>
      </c>
      <c r="Q195" s="154" t="s">
        <v>1479</v>
      </c>
      <c r="R195" s="154">
        <v>1</v>
      </c>
      <c r="S195" s="154">
        <v>2</v>
      </c>
      <c r="T195" s="154" t="s">
        <v>1464</v>
      </c>
      <c r="U195" s="154">
        <v>1</v>
      </c>
      <c r="V195" s="155">
        <v>0</v>
      </c>
      <c r="W195" s="155">
        <v>0</v>
      </c>
      <c r="X195" s="155" t="s">
        <v>1406</v>
      </c>
      <c r="Y195" s="156">
        <v>45650</v>
      </c>
      <c r="Z195" s="154" t="s">
        <v>32</v>
      </c>
      <c r="AA195" s="154"/>
      <c r="AB195" s="154">
        <v>0</v>
      </c>
      <c r="AC195" s="154">
        <v>0</v>
      </c>
      <c r="AD195" s="154">
        <v>0</v>
      </c>
      <c r="AE195" s="154" t="s">
        <v>1446</v>
      </c>
      <c r="AF195" s="154"/>
      <c r="AG195" s="154" t="s">
        <v>1446</v>
      </c>
      <c r="AH195" s="154"/>
      <c r="AI195" s="154"/>
      <c r="AJ195" s="154">
        <v>0</v>
      </c>
      <c r="AK195" s="154" t="s">
        <v>1473</v>
      </c>
      <c r="AL195" s="154">
        <v>28112</v>
      </c>
      <c r="AM195" s="154" t="s">
        <v>1418</v>
      </c>
      <c r="AN195" s="154" t="s">
        <v>2799</v>
      </c>
      <c r="AO195" s="154">
        <v>28</v>
      </c>
      <c r="AP195" s="154" t="s">
        <v>1416</v>
      </c>
      <c r="AQ195" s="154">
        <v>0</v>
      </c>
      <c r="AR195" s="154" t="s">
        <v>1410</v>
      </c>
      <c r="AS195" s="154"/>
      <c r="AT195" s="154" t="s">
        <v>1417</v>
      </c>
      <c r="AU195" s="154" t="s">
        <v>1412</v>
      </c>
    </row>
    <row r="196" spans="1:47" x14ac:dyDescent="0.45">
      <c r="A196" s="154">
        <v>2505750066</v>
      </c>
      <c r="B196" s="154">
        <v>57</v>
      </c>
      <c r="C196" s="154" t="s">
        <v>1551</v>
      </c>
      <c r="D196" s="154">
        <v>57</v>
      </c>
      <c r="E196" s="154" t="s">
        <v>1552</v>
      </c>
      <c r="F196" s="154" t="s">
        <v>1842</v>
      </c>
      <c r="G196" s="154" t="s">
        <v>1843</v>
      </c>
      <c r="H196" s="154">
        <v>1</v>
      </c>
      <c r="I196" s="154" t="s">
        <v>1844</v>
      </c>
      <c r="J196" s="154" t="s">
        <v>1403</v>
      </c>
      <c r="K196" s="154">
        <v>2025</v>
      </c>
      <c r="L196" s="155">
        <v>2025</v>
      </c>
      <c r="M196" s="156">
        <v>45566</v>
      </c>
      <c r="N196" s="154" t="s">
        <v>36</v>
      </c>
      <c r="O196" s="154">
        <v>58</v>
      </c>
      <c r="P196" s="154">
        <v>260</v>
      </c>
      <c r="Q196" s="154" t="s">
        <v>1519</v>
      </c>
      <c r="R196" s="154">
        <v>2</v>
      </c>
      <c r="S196" s="154">
        <v>2</v>
      </c>
      <c r="T196" s="154" t="s">
        <v>1464</v>
      </c>
      <c r="U196" s="154">
        <v>1</v>
      </c>
      <c r="V196" s="155">
        <v>2580040</v>
      </c>
      <c r="W196" s="155">
        <v>0</v>
      </c>
      <c r="X196" s="155" t="s">
        <v>1406</v>
      </c>
      <c r="Y196" s="154"/>
      <c r="Z196" s="154" t="s">
        <v>32</v>
      </c>
      <c r="AA196" s="156">
        <v>45596</v>
      </c>
      <c r="AB196" s="154">
        <v>25</v>
      </c>
      <c r="AC196" s="154">
        <v>80040</v>
      </c>
      <c r="AD196" s="154">
        <v>57</v>
      </c>
      <c r="AE196" s="154" t="s">
        <v>1551</v>
      </c>
      <c r="AF196" s="154">
        <v>57</v>
      </c>
      <c r="AG196" s="154" t="s">
        <v>1552</v>
      </c>
      <c r="AH196" s="154" t="s">
        <v>36</v>
      </c>
      <c r="AI196" s="154">
        <v>58</v>
      </c>
      <c r="AJ196" s="154">
        <v>260</v>
      </c>
      <c r="AK196" s="154" t="s">
        <v>1407</v>
      </c>
      <c r="AL196" s="154">
        <v>28282</v>
      </c>
      <c r="AM196" s="154" t="s">
        <v>1414</v>
      </c>
      <c r="AN196" s="154" t="s">
        <v>1572</v>
      </c>
      <c r="AO196" s="154">
        <v>28</v>
      </c>
      <c r="AP196" s="154" t="s">
        <v>1416</v>
      </c>
      <c r="AQ196" s="154">
        <v>0</v>
      </c>
      <c r="AR196" s="154" t="s">
        <v>1410</v>
      </c>
      <c r="AS196" s="154"/>
      <c r="AT196" s="154" t="s">
        <v>1417</v>
      </c>
      <c r="AU196" s="154" t="s">
        <v>1412</v>
      </c>
    </row>
    <row r="197" spans="1:47" x14ac:dyDescent="0.45">
      <c r="A197" s="154">
        <v>2505750067</v>
      </c>
      <c r="B197" s="154">
        <v>57</v>
      </c>
      <c r="C197" s="154" t="s">
        <v>1551</v>
      </c>
      <c r="D197" s="154">
        <v>57</v>
      </c>
      <c r="E197" s="154" t="s">
        <v>1552</v>
      </c>
      <c r="F197" s="154" t="s">
        <v>1845</v>
      </c>
      <c r="G197" s="154" t="s">
        <v>1846</v>
      </c>
      <c r="H197" s="154">
        <v>1</v>
      </c>
      <c r="I197" s="154" t="s">
        <v>1744</v>
      </c>
      <c r="J197" s="154" t="s">
        <v>1403</v>
      </c>
      <c r="K197" s="154">
        <v>2025</v>
      </c>
      <c r="L197" s="155">
        <v>2025</v>
      </c>
      <c r="M197" s="156">
        <v>45591</v>
      </c>
      <c r="N197" s="154" t="s">
        <v>36</v>
      </c>
      <c r="O197" s="154" t="s">
        <v>51</v>
      </c>
      <c r="P197" s="154">
        <v>427</v>
      </c>
      <c r="Q197" s="154" t="s">
        <v>1479</v>
      </c>
      <c r="R197" s="154">
        <v>1</v>
      </c>
      <c r="S197" s="154">
        <v>2</v>
      </c>
      <c r="T197" s="154" t="s">
        <v>1464</v>
      </c>
      <c r="U197" s="154">
        <v>1</v>
      </c>
      <c r="V197" s="155">
        <v>0</v>
      </c>
      <c r="W197" s="155">
        <v>0</v>
      </c>
      <c r="X197" s="155" t="s">
        <v>1406</v>
      </c>
      <c r="Y197" s="156">
        <v>45664</v>
      </c>
      <c r="Z197" s="154" t="s">
        <v>32</v>
      </c>
      <c r="AA197" s="154"/>
      <c r="AB197" s="154">
        <v>0</v>
      </c>
      <c r="AC197" s="154">
        <v>0</v>
      </c>
      <c r="AD197" s="154">
        <v>0</v>
      </c>
      <c r="AE197" s="154" t="s">
        <v>1446</v>
      </c>
      <c r="AF197" s="154"/>
      <c r="AG197" s="154" t="s">
        <v>1446</v>
      </c>
      <c r="AH197" s="154"/>
      <c r="AI197" s="154"/>
      <c r="AJ197" s="154">
        <v>0</v>
      </c>
      <c r="AK197" s="154" t="s">
        <v>1473</v>
      </c>
      <c r="AL197" s="154">
        <v>0</v>
      </c>
      <c r="AM197" s="154" t="s">
        <v>1408</v>
      </c>
      <c r="AN197" s="154" t="s">
        <v>2800</v>
      </c>
      <c r="AO197" s="154">
        <v>0</v>
      </c>
      <c r="AP197" s="154"/>
      <c r="AQ197" s="154">
        <v>0</v>
      </c>
      <c r="AR197" s="154" t="s">
        <v>1410</v>
      </c>
      <c r="AS197" s="154"/>
      <c r="AT197" s="154" t="s">
        <v>1417</v>
      </c>
      <c r="AU197" s="154" t="s">
        <v>1412</v>
      </c>
    </row>
    <row r="198" spans="1:47" x14ac:dyDescent="0.45">
      <c r="A198" s="154">
        <v>2505750068</v>
      </c>
      <c r="B198" s="154">
        <v>57</v>
      </c>
      <c r="C198" s="154" t="s">
        <v>1551</v>
      </c>
      <c r="D198" s="154">
        <v>57</v>
      </c>
      <c r="E198" s="154" t="s">
        <v>1552</v>
      </c>
      <c r="F198" s="154" t="s">
        <v>1848</v>
      </c>
      <c r="G198" s="154" t="s">
        <v>1849</v>
      </c>
      <c r="H198" s="154">
        <v>1</v>
      </c>
      <c r="I198" s="154" t="s">
        <v>1850</v>
      </c>
      <c r="J198" s="154" t="s">
        <v>1403</v>
      </c>
      <c r="K198" s="154">
        <v>2025</v>
      </c>
      <c r="L198" s="155">
        <v>2025</v>
      </c>
      <c r="M198" s="156">
        <v>45543</v>
      </c>
      <c r="N198" s="154" t="s">
        <v>36</v>
      </c>
      <c r="O198" s="154">
        <v>58</v>
      </c>
      <c r="P198" s="154">
        <v>428</v>
      </c>
      <c r="Q198" s="154" t="s">
        <v>1463</v>
      </c>
      <c r="R198" s="154">
        <v>2</v>
      </c>
      <c r="S198" s="154">
        <v>2</v>
      </c>
      <c r="T198" s="154" t="s">
        <v>1464</v>
      </c>
      <c r="U198" s="154">
        <v>1</v>
      </c>
      <c r="V198" s="155">
        <v>2580003</v>
      </c>
      <c r="W198" s="155">
        <v>0</v>
      </c>
      <c r="X198" s="155" t="s">
        <v>1406</v>
      </c>
      <c r="Y198" s="154"/>
      <c r="Z198" s="154" t="s">
        <v>32</v>
      </c>
      <c r="AA198" s="156">
        <v>45566</v>
      </c>
      <c r="AB198" s="154">
        <v>25</v>
      </c>
      <c r="AC198" s="154">
        <v>80003</v>
      </c>
      <c r="AD198" s="154">
        <v>57</v>
      </c>
      <c r="AE198" s="154" t="s">
        <v>1551</v>
      </c>
      <c r="AF198" s="154">
        <v>57</v>
      </c>
      <c r="AG198" s="154" t="s">
        <v>1552</v>
      </c>
      <c r="AH198" s="154" t="s">
        <v>36</v>
      </c>
      <c r="AI198" s="154">
        <v>58</v>
      </c>
      <c r="AJ198" s="154">
        <v>428</v>
      </c>
      <c r="AK198" s="154" t="s">
        <v>1407</v>
      </c>
      <c r="AL198" s="154">
        <v>26063</v>
      </c>
      <c r="AM198" s="154" t="s">
        <v>1421</v>
      </c>
      <c r="AN198" s="154" t="s">
        <v>1639</v>
      </c>
      <c r="AO198" s="154">
        <v>26</v>
      </c>
      <c r="AP198" s="154" t="s">
        <v>1514</v>
      </c>
      <c r="AQ198" s="154">
        <v>0</v>
      </c>
      <c r="AR198" s="154" t="s">
        <v>1410</v>
      </c>
      <c r="AS198" s="154"/>
      <c r="AT198" s="154" t="s">
        <v>1417</v>
      </c>
      <c r="AU198" s="154" t="s">
        <v>1412</v>
      </c>
    </row>
    <row r="199" spans="1:47" x14ac:dyDescent="0.45">
      <c r="A199" s="154">
        <v>2505750069</v>
      </c>
      <c r="B199" s="154">
        <v>57</v>
      </c>
      <c r="C199" s="154" t="s">
        <v>1551</v>
      </c>
      <c r="D199" s="154">
        <v>57</v>
      </c>
      <c r="E199" s="154" t="s">
        <v>1552</v>
      </c>
      <c r="F199" s="154" t="s">
        <v>1851</v>
      </c>
      <c r="G199" s="154" t="s">
        <v>1852</v>
      </c>
      <c r="H199" s="154">
        <v>1</v>
      </c>
      <c r="I199" s="154" t="s">
        <v>1853</v>
      </c>
      <c r="J199" s="154" t="s">
        <v>1403</v>
      </c>
      <c r="K199" s="154">
        <v>2025</v>
      </c>
      <c r="L199" s="155">
        <v>2025</v>
      </c>
      <c r="M199" s="156">
        <v>45591</v>
      </c>
      <c r="N199" s="154" t="s">
        <v>36</v>
      </c>
      <c r="O199" s="154">
        <v>58</v>
      </c>
      <c r="P199" s="154">
        <v>427</v>
      </c>
      <c r="Q199" s="154" t="s">
        <v>1479</v>
      </c>
      <c r="R199" s="154">
        <v>2</v>
      </c>
      <c r="S199" s="154">
        <v>2</v>
      </c>
      <c r="T199" s="154" t="s">
        <v>1464</v>
      </c>
      <c r="U199" s="154">
        <v>1</v>
      </c>
      <c r="V199" s="155">
        <v>2580163</v>
      </c>
      <c r="W199" s="155">
        <v>0</v>
      </c>
      <c r="X199" s="155" t="s">
        <v>1406</v>
      </c>
      <c r="Y199" s="154"/>
      <c r="Z199" s="154" t="s">
        <v>32</v>
      </c>
      <c r="AA199" s="156">
        <v>45726</v>
      </c>
      <c r="AB199" s="154">
        <v>25</v>
      </c>
      <c r="AC199" s="154">
        <v>80163</v>
      </c>
      <c r="AD199" s="154">
        <v>57</v>
      </c>
      <c r="AE199" s="154" t="s">
        <v>1551</v>
      </c>
      <c r="AF199" s="154">
        <v>57</v>
      </c>
      <c r="AG199" s="154" t="s">
        <v>1552</v>
      </c>
      <c r="AH199" s="154" t="s">
        <v>36</v>
      </c>
      <c r="AI199" s="154">
        <v>58</v>
      </c>
      <c r="AJ199" s="154">
        <v>427</v>
      </c>
      <c r="AK199" s="154" t="s">
        <v>1473</v>
      </c>
      <c r="AL199" s="154">
        <v>28029</v>
      </c>
      <c r="AM199" s="154" t="s">
        <v>1421</v>
      </c>
      <c r="AN199" s="154" t="s">
        <v>1441</v>
      </c>
      <c r="AO199" s="154">
        <v>28</v>
      </c>
      <c r="AP199" s="154" t="s">
        <v>1416</v>
      </c>
      <c r="AQ199" s="154">
        <v>0</v>
      </c>
      <c r="AR199" s="154" t="s">
        <v>1410</v>
      </c>
      <c r="AS199" s="154"/>
      <c r="AT199" s="154" t="s">
        <v>1417</v>
      </c>
      <c r="AU199" s="154" t="s">
        <v>1412</v>
      </c>
    </row>
    <row r="200" spans="1:47" x14ac:dyDescent="0.45">
      <c r="A200" s="154">
        <v>2505750070</v>
      </c>
      <c r="B200" s="154">
        <v>57</v>
      </c>
      <c r="C200" s="154" t="s">
        <v>1551</v>
      </c>
      <c r="D200" s="154">
        <v>57</v>
      </c>
      <c r="E200" s="154" t="s">
        <v>1552</v>
      </c>
      <c r="F200" s="154" t="s">
        <v>1854</v>
      </c>
      <c r="G200" s="154" t="s">
        <v>1855</v>
      </c>
      <c r="H200" s="154">
        <v>1</v>
      </c>
      <c r="I200" s="154" t="s">
        <v>179</v>
      </c>
      <c r="J200" s="154" t="s">
        <v>1403</v>
      </c>
      <c r="K200" s="154">
        <v>2025</v>
      </c>
      <c r="L200" s="155">
        <v>2025</v>
      </c>
      <c r="M200" s="156">
        <v>45595</v>
      </c>
      <c r="N200" s="154" t="s">
        <v>36</v>
      </c>
      <c r="O200" s="154">
        <v>7</v>
      </c>
      <c r="P200" s="154">
        <v>265</v>
      </c>
      <c r="Q200" s="154" t="s">
        <v>1562</v>
      </c>
      <c r="R200" s="154">
        <v>2</v>
      </c>
      <c r="S200" s="154">
        <v>1</v>
      </c>
      <c r="T200" s="154" t="s">
        <v>1527</v>
      </c>
      <c r="U200" s="154">
        <v>3</v>
      </c>
      <c r="V200" s="155">
        <v>2580068</v>
      </c>
      <c r="W200" s="155">
        <v>0</v>
      </c>
      <c r="X200" s="155" t="s">
        <v>1406</v>
      </c>
      <c r="Y200" s="154"/>
      <c r="Z200" s="154" t="s">
        <v>32</v>
      </c>
      <c r="AA200" s="156">
        <v>45616</v>
      </c>
      <c r="AB200" s="154">
        <v>25</v>
      </c>
      <c r="AC200" s="154">
        <v>80068</v>
      </c>
      <c r="AD200" s="154">
        <v>57</v>
      </c>
      <c r="AE200" s="154" t="s">
        <v>1551</v>
      </c>
      <c r="AF200" s="154">
        <v>57</v>
      </c>
      <c r="AG200" s="154" t="s">
        <v>1552</v>
      </c>
      <c r="AH200" s="154" t="s">
        <v>36</v>
      </c>
      <c r="AI200" s="154">
        <v>7</v>
      </c>
      <c r="AJ200" s="154">
        <v>265</v>
      </c>
      <c r="AK200" s="154" t="s">
        <v>1407</v>
      </c>
      <c r="AL200" s="154">
        <v>28029</v>
      </c>
      <c r="AM200" s="154" t="s">
        <v>1421</v>
      </c>
      <c r="AN200" s="154" t="s">
        <v>1441</v>
      </c>
      <c r="AO200" s="154">
        <v>28</v>
      </c>
      <c r="AP200" s="154" t="s">
        <v>1416</v>
      </c>
      <c r="AQ200" s="154">
        <v>0</v>
      </c>
      <c r="AR200" s="154" t="s">
        <v>1410</v>
      </c>
      <c r="AS200" s="154"/>
      <c r="AT200" s="154" t="s">
        <v>1417</v>
      </c>
      <c r="AU200" s="154" t="s">
        <v>1412</v>
      </c>
    </row>
    <row r="201" spans="1:47" x14ac:dyDescent="0.45">
      <c r="A201" s="154">
        <v>2505750071</v>
      </c>
      <c r="B201" s="154">
        <v>57</v>
      </c>
      <c r="C201" s="154" t="s">
        <v>1551</v>
      </c>
      <c r="D201" s="154">
        <v>57</v>
      </c>
      <c r="E201" s="154" t="s">
        <v>1552</v>
      </c>
      <c r="F201" s="154" t="s">
        <v>1856</v>
      </c>
      <c r="G201" s="154" t="s">
        <v>1857</v>
      </c>
      <c r="H201" s="154">
        <v>1</v>
      </c>
      <c r="I201" s="154" t="s">
        <v>1858</v>
      </c>
      <c r="J201" s="154" t="s">
        <v>1403</v>
      </c>
      <c r="K201" s="154">
        <v>2025</v>
      </c>
      <c r="L201" s="155">
        <v>2025</v>
      </c>
      <c r="M201" s="156">
        <v>45591</v>
      </c>
      <c r="N201" s="154" t="s">
        <v>36</v>
      </c>
      <c r="O201" s="154">
        <v>58</v>
      </c>
      <c r="P201" s="154">
        <v>427</v>
      </c>
      <c r="Q201" s="154" t="s">
        <v>1479</v>
      </c>
      <c r="R201" s="154">
        <v>2</v>
      </c>
      <c r="S201" s="154">
        <v>2</v>
      </c>
      <c r="T201" s="154" t="s">
        <v>1464</v>
      </c>
      <c r="U201" s="154">
        <v>1</v>
      </c>
      <c r="V201" s="155">
        <v>0</v>
      </c>
      <c r="W201" s="155">
        <v>0</v>
      </c>
      <c r="X201" s="155" t="s">
        <v>1406</v>
      </c>
      <c r="Y201" s="156">
        <v>45747</v>
      </c>
      <c r="Z201" s="154" t="s">
        <v>32</v>
      </c>
      <c r="AA201" s="154"/>
      <c r="AB201" s="154">
        <v>0</v>
      </c>
      <c r="AC201" s="154">
        <v>0</v>
      </c>
      <c r="AD201" s="154">
        <v>0</v>
      </c>
      <c r="AE201" s="154" t="s">
        <v>1446</v>
      </c>
      <c r="AF201" s="154"/>
      <c r="AG201" s="154" t="s">
        <v>1446</v>
      </c>
      <c r="AH201" s="154"/>
      <c r="AI201" s="154"/>
      <c r="AJ201" s="154">
        <v>0</v>
      </c>
      <c r="AK201" s="154" t="s">
        <v>1473</v>
      </c>
      <c r="AL201" s="154">
        <v>28029</v>
      </c>
      <c r="AM201" s="154" t="s">
        <v>1421</v>
      </c>
      <c r="AN201" s="154" t="s">
        <v>1441</v>
      </c>
      <c r="AO201" s="154">
        <v>28</v>
      </c>
      <c r="AP201" s="154" t="s">
        <v>1416</v>
      </c>
      <c r="AQ201" s="154">
        <v>0</v>
      </c>
      <c r="AR201" s="154" t="s">
        <v>1410</v>
      </c>
      <c r="AS201" s="154"/>
      <c r="AT201" s="154" t="s">
        <v>1417</v>
      </c>
      <c r="AU201" s="154" t="s">
        <v>1412</v>
      </c>
    </row>
    <row r="202" spans="1:47" x14ac:dyDescent="0.45">
      <c r="A202" s="154">
        <v>2505750072</v>
      </c>
      <c r="B202" s="154">
        <v>57</v>
      </c>
      <c r="C202" s="154" t="s">
        <v>1551</v>
      </c>
      <c r="D202" s="154">
        <v>57</v>
      </c>
      <c r="E202" s="154" t="s">
        <v>1552</v>
      </c>
      <c r="F202" s="154" t="s">
        <v>1859</v>
      </c>
      <c r="G202" s="154" t="s">
        <v>1860</v>
      </c>
      <c r="H202" s="154">
        <v>2</v>
      </c>
      <c r="I202" s="154" t="s">
        <v>1861</v>
      </c>
      <c r="J202" s="154" t="s">
        <v>1403</v>
      </c>
      <c r="K202" s="154">
        <v>2025</v>
      </c>
      <c r="L202" s="155">
        <v>2025</v>
      </c>
      <c r="M202" s="156">
        <v>45608</v>
      </c>
      <c r="N202" s="154" t="s">
        <v>36</v>
      </c>
      <c r="O202" s="154">
        <v>58</v>
      </c>
      <c r="P202" s="154">
        <v>427</v>
      </c>
      <c r="Q202" s="154" t="s">
        <v>1479</v>
      </c>
      <c r="R202" s="154">
        <v>2</v>
      </c>
      <c r="S202" s="154">
        <v>2</v>
      </c>
      <c r="T202" s="154" t="s">
        <v>1464</v>
      </c>
      <c r="U202" s="154">
        <v>1</v>
      </c>
      <c r="V202" s="155">
        <v>2580211</v>
      </c>
      <c r="W202" s="155">
        <v>0</v>
      </c>
      <c r="X202" s="155" t="s">
        <v>1406</v>
      </c>
      <c r="Y202" s="154"/>
      <c r="Z202" s="154" t="s">
        <v>32</v>
      </c>
      <c r="AA202" s="156">
        <v>45748</v>
      </c>
      <c r="AB202" s="154">
        <v>25</v>
      </c>
      <c r="AC202" s="154">
        <v>80211</v>
      </c>
      <c r="AD202" s="154">
        <v>57</v>
      </c>
      <c r="AE202" s="154" t="s">
        <v>1551</v>
      </c>
      <c r="AF202" s="154">
        <v>57</v>
      </c>
      <c r="AG202" s="154" t="s">
        <v>1552</v>
      </c>
      <c r="AH202" s="154" t="s">
        <v>36</v>
      </c>
      <c r="AI202" s="154">
        <v>58</v>
      </c>
      <c r="AJ202" s="154">
        <v>427</v>
      </c>
      <c r="AK202" s="154" t="s">
        <v>1473</v>
      </c>
      <c r="AL202" s="154">
        <v>28012</v>
      </c>
      <c r="AM202" s="154" t="s">
        <v>1421</v>
      </c>
      <c r="AN202" s="154" t="s">
        <v>1600</v>
      </c>
      <c r="AO202" s="154">
        <v>28</v>
      </c>
      <c r="AP202" s="154" t="s">
        <v>1416</v>
      </c>
      <c r="AQ202" s="154">
        <v>0</v>
      </c>
      <c r="AR202" s="154" t="s">
        <v>1410</v>
      </c>
      <c r="AS202" s="154"/>
      <c r="AT202" s="154" t="s">
        <v>1417</v>
      </c>
      <c r="AU202" s="154" t="s">
        <v>1412</v>
      </c>
    </row>
    <row r="203" spans="1:47" x14ac:dyDescent="0.45">
      <c r="A203" s="154">
        <v>2505750073</v>
      </c>
      <c r="B203" s="154">
        <v>57</v>
      </c>
      <c r="C203" s="154" t="s">
        <v>1551</v>
      </c>
      <c r="D203" s="154">
        <v>57</v>
      </c>
      <c r="E203" s="154" t="s">
        <v>1552</v>
      </c>
      <c r="F203" s="154" t="s">
        <v>1862</v>
      </c>
      <c r="G203" s="154" t="s">
        <v>1863</v>
      </c>
      <c r="H203" s="154">
        <v>2</v>
      </c>
      <c r="I203" s="154" t="s">
        <v>1360</v>
      </c>
      <c r="J203" s="154" t="s">
        <v>1403</v>
      </c>
      <c r="K203" s="154">
        <v>2025</v>
      </c>
      <c r="L203" s="155">
        <v>2025</v>
      </c>
      <c r="M203" s="156">
        <v>45575</v>
      </c>
      <c r="N203" s="154" t="s">
        <v>36</v>
      </c>
      <c r="O203" s="154" t="s">
        <v>51</v>
      </c>
      <c r="P203" s="154">
        <v>427</v>
      </c>
      <c r="Q203" s="154" t="s">
        <v>1479</v>
      </c>
      <c r="R203" s="154">
        <v>1</v>
      </c>
      <c r="S203" s="154">
        <v>2</v>
      </c>
      <c r="T203" s="154" t="s">
        <v>1464</v>
      </c>
      <c r="U203" s="154">
        <v>1</v>
      </c>
      <c r="V203" s="155">
        <v>0</v>
      </c>
      <c r="W203" s="155">
        <v>0</v>
      </c>
      <c r="X203" s="155" t="s">
        <v>1406</v>
      </c>
      <c r="Y203" s="156">
        <v>45664</v>
      </c>
      <c r="Z203" s="154" t="s">
        <v>32</v>
      </c>
      <c r="AA203" s="154"/>
      <c r="AB203" s="154">
        <v>0</v>
      </c>
      <c r="AC203" s="154">
        <v>0</v>
      </c>
      <c r="AD203" s="154">
        <v>0</v>
      </c>
      <c r="AE203" s="154" t="s">
        <v>1446</v>
      </c>
      <c r="AF203" s="154"/>
      <c r="AG203" s="154" t="s">
        <v>1446</v>
      </c>
      <c r="AH203" s="154"/>
      <c r="AI203" s="154"/>
      <c r="AJ203" s="154">
        <v>0</v>
      </c>
      <c r="AK203" s="154" t="s">
        <v>1473</v>
      </c>
      <c r="AL203" s="154">
        <v>28282</v>
      </c>
      <c r="AM203" s="154" t="s">
        <v>1414</v>
      </c>
      <c r="AN203" s="154" t="s">
        <v>1572</v>
      </c>
      <c r="AO203" s="154">
        <v>28</v>
      </c>
      <c r="AP203" s="154" t="s">
        <v>1416</v>
      </c>
      <c r="AQ203" s="154">
        <v>0</v>
      </c>
      <c r="AR203" s="154" t="s">
        <v>1410</v>
      </c>
      <c r="AS203" s="154"/>
      <c r="AT203" s="154" t="s">
        <v>1417</v>
      </c>
      <c r="AU203" s="154" t="s">
        <v>1412</v>
      </c>
    </row>
    <row r="204" spans="1:47" x14ac:dyDescent="0.45">
      <c r="A204" s="154">
        <v>2505750074</v>
      </c>
      <c r="B204" s="154">
        <v>57</v>
      </c>
      <c r="C204" s="154" t="s">
        <v>1551</v>
      </c>
      <c r="D204" s="154">
        <v>57</v>
      </c>
      <c r="E204" s="154" t="s">
        <v>1552</v>
      </c>
      <c r="F204" s="154" t="s">
        <v>2763</v>
      </c>
      <c r="G204" s="154" t="s">
        <v>2764</v>
      </c>
      <c r="H204" s="154">
        <v>1</v>
      </c>
      <c r="I204" s="154" t="s">
        <v>1864</v>
      </c>
      <c r="J204" s="154" t="s">
        <v>1403</v>
      </c>
      <c r="K204" s="154">
        <v>2025</v>
      </c>
      <c r="L204" s="155">
        <v>2025</v>
      </c>
      <c r="M204" s="156">
        <v>45562</v>
      </c>
      <c r="N204" s="154" t="s">
        <v>36</v>
      </c>
      <c r="O204" s="154">
        <v>6</v>
      </c>
      <c r="P204" s="154">
        <v>488</v>
      </c>
      <c r="Q204" s="154" t="s">
        <v>1553</v>
      </c>
      <c r="R204" s="154">
        <v>2</v>
      </c>
      <c r="S204" s="154">
        <v>1</v>
      </c>
      <c r="T204" s="154" t="s">
        <v>1527</v>
      </c>
      <c r="U204" s="154">
        <v>3</v>
      </c>
      <c r="V204" s="155">
        <v>2580027</v>
      </c>
      <c r="W204" s="155">
        <v>0</v>
      </c>
      <c r="X204" s="155" t="s">
        <v>1406</v>
      </c>
      <c r="Y204" s="154"/>
      <c r="Z204" s="154" t="s">
        <v>32</v>
      </c>
      <c r="AA204" s="156">
        <v>45581</v>
      </c>
      <c r="AB204" s="154">
        <v>25</v>
      </c>
      <c r="AC204" s="154">
        <v>80027</v>
      </c>
      <c r="AD204" s="154">
        <v>57</v>
      </c>
      <c r="AE204" s="154" t="s">
        <v>1551</v>
      </c>
      <c r="AF204" s="154">
        <v>57</v>
      </c>
      <c r="AG204" s="154" t="s">
        <v>1552</v>
      </c>
      <c r="AH204" s="154" t="s">
        <v>36</v>
      </c>
      <c r="AI204" s="154">
        <v>6</v>
      </c>
      <c r="AJ204" s="154">
        <v>488</v>
      </c>
      <c r="AK204" s="154" t="s">
        <v>1407</v>
      </c>
      <c r="AL204" s="154">
        <v>28121</v>
      </c>
      <c r="AM204" s="154" t="s">
        <v>1418</v>
      </c>
      <c r="AN204" s="154" t="s">
        <v>1556</v>
      </c>
      <c r="AO204" s="154">
        <v>28</v>
      </c>
      <c r="AP204" s="154" t="s">
        <v>1416</v>
      </c>
      <c r="AQ204" s="154">
        <v>0</v>
      </c>
      <c r="AR204" s="154" t="s">
        <v>1410</v>
      </c>
      <c r="AS204" s="154"/>
      <c r="AT204" s="154" t="s">
        <v>1417</v>
      </c>
      <c r="AU204" s="154" t="s">
        <v>1412</v>
      </c>
    </row>
    <row r="205" spans="1:47" x14ac:dyDescent="0.45">
      <c r="A205" s="154">
        <v>2505750076</v>
      </c>
      <c r="B205" s="154">
        <v>57</v>
      </c>
      <c r="C205" s="154" t="s">
        <v>1551</v>
      </c>
      <c r="D205" s="154">
        <v>57</v>
      </c>
      <c r="E205" s="154" t="s">
        <v>1552</v>
      </c>
      <c r="F205" s="154" t="s">
        <v>1869</v>
      </c>
      <c r="G205" s="154" t="s">
        <v>1870</v>
      </c>
      <c r="H205" s="154">
        <v>2</v>
      </c>
      <c r="I205" s="154" t="s">
        <v>288</v>
      </c>
      <c r="J205" s="154" t="s">
        <v>1403</v>
      </c>
      <c r="K205" s="154">
        <v>2025</v>
      </c>
      <c r="L205" s="155">
        <v>2025</v>
      </c>
      <c r="M205" s="156">
        <v>45543</v>
      </c>
      <c r="N205" s="154" t="s">
        <v>36</v>
      </c>
      <c r="O205" s="154" t="s">
        <v>94</v>
      </c>
      <c r="P205" s="154">
        <v>273</v>
      </c>
      <c r="Q205" s="154" t="s">
        <v>1506</v>
      </c>
      <c r="R205" s="154">
        <v>2</v>
      </c>
      <c r="S205" s="154">
        <v>8</v>
      </c>
      <c r="T205" s="154" t="s">
        <v>1503</v>
      </c>
      <c r="U205" s="154">
        <v>6</v>
      </c>
      <c r="V205" s="155">
        <v>2580093</v>
      </c>
      <c r="W205" s="155">
        <v>0</v>
      </c>
      <c r="X205" s="155" t="s">
        <v>1406</v>
      </c>
      <c r="Y205" s="154"/>
      <c r="Z205" s="154" t="s">
        <v>32</v>
      </c>
      <c r="AA205" s="156">
        <v>45645</v>
      </c>
      <c r="AB205" s="154">
        <v>25</v>
      </c>
      <c r="AC205" s="154">
        <v>80093</v>
      </c>
      <c r="AD205" s="154">
        <v>57</v>
      </c>
      <c r="AE205" s="154" t="s">
        <v>1551</v>
      </c>
      <c r="AF205" s="154">
        <v>57</v>
      </c>
      <c r="AG205" s="154" t="s">
        <v>1552</v>
      </c>
      <c r="AH205" s="154" t="s">
        <v>36</v>
      </c>
      <c r="AI205" s="154" t="s">
        <v>94</v>
      </c>
      <c r="AJ205" s="154">
        <v>273</v>
      </c>
      <c r="AK205" s="154" t="s">
        <v>1407</v>
      </c>
      <c r="AL205" s="154">
        <v>28124</v>
      </c>
      <c r="AM205" s="154" t="s">
        <v>1414</v>
      </c>
      <c r="AN205" s="154" t="s">
        <v>1483</v>
      </c>
      <c r="AO205" s="154">
        <v>28</v>
      </c>
      <c r="AP205" s="154" t="s">
        <v>1416</v>
      </c>
      <c r="AQ205" s="154">
        <v>0</v>
      </c>
      <c r="AR205" s="154" t="s">
        <v>1410</v>
      </c>
      <c r="AS205" s="154"/>
      <c r="AT205" s="154" t="s">
        <v>1417</v>
      </c>
      <c r="AU205" s="154" t="s">
        <v>1412</v>
      </c>
    </row>
    <row r="206" spans="1:47" x14ac:dyDescent="0.45">
      <c r="A206" s="154">
        <v>2505750077</v>
      </c>
      <c r="B206" s="154">
        <v>57</v>
      </c>
      <c r="C206" s="154" t="s">
        <v>1551</v>
      </c>
      <c r="D206" s="154">
        <v>57</v>
      </c>
      <c r="E206" s="154" t="s">
        <v>1552</v>
      </c>
      <c r="F206" s="154" t="s">
        <v>1872</v>
      </c>
      <c r="G206" s="154" t="s">
        <v>1873</v>
      </c>
      <c r="H206" s="154">
        <v>2</v>
      </c>
      <c r="I206" s="154" t="s">
        <v>288</v>
      </c>
      <c r="J206" s="154" t="s">
        <v>1403</v>
      </c>
      <c r="K206" s="154">
        <v>2025</v>
      </c>
      <c r="L206" s="155">
        <v>2025</v>
      </c>
      <c r="M206" s="156">
        <v>45543</v>
      </c>
      <c r="N206" s="154" t="s">
        <v>36</v>
      </c>
      <c r="O206" s="154" t="s">
        <v>94</v>
      </c>
      <c r="P206" s="154">
        <v>971</v>
      </c>
      <c r="Q206" s="154" t="s">
        <v>1555</v>
      </c>
      <c r="R206" s="154">
        <v>2</v>
      </c>
      <c r="S206" s="154">
        <v>8</v>
      </c>
      <c r="T206" s="154" t="s">
        <v>1503</v>
      </c>
      <c r="U206" s="154">
        <v>6</v>
      </c>
      <c r="V206" s="155">
        <v>2580008</v>
      </c>
      <c r="W206" s="155">
        <v>0</v>
      </c>
      <c r="X206" s="155" t="s">
        <v>1406</v>
      </c>
      <c r="Y206" s="154"/>
      <c r="Z206" s="154" t="s">
        <v>32</v>
      </c>
      <c r="AA206" s="156">
        <v>45569</v>
      </c>
      <c r="AB206" s="154">
        <v>25</v>
      </c>
      <c r="AC206" s="154">
        <v>80008</v>
      </c>
      <c r="AD206" s="154">
        <v>57</v>
      </c>
      <c r="AE206" s="154" t="s">
        <v>1551</v>
      </c>
      <c r="AF206" s="154">
        <v>57</v>
      </c>
      <c r="AG206" s="154" t="s">
        <v>1552</v>
      </c>
      <c r="AH206" s="154" t="s">
        <v>36</v>
      </c>
      <c r="AI206" s="154" t="s">
        <v>94</v>
      </c>
      <c r="AJ206" s="154">
        <v>971</v>
      </c>
      <c r="AK206" s="154" t="s">
        <v>1407</v>
      </c>
      <c r="AL206" s="154">
        <v>28124</v>
      </c>
      <c r="AM206" s="154" t="s">
        <v>1414</v>
      </c>
      <c r="AN206" s="154" t="s">
        <v>1483</v>
      </c>
      <c r="AO206" s="154">
        <v>28</v>
      </c>
      <c r="AP206" s="154" t="s">
        <v>1416</v>
      </c>
      <c r="AQ206" s="154">
        <v>0</v>
      </c>
      <c r="AR206" s="154" t="s">
        <v>1410</v>
      </c>
      <c r="AS206" s="154"/>
      <c r="AT206" s="154" t="s">
        <v>1417</v>
      </c>
      <c r="AU206" s="154" t="s">
        <v>1412</v>
      </c>
    </row>
    <row r="207" spans="1:47" x14ac:dyDescent="0.45">
      <c r="A207" s="154">
        <v>2505750078</v>
      </c>
      <c r="B207" s="154">
        <v>57</v>
      </c>
      <c r="C207" s="154" t="s">
        <v>1551</v>
      </c>
      <c r="D207" s="154">
        <v>57</v>
      </c>
      <c r="E207" s="154" t="s">
        <v>1552</v>
      </c>
      <c r="F207" s="154" t="s">
        <v>1874</v>
      </c>
      <c r="G207" s="154" t="s">
        <v>1875</v>
      </c>
      <c r="H207" s="154">
        <v>2</v>
      </c>
      <c r="I207" s="154" t="s">
        <v>1876</v>
      </c>
      <c r="J207" s="154" t="s">
        <v>1403</v>
      </c>
      <c r="K207" s="154">
        <v>2025</v>
      </c>
      <c r="L207" s="155">
        <v>2025</v>
      </c>
      <c r="M207" s="156">
        <v>45543</v>
      </c>
      <c r="N207" s="154" t="s">
        <v>36</v>
      </c>
      <c r="O207" s="154">
        <v>57</v>
      </c>
      <c r="P207" s="154">
        <v>1044</v>
      </c>
      <c r="Q207" s="154" t="s">
        <v>1476</v>
      </c>
      <c r="R207" s="154">
        <v>2</v>
      </c>
      <c r="S207" s="154">
        <v>3</v>
      </c>
      <c r="T207" s="154" t="s">
        <v>1477</v>
      </c>
      <c r="U207" s="154">
        <v>4</v>
      </c>
      <c r="V207" s="155">
        <v>2580071</v>
      </c>
      <c r="W207" s="155">
        <v>0</v>
      </c>
      <c r="X207" s="155" t="s">
        <v>1406</v>
      </c>
      <c r="Y207" s="154"/>
      <c r="Z207" s="154" t="s">
        <v>32</v>
      </c>
      <c r="AA207" s="156">
        <v>45621</v>
      </c>
      <c r="AB207" s="154">
        <v>25</v>
      </c>
      <c r="AC207" s="154">
        <v>80071</v>
      </c>
      <c r="AD207" s="154">
        <v>57</v>
      </c>
      <c r="AE207" s="154" t="s">
        <v>1551</v>
      </c>
      <c r="AF207" s="154">
        <v>57</v>
      </c>
      <c r="AG207" s="154" t="s">
        <v>1552</v>
      </c>
      <c r="AH207" s="154" t="s">
        <v>36</v>
      </c>
      <c r="AI207" s="154">
        <v>57</v>
      </c>
      <c r="AJ207" s="154">
        <v>1044</v>
      </c>
      <c r="AK207" s="154" t="s">
        <v>1407</v>
      </c>
      <c r="AL207" s="154">
        <v>19054</v>
      </c>
      <c r="AM207" s="154" t="s">
        <v>1421</v>
      </c>
      <c r="AN207" s="154" t="s">
        <v>2801</v>
      </c>
      <c r="AO207" s="154">
        <v>19</v>
      </c>
      <c r="AP207" s="154" t="s">
        <v>2802</v>
      </c>
      <c r="AQ207" s="154">
        <v>0</v>
      </c>
      <c r="AR207" s="154" t="s">
        <v>1410</v>
      </c>
      <c r="AS207" s="154"/>
      <c r="AT207" s="154" t="s">
        <v>1417</v>
      </c>
      <c r="AU207" s="154" t="s">
        <v>1412</v>
      </c>
    </row>
    <row r="208" spans="1:47" x14ac:dyDescent="0.45">
      <c r="A208" s="154">
        <v>2505750079</v>
      </c>
      <c r="B208" s="154">
        <v>57</v>
      </c>
      <c r="C208" s="154" t="s">
        <v>1551</v>
      </c>
      <c r="D208" s="154">
        <v>57</v>
      </c>
      <c r="E208" s="154" t="s">
        <v>1552</v>
      </c>
      <c r="F208" s="154" t="s">
        <v>1877</v>
      </c>
      <c r="G208" s="154" t="s">
        <v>1878</v>
      </c>
      <c r="H208" s="154">
        <v>1</v>
      </c>
      <c r="I208" s="154" t="s">
        <v>182</v>
      </c>
      <c r="J208" s="154" t="s">
        <v>1403</v>
      </c>
      <c r="K208" s="154">
        <v>2025</v>
      </c>
      <c r="L208" s="155">
        <v>2025</v>
      </c>
      <c r="M208" s="156">
        <v>45541</v>
      </c>
      <c r="N208" s="154" t="s">
        <v>36</v>
      </c>
      <c r="O208" s="154">
        <v>7</v>
      </c>
      <c r="P208" s="154">
        <v>266</v>
      </c>
      <c r="Q208" s="154" t="s">
        <v>1526</v>
      </c>
      <c r="R208" s="154">
        <v>2</v>
      </c>
      <c r="S208" s="154">
        <v>1</v>
      </c>
      <c r="T208" s="154" t="s">
        <v>1527</v>
      </c>
      <c r="U208" s="154">
        <v>3</v>
      </c>
      <c r="V208" s="155">
        <v>2580092</v>
      </c>
      <c r="W208" s="155">
        <v>0</v>
      </c>
      <c r="X208" s="155" t="s">
        <v>1406</v>
      </c>
      <c r="Y208" s="154"/>
      <c r="Z208" s="154" t="s">
        <v>32</v>
      </c>
      <c r="AA208" s="156">
        <v>45645</v>
      </c>
      <c r="AB208" s="154">
        <v>25</v>
      </c>
      <c r="AC208" s="154">
        <v>80092</v>
      </c>
      <c r="AD208" s="154">
        <v>57</v>
      </c>
      <c r="AE208" s="154" t="s">
        <v>1551</v>
      </c>
      <c r="AF208" s="154">
        <v>57</v>
      </c>
      <c r="AG208" s="154" t="s">
        <v>1552</v>
      </c>
      <c r="AH208" s="154" t="s">
        <v>36</v>
      </c>
      <c r="AI208" s="154">
        <v>7</v>
      </c>
      <c r="AJ208" s="154">
        <v>266</v>
      </c>
      <c r="AK208" s="154" t="s">
        <v>1407</v>
      </c>
      <c r="AL208" s="154">
        <v>28009</v>
      </c>
      <c r="AM208" s="154" t="s">
        <v>1418</v>
      </c>
      <c r="AN208" s="154" t="s">
        <v>1607</v>
      </c>
      <c r="AO208" s="154">
        <v>28</v>
      </c>
      <c r="AP208" s="154" t="s">
        <v>1416</v>
      </c>
      <c r="AQ208" s="154">
        <v>0</v>
      </c>
      <c r="AR208" s="154" t="s">
        <v>1410</v>
      </c>
      <c r="AS208" s="154"/>
      <c r="AT208" s="154" t="s">
        <v>1417</v>
      </c>
      <c r="AU208" s="154" t="s">
        <v>1412</v>
      </c>
    </row>
    <row r="209" spans="1:47" x14ac:dyDescent="0.45">
      <c r="A209" s="154">
        <v>2505750081</v>
      </c>
      <c r="B209" s="154">
        <v>57</v>
      </c>
      <c r="C209" s="154" t="s">
        <v>1551</v>
      </c>
      <c r="D209" s="154">
        <v>57</v>
      </c>
      <c r="E209" s="154" t="s">
        <v>1552</v>
      </c>
      <c r="F209" s="154" t="s">
        <v>1881</v>
      </c>
      <c r="G209" s="154" t="s">
        <v>1882</v>
      </c>
      <c r="H209" s="154">
        <v>2</v>
      </c>
      <c r="I209" s="154" t="s">
        <v>1883</v>
      </c>
      <c r="J209" s="154" t="s">
        <v>1403</v>
      </c>
      <c r="K209" s="154">
        <v>2025</v>
      </c>
      <c r="L209" s="155">
        <v>2025</v>
      </c>
      <c r="M209" s="156">
        <v>45543</v>
      </c>
      <c r="N209" s="154" t="s">
        <v>36</v>
      </c>
      <c r="O209" s="154">
        <v>57</v>
      </c>
      <c r="P209" s="154">
        <v>1756</v>
      </c>
      <c r="Q209" s="154" t="s">
        <v>2784</v>
      </c>
      <c r="R209" s="154">
        <v>2</v>
      </c>
      <c r="S209" s="154">
        <v>3</v>
      </c>
      <c r="T209" s="154" t="s">
        <v>1477</v>
      </c>
      <c r="U209" s="154">
        <v>4</v>
      </c>
      <c r="V209" s="155">
        <v>2580087</v>
      </c>
      <c r="W209" s="155">
        <v>0</v>
      </c>
      <c r="X209" s="155" t="s">
        <v>1406</v>
      </c>
      <c r="Y209" s="154"/>
      <c r="Z209" s="154" t="s">
        <v>32</v>
      </c>
      <c r="AA209" s="156">
        <v>45639</v>
      </c>
      <c r="AB209" s="154">
        <v>25</v>
      </c>
      <c r="AC209" s="154">
        <v>80087</v>
      </c>
      <c r="AD209" s="154">
        <v>57</v>
      </c>
      <c r="AE209" s="154" t="s">
        <v>1551</v>
      </c>
      <c r="AF209" s="154">
        <v>57</v>
      </c>
      <c r="AG209" s="154" t="s">
        <v>1552</v>
      </c>
      <c r="AH209" s="154" t="s">
        <v>36</v>
      </c>
      <c r="AI209" s="154">
        <v>57</v>
      </c>
      <c r="AJ209" s="154">
        <v>1756</v>
      </c>
      <c r="AK209" s="154" t="s">
        <v>1410</v>
      </c>
      <c r="AL209" s="154">
        <v>28254</v>
      </c>
      <c r="AM209" s="154" t="s">
        <v>1421</v>
      </c>
      <c r="AN209" s="154" t="s">
        <v>1638</v>
      </c>
      <c r="AO209" s="154">
        <v>28</v>
      </c>
      <c r="AP209" s="154" t="s">
        <v>1416</v>
      </c>
      <c r="AQ209" s="154">
        <v>0</v>
      </c>
      <c r="AR209" s="154" t="s">
        <v>1410</v>
      </c>
      <c r="AS209" s="154"/>
      <c r="AT209" s="154" t="s">
        <v>1417</v>
      </c>
      <c r="AU209" s="154" t="s">
        <v>1412</v>
      </c>
    </row>
    <row r="210" spans="1:47" x14ac:dyDescent="0.45">
      <c r="A210" s="154">
        <v>2505750082</v>
      </c>
      <c r="B210" s="154">
        <v>57</v>
      </c>
      <c r="C210" s="154" t="s">
        <v>1551</v>
      </c>
      <c r="D210" s="154">
        <v>57</v>
      </c>
      <c r="E210" s="154" t="s">
        <v>1552</v>
      </c>
      <c r="F210" s="154" t="s">
        <v>1884</v>
      </c>
      <c r="G210" s="154" t="s">
        <v>1885</v>
      </c>
      <c r="H210" s="154">
        <v>1</v>
      </c>
      <c r="I210" s="154" t="s">
        <v>1886</v>
      </c>
      <c r="J210" s="154" t="s">
        <v>1403</v>
      </c>
      <c r="K210" s="154">
        <v>2025</v>
      </c>
      <c r="L210" s="155">
        <v>2025</v>
      </c>
      <c r="M210" s="156">
        <v>45587</v>
      </c>
      <c r="N210" s="154" t="s">
        <v>36</v>
      </c>
      <c r="O210" s="154">
        <v>58</v>
      </c>
      <c r="P210" s="154">
        <v>428</v>
      </c>
      <c r="Q210" s="154" t="s">
        <v>1463</v>
      </c>
      <c r="R210" s="154">
        <v>2</v>
      </c>
      <c r="S210" s="154">
        <v>2</v>
      </c>
      <c r="T210" s="154" t="s">
        <v>1464</v>
      </c>
      <c r="U210" s="154">
        <v>1</v>
      </c>
      <c r="V210" s="155">
        <v>2580045</v>
      </c>
      <c r="W210" s="155">
        <v>0</v>
      </c>
      <c r="X210" s="155" t="s">
        <v>1406</v>
      </c>
      <c r="Y210" s="154"/>
      <c r="Z210" s="154" t="s">
        <v>32</v>
      </c>
      <c r="AA210" s="156">
        <v>45601</v>
      </c>
      <c r="AB210" s="154">
        <v>25</v>
      </c>
      <c r="AC210" s="154">
        <v>80045</v>
      </c>
      <c r="AD210" s="154">
        <v>57</v>
      </c>
      <c r="AE210" s="154" t="s">
        <v>1551</v>
      </c>
      <c r="AF210" s="154">
        <v>57</v>
      </c>
      <c r="AG210" s="154" t="s">
        <v>1552</v>
      </c>
      <c r="AH210" s="154" t="s">
        <v>36</v>
      </c>
      <c r="AI210" s="154">
        <v>58</v>
      </c>
      <c r="AJ210" s="154">
        <v>428</v>
      </c>
      <c r="AK210" s="154" t="s">
        <v>1407</v>
      </c>
      <c r="AL210" s="154">
        <v>28009</v>
      </c>
      <c r="AM210" s="154" t="s">
        <v>1418</v>
      </c>
      <c r="AN210" s="154" t="s">
        <v>1607</v>
      </c>
      <c r="AO210" s="154">
        <v>28</v>
      </c>
      <c r="AP210" s="154" t="s">
        <v>1416</v>
      </c>
      <c r="AQ210" s="154">
        <v>0</v>
      </c>
      <c r="AR210" s="154" t="s">
        <v>1410</v>
      </c>
      <c r="AS210" s="154"/>
      <c r="AT210" s="154" t="s">
        <v>1417</v>
      </c>
      <c r="AU210" s="154" t="s">
        <v>1412</v>
      </c>
    </row>
    <row r="211" spans="1:47" x14ac:dyDescent="0.45">
      <c r="A211" s="154">
        <v>2505750083</v>
      </c>
      <c r="B211" s="154">
        <v>57</v>
      </c>
      <c r="C211" s="154" t="s">
        <v>1551</v>
      </c>
      <c r="D211" s="154">
        <v>57</v>
      </c>
      <c r="E211" s="154" t="s">
        <v>1552</v>
      </c>
      <c r="F211" s="154" t="s">
        <v>1888</v>
      </c>
      <c r="G211" s="154" t="s">
        <v>1889</v>
      </c>
      <c r="H211" s="154">
        <v>2</v>
      </c>
      <c r="I211" s="154" t="s">
        <v>421</v>
      </c>
      <c r="J211" s="154" t="s">
        <v>1403</v>
      </c>
      <c r="K211" s="154">
        <v>2025</v>
      </c>
      <c r="L211" s="155">
        <v>2025</v>
      </c>
      <c r="M211" s="156">
        <v>45567</v>
      </c>
      <c r="N211" s="154" t="s">
        <v>36</v>
      </c>
      <c r="O211" s="154">
        <v>6</v>
      </c>
      <c r="P211" s="154">
        <v>488</v>
      </c>
      <c r="Q211" s="154" t="s">
        <v>1553</v>
      </c>
      <c r="R211" s="154">
        <v>2</v>
      </c>
      <c r="S211" s="154">
        <v>1</v>
      </c>
      <c r="T211" s="154" t="s">
        <v>1527</v>
      </c>
      <c r="U211" s="154">
        <v>3</v>
      </c>
      <c r="V211" s="155">
        <v>2580105</v>
      </c>
      <c r="W211" s="155">
        <v>0</v>
      </c>
      <c r="X211" s="155" t="s">
        <v>1406</v>
      </c>
      <c r="Y211" s="154"/>
      <c r="Z211" s="154" t="s">
        <v>32</v>
      </c>
      <c r="AA211" s="156">
        <v>45666</v>
      </c>
      <c r="AB211" s="154">
        <v>25</v>
      </c>
      <c r="AC211" s="154">
        <v>80105</v>
      </c>
      <c r="AD211" s="154">
        <v>57</v>
      </c>
      <c r="AE211" s="154" t="s">
        <v>1551</v>
      </c>
      <c r="AF211" s="154">
        <v>57</v>
      </c>
      <c r="AG211" s="154" t="s">
        <v>1552</v>
      </c>
      <c r="AH211" s="154" t="s">
        <v>36</v>
      </c>
      <c r="AI211" s="154">
        <v>6</v>
      </c>
      <c r="AJ211" s="154">
        <v>488</v>
      </c>
      <c r="AK211" s="154" t="s">
        <v>1407</v>
      </c>
      <c r="AL211" s="154">
        <v>28207</v>
      </c>
      <c r="AM211" s="154" t="s">
        <v>1414</v>
      </c>
      <c r="AN211" s="154" t="s">
        <v>1579</v>
      </c>
      <c r="AO211" s="154">
        <v>28</v>
      </c>
      <c r="AP211" s="154" t="s">
        <v>1416</v>
      </c>
      <c r="AQ211" s="154">
        <v>0</v>
      </c>
      <c r="AR211" s="154" t="s">
        <v>1410</v>
      </c>
      <c r="AS211" s="154"/>
      <c r="AT211" s="154" t="s">
        <v>1417</v>
      </c>
      <c r="AU211" s="154" t="s">
        <v>1412</v>
      </c>
    </row>
    <row r="212" spans="1:47" x14ac:dyDescent="0.45">
      <c r="A212" s="154">
        <v>2505750085</v>
      </c>
      <c r="B212" s="154">
        <v>57</v>
      </c>
      <c r="C212" s="154" t="s">
        <v>1551</v>
      </c>
      <c r="D212" s="154">
        <v>57</v>
      </c>
      <c r="E212" s="154" t="s">
        <v>1552</v>
      </c>
      <c r="F212" s="154" t="s">
        <v>1894</v>
      </c>
      <c r="G212" s="154" t="s">
        <v>1895</v>
      </c>
      <c r="H212" s="154">
        <v>1</v>
      </c>
      <c r="I212" s="154" t="s">
        <v>1896</v>
      </c>
      <c r="J212" s="154" t="s">
        <v>1403</v>
      </c>
      <c r="K212" s="154">
        <v>2025</v>
      </c>
      <c r="L212" s="155">
        <v>2025</v>
      </c>
      <c r="M212" s="156">
        <v>45545</v>
      </c>
      <c r="N212" s="154" t="s">
        <v>36</v>
      </c>
      <c r="O212" s="154">
        <v>6</v>
      </c>
      <c r="P212" s="154">
        <v>448</v>
      </c>
      <c r="Q212" s="154" t="s">
        <v>1557</v>
      </c>
      <c r="R212" s="154">
        <v>2</v>
      </c>
      <c r="S212" s="154">
        <v>1</v>
      </c>
      <c r="T212" s="154" t="s">
        <v>1527</v>
      </c>
      <c r="U212" s="154">
        <v>3</v>
      </c>
      <c r="V212" s="155">
        <v>0</v>
      </c>
      <c r="W212" s="155">
        <v>0</v>
      </c>
      <c r="X212" s="155" t="s">
        <v>1406</v>
      </c>
      <c r="Y212" s="156">
        <v>45597</v>
      </c>
      <c r="Z212" s="154" t="s">
        <v>32</v>
      </c>
      <c r="AA212" s="154"/>
      <c r="AB212" s="154">
        <v>0</v>
      </c>
      <c r="AC212" s="154">
        <v>0</v>
      </c>
      <c r="AD212" s="154">
        <v>0</v>
      </c>
      <c r="AE212" s="154" t="s">
        <v>1446</v>
      </c>
      <c r="AF212" s="154"/>
      <c r="AG212" s="154" t="s">
        <v>1446</v>
      </c>
      <c r="AH212" s="154"/>
      <c r="AI212" s="154"/>
      <c r="AJ212" s="154">
        <v>0</v>
      </c>
      <c r="AK212" s="154" t="s">
        <v>1410</v>
      </c>
      <c r="AL212" s="154">
        <v>28030</v>
      </c>
      <c r="AM212" s="154" t="s">
        <v>1418</v>
      </c>
      <c r="AN212" s="154" t="s">
        <v>1566</v>
      </c>
      <c r="AO212" s="154">
        <v>28</v>
      </c>
      <c r="AP212" s="154" t="s">
        <v>1416</v>
      </c>
      <c r="AQ212" s="154">
        <v>0</v>
      </c>
      <c r="AR212" s="154" t="s">
        <v>1410</v>
      </c>
      <c r="AS212" s="154"/>
      <c r="AT212" s="154" t="s">
        <v>1417</v>
      </c>
      <c r="AU212" s="154" t="s">
        <v>1412</v>
      </c>
    </row>
    <row r="213" spans="1:47" x14ac:dyDescent="0.45">
      <c r="A213" s="154">
        <v>2505750086</v>
      </c>
      <c r="B213" s="154">
        <v>57</v>
      </c>
      <c r="C213" s="154" t="s">
        <v>1551</v>
      </c>
      <c r="D213" s="154">
        <v>57</v>
      </c>
      <c r="E213" s="154" t="s">
        <v>1552</v>
      </c>
      <c r="F213" s="154" t="s">
        <v>1899</v>
      </c>
      <c r="G213" s="154" t="s">
        <v>1900</v>
      </c>
      <c r="H213" s="154">
        <v>2</v>
      </c>
      <c r="I213" s="154" t="s">
        <v>1901</v>
      </c>
      <c r="J213" s="154" t="s">
        <v>1359</v>
      </c>
      <c r="K213" s="154">
        <v>2025</v>
      </c>
      <c r="L213" s="155">
        <v>2025</v>
      </c>
      <c r="M213" s="156">
        <v>45560</v>
      </c>
      <c r="N213" s="154" t="s">
        <v>36</v>
      </c>
      <c r="O213" s="154" t="s">
        <v>135</v>
      </c>
      <c r="P213" s="154">
        <v>1757</v>
      </c>
      <c r="Q213" s="154" t="s">
        <v>2803</v>
      </c>
      <c r="R213" s="154">
        <v>2</v>
      </c>
      <c r="S213" s="154">
        <v>5</v>
      </c>
      <c r="T213" s="154" t="s">
        <v>1470</v>
      </c>
      <c r="U213" s="154">
        <v>15</v>
      </c>
      <c r="V213" s="155">
        <v>2580018</v>
      </c>
      <c r="W213" s="155">
        <v>0</v>
      </c>
      <c r="X213" s="155" t="s">
        <v>1406</v>
      </c>
      <c r="Y213" s="154"/>
      <c r="Z213" s="154" t="s">
        <v>32</v>
      </c>
      <c r="AA213" s="156">
        <v>45576</v>
      </c>
      <c r="AB213" s="154">
        <v>25</v>
      </c>
      <c r="AC213" s="154">
        <v>80018</v>
      </c>
      <c r="AD213" s="154">
        <v>57</v>
      </c>
      <c r="AE213" s="154" t="s">
        <v>1551</v>
      </c>
      <c r="AF213" s="154">
        <v>57</v>
      </c>
      <c r="AG213" s="154" t="s">
        <v>1552</v>
      </c>
      <c r="AH213" s="154" t="s">
        <v>36</v>
      </c>
      <c r="AI213" s="154" t="s">
        <v>135</v>
      </c>
      <c r="AJ213" s="154">
        <v>1757</v>
      </c>
      <c r="AK213" s="154" t="s">
        <v>1407</v>
      </c>
      <c r="AL213" s="154">
        <v>30010</v>
      </c>
      <c r="AM213" s="154" t="s">
        <v>1421</v>
      </c>
      <c r="AN213" s="154" t="s">
        <v>2804</v>
      </c>
      <c r="AO213" s="154">
        <v>30</v>
      </c>
      <c r="AP213" s="154" t="s">
        <v>1420</v>
      </c>
      <c r="AQ213" s="154">
        <v>0</v>
      </c>
      <c r="AR213" s="154" t="s">
        <v>1410</v>
      </c>
      <c r="AS213" s="154"/>
      <c r="AT213" s="154" t="s">
        <v>1417</v>
      </c>
      <c r="AU213" s="154" t="s">
        <v>1412</v>
      </c>
    </row>
    <row r="214" spans="1:47" x14ac:dyDescent="0.45">
      <c r="A214" s="154">
        <v>2505750087</v>
      </c>
      <c r="B214" s="154">
        <v>57</v>
      </c>
      <c r="C214" s="154" t="s">
        <v>1551</v>
      </c>
      <c r="D214" s="154">
        <v>57</v>
      </c>
      <c r="E214" s="154" t="s">
        <v>1552</v>
      </c>
      <c r="F214" s="154" t="s">
        <v>1902</v>
      </c>
      <c r="G214" s="154" t="s">
        <v>1903</v>
      </c>
      <c r="H214" s="154">
        <v>1</v>
      </c>
      <c r="I214" s="154" t="s">
        <v>1904</v>
      </c>
      <c r="J214" s="154" t="s">
        <v>1403</v>
      </c>
      <c r="K214" s="154">
        <v>2025</v>
      </c>
      <c r="L214" s="155">
        <v>2025</v>
      </c>
      <c r="M214" s="156">
        <v>45595</v>
      </c>
      <c r="N214" s="154" t="s">
        <v>36</v>
      </c>
      <c r="O214" s="154">
        <v>58</v>
      </c>
      <c r="P214" s="154">
        <v>427</v>
      </c>
      <c r="Q214" s="154" t="s">
        <v>1479</v>
      </c>
      <c r="R214" s="154">
        <v>2</v>
      </c>
      <c r="S214" s="154">
        <v>2</v>
      </c>
      <c r="T214" s="154" t="s">
        <v>1464</v>
      </c>
      <c r="U214" s="154">
        <v>1</v>
      </c>
      <c r="V214" s="155">
        <v>2580145</v>
      </c>
      <c r="W214" s="155">
        <v>0</v>
      </c>
      <c r="X214" s="155" t="s">
        <v>1406</v>
      </c>
      <c r="Y214" s="154"/>
      <c r="Z214" s="154" t="s">
        <v>32</v>
      </c>
      <c r="AA214" s="156">
        <v>45705</v>
      </c>
      <c r="AB214" s="154">
        <v>25</v>
      </c>
      <c r="AC214" s="154">
        <v>80145</v>
      </c>
      <c r="AD214" s="154">
        <v>57</v>
      </c>
      <c r="AE214" s="154" t="s">
        <v>1551</v>
      </c>
      <c r="AF214" s="154">
        <v>57</v>
      </c>
      <c r="AG214" s="154" t="s">
        <v>1552</v>
      </c>
      <c r="AH214" s="154" t="s">
        <v>36</v>
      </c>
      <c r="AI214" s="154">
        <v>58</v>
      </c>
      <c r="AJ214" s="154">
        <v>427</v>
      </c>
      <c r="AK214" s="154" t="s">
        <v>1473</v>
      </c>
      <c r="AL214" s="154">
        <v>28120</v>
      </c>
      <c r="AM214" s="154" t="s">
        <v>1418</v>
      </c>
      <c r="AN214" s="154" t="s">
        <v>1593</v>
      </c>
      <c r="AO214" s="154">
        <v>28</v>
      </c>
      <c r="AP214" s="154" t="s">
        <v>1416</v>
      </c>
      <c r="AQ214" s="154">
        <v>0</v>
      </c>
      <c r="AR214" s="154" t="s">
        <v>1410</v>
      </c>
      <c r="AS214" s="154"/>
      <c r="AT214" s="154" t="s">
        <v>1417</v>
      </c>
      <c r="AU214" s="154" t="s">
        <v>1412</v>
      </c>
    </row>
    <row r="215" spans="1:47" x14ac:dyDescent="0.45">
      <c r="A215" s="154">
        <v>2505750088</v>
      </c>
      <c r="B215" s="154">
        <v>57</v>
      </c>
      <c r="C215" s="154" t="s">
        <v>1551</v>
      </c>
      <c r="D215" s="154">
        <v>57</v>
      </c>
      <c r="E215" s="154" t="s">
        <v>1552</v>
      </c>
      <c r="F215" s="154" t="s">
        <v>1905</v>
      </c>
      <c r="G215" s="154" t="s">
        <v>1906</v>
      </c>
      <c r="H215" s="154">
        <v>1</v>
      </c>
      <c r="I215" s="154" t="s">
        <v>1738</v>
      </c>
      <c r="J215" s="154" t="s">
        <v>1403</v>
      </c>
      <c r="K215" s="154">
        <v>2025</v>
      </c>
      <c r="L215" s="155">
        <v>2025</v>
      </c>
      <c r="M215" s="156">
        <v>45591</v>
      </c>
      <c r="N215" s="154" t="s">
        <v>36</v>
      </c>
      <c r="O215" s="154">
        <v>58</v>
      </c>
      <c r="P215" s="154">
        <v>428</v>
      </c>
      <c r="Q215" s="154" t="s">
        <v>1463</v>
      </c>
      <c r="R215" s="154">
        <v>2</v>
      </c>
      <c r="S215" s="154">
        <v>2</v>
      </c>
      <c r="T215" s="154" t="s">
        <v>1464</v>
      </c>
      <c r="U215" s="154">
        <v>1</v>
      </c>
      <c r="V215" s="155">
        <v>2580058</v>
      </c>
      <c r="W215" s="155">
        <v>0</v>
      </c>
      <c r="X215" s="155" t="s">
        <v>1406</v>
      </c>
      <c r="Y215" s="154"/>
      <c r="Z215" s="154" t="s">
        <v>32</v>
      </c>
      <c r="AA215" s="156">
        <v>45609</v>
      </c>
      <c r="AB215" s="154">
        <v>25</v>
      </c>
      <c r="AC215" s="154">
        <v>80058</v>
      </c>
      <c r="AD215" s="154">
        <v>57</v>
      </c>
      <c r="AE215" s="154" t="s">
        <v>1551</v>
      </c>
      <c r="AF215" s="154">
        <v>57</v>
      </c>
      <c r="AG215" s="154" t="s">
        <v>1552</v>
      </c>
      <c r="AH215" s="154" t="s">
        <v>36</v>
      </c>
      <c r="AI215" s="154">
        <v>58</v>
      </c>
      <c r="AJ215" s="154">
        <v>428</v>
      </c>
      <c r="AK215" s="154" t="s">
        <v>1407</v>
      </c>
      <c r="AL215" s="154">
        <v>28120</v>
      </c>
      <c r="AM215" s="154" t="s">
        <v>1418</v>
      </c>
      <c r="AN215" s="154" t="s">
        <v>1593</v>
      </c>
      <c r="AO215" s="154">
        <v>28</v>
      </c>
      <c r="AP215" s="154" t="s">
        <v>1416</v>
      </c>
      <c r="AQ215" s="154">
        <v>0</v>
      </c>
      <c r="AR215" s="154" t="s">
        <v>1410</v>
      </c>
      <c r="AS215" s="154"/>
      <c r="AT215" s="154" t="s">
        <v>1417</v>
      </c>
      <c r="AU215" s="154" t="s">
        <v>1412</v>
      </c>
    </row>
    <row r="216" spans="1:47" x14ac:dyDescent="0.45">
      <c r="A216" s="154">
        <v>2505750089</v>
      </c>
      <c r="B216" s="154">
        <v>57</v>
      </c>
      <c r="C216" s="154" t="s">
        <v>1551</v>
      </c>
      <c r="D216" s="154">
        <v>57</v>
      </c>
      <c r="E216" s="154" t="s">
        <v>1552</v>
      </c>
      <c r="F216" s="154" t="s">
        <v>1907</v>
      </c>
      <c r="G216" s="154" t="s">
        <v>1908</v>
      </c>
      <c r="H216" s="154">
        <v>2</v>
      </c>
      <c r="I216" s="154" t="s">
        <v>1909</v>
      </c>
      <c r="J216" s="154" t="s">
        <v>1403</v>
      </c>
      <c r="K216" s="154">
        <v>2025</v>
      </c>
      <c r="L216" s="155">
        <v>2025</v>
      </c>
      <c r="M216" s="156">
        <v>45564</v>
      </c>
      <c r="N216" s="154" t="s">
        <v>36</v>
      </c>
      <c r="O216" s="154" t="s">
        <v>135</v>
      </c>
      <c r="P216" s="154">
        <v>502</v>
      </c>
      <c r="Q216" s="154" t="s">
        <v>1500</v>
      </c>
      <c r="R216" s="154">
        <v>2</v>
      </c>
      <c r="S216" s="154">
        <v>5</v>
      </c>
      <c r="T216" s="154" t="s">
        <v>1470</v>
      </c>
      <c r="U216" s="154">
        <v>15</v>
      </c>
      <c r="V216" s="155">
        <v>2580031</v>
      </c>
      <c r="W216" s="155">
        <v>0</v>
      </c>
      <c r="X216" s="155" t="s">
        <v>1406</v>
      </c>
      <c r="Y216" s="154"/>
      <c r="Z216" s="154" t="s">
        <v>32</v>
      </c>
      <c r="AA216" s="156">
        <v>45582</v>
      </c>
      <c r="AB216" s="154">
        <v>25</v>
      </c>
      <c r="AC216" s="154">
        <v>80031</v>
      </c>
      <c r="AD216" s="154">
        <v>57</v>
      </c>
      <c r="AE216" s="154" t="s">
        <v>1551</v>
      </c>
      <c r="AF216" s="154">
        <v>57</v>
      </c>
      <c r="AG216" s="154" t="s">
        <v>1552</v>
      </c>
      <c r="AH216" s="154" t="s">
        <v>36</v>
      </c>
      <c r="AI216" s="154" t="s">
        <v>135</v>
      </c>
      <c r="AJ216" s="154">
        <v>502</v>
      </c>
      <c r="AK216" s="154" t="s">
        <v>1407</v>
      </c>
      <c r="AL216" s="154">
        <v>28282</v>
      </c>
      <c r="AM216" s="154" t="s">
        <v>1414</v>
      </c>
      <c r="AN216" s="154" t="s">
        <v>1572</v>
      </c>
      <c r="AO216" s="154">
        <v>28</v>
      </c>
      <c r="AP216" s="154" t="s">
        <v>1416</v>
      </c>
      <c r="AQ216" s="154">
        <v>0</v>
      </c>
      <c r="AR216" s="154" t="s">
        <v>1410</v>
      </c>
      <c r="AS216" s="154"/>
      <c r="AT216" s="154" t="s">
        <v>1417</v>
      </c>
      <c r="AU216" s="154" t="s">
        <v>1412</v>
      </c>
    </row>
    <row r="217" spans="1:47" x14ac:dyDescent="0.45">
      <c r="A217" s="154">
        <v>2505750090</v>
      </c>
      <c r="B217" s="154">
        <v>57</v>
      </c>
      <c r="C217" s="154" t="s">
        <v>1551</v>
      </c>
      <c r="D217" s="154">
        <v>57</v>
      </c>
      <c r="E217" s="154" t="s">
        <v>1552</v>
      </c>
      <c r="F217" s="154" t="s">
        <v>1910</v>
      </c>
      <c r="G217" s="154" t="s">
        <v>1911</v>
      </c>
      <c r="H217" s="154">
        <v>1</v>
      </c>
      <c r="I217" s="154" t="s">
        <v>915</v>
      </c>
      <c r="J217" s="154" t="s">
        <v>1403</v>
      </c>
      <c r="K217" s="154">
        <v>2025</v>
      </c>
      <c r="L217" s="155">
        <v>2025</v>
      </c>
      <c r="M217" s="156">
        <v>45540</v>
      </c>
      <c r="N217" s="154" t="s">
        <v>36</v>
      </c>
      <c r="O217" s="154">
        <v>57</v>
      </c>
      <c r="P217" s="154">
        <v>813</v>
      </c>
      <c r="Q217" s="154" t="s">
        <v>1580</v>
      </c>
      <c r="R217" s="154">
        <v>2</v>
      </c>
      <c r="S217" s="154">
        <v>3</v>
      </c>
      <c r="T217" s="154" t="s">
        <v>1477</v>
      </c>
      <c r="U217" s="154">
        <v>4</v>
      </c>
      <c r="V217" s="155">
        <v>2580009</v>
      </c>
      <c r="W217" s="155">
        <v>0</v>
      </c>
      <c r="X217" s="155" t="s">
        <v>1406</v>
      </c>
      <c r="Y217" s="154"/>
      <c r="Z217" s="154" t="s">
        <v>32</v>
      </c>
      <c r="AA217" s="156">
        <v>45572</v>
      </c>
      <c r="AB217" s="154">
        <v>25</v>
      </c>
      <c r="AC217" s="154">
        <v>80009</v>
      </c>
      <c r="AD217" s="154">
        <v>57</v>
      </c>
      <c r="AE217" s="154" t="s">
        <v>1551</v>
      </c>
      <c r="AF217" s="154">
        <v>57</v>
      </c>
      <c r="AG217" s="154" t="s">
        <v>1552</v>
      </c>
      <c r="AH217" s="154" t="s">
        <v>36</v>
      </c>
      <c r="AI217" s="154">
        <v>57</v>
      </c>
      <c r="AJ217" s="154">
        <v>813</v>
      </c>
      <c r="AK217" s="154" t="s">
        <v>1407</v>
      </c>
      <c r="AL217" s="154">
        <v>28032</v>
      </c>
      <c r="AM217" s="154" t="s">
        <v>1421</v>
      </c>
      <c r="AN217" s="154" t="s">
        <v>1545</v>
      </c>
      <c r="AO217" s="154">
        <v>28</v>
      </c>
      <c r="AP217" s="154" t="s">
        <v>1416</v>
      </c>
      <c r="AQ217" s="154">
        <v>0</v>
      </c>
      <c r="AR217" s="154" t="s">
        <v>1410</v>
      </c>
      <c r="AS217" s="154"/>
      <c r="AT217" s="154" t="s">
        <v>1417</v>
      </c>
      <c r="AU217" s="154" t="s">
        <v>1412</v>
      </c>
    </row>
    <row r="218" spans="1:47" x14ac:dyDescent="0.45">
      <c r="A218" s="154">
        <v>2505750092</v>
      </c>
      <c r="B218" s="154">
        <v>57</v>
      </c>
      <c r="C218" s="154" t="s">
        <v>1551</v>
      </c>
      <c r="D218" s="154">
        <v>57</v>
      </c>
      <c r="E218" s="154" t="s">
        <v>1552</v>
      </c>
      <c r="F218" s="154" t="s">
        <v>1915</v>
      </c>
      <c r="G218" s="154" t="s">
        <v>1916</v>
      </c>
      <c r="H218" s="154">
        <v>2</v>
      </c>
      <c r="I218" s="154" t="s">
        <v>1917</v>
      </c>
      <c r="J218" s="154" t="s">
        <v>1403</v>
      </c>
      <c r="K218" s="154">
        <v>2025</v>
      </c>
      <c r="L218" s="155">
        <v>2025</v>
      </c>
      <c r="M218" s="156">
        <v>45545</v>
      </c>
      <c r="N218" s="154" t="s">
        <v>36</v>
      </c>
      <c r="O218" s="154">
        <v>7</v>
      </c>
      <c r="P218" s="154">
        <v>265</v>
      </c>
      <c r="Q218" s="154" t="s">
        <v>1562</v>
      </c>
      <c r="R218" s="154">
        <v>2</v>
      </c>
      <c r="S218" s="154">
        <v>1</v>
      </c>
      <c r="T218" s="154" t="s">
        <v>1527</v>
      </c>
      <c r="U218" s="154">
        <v>3</v>
      </c>
      <c r="V218" s="155">
        <v>2580115</v>
      </c>
      <c r="W218" s="155">
        <v>0</v>
      </c>
      <c r="X218" s="155" t="s">
        <v>1406</v>
      </c>
      <c r="Y218" s="154"/>
      <c r="Z218" s="154" t="s">
        <v>32</v>
      </c>
      <c r="AA218" s="156">
        <v>45684</v>
      </c>
      <c r="AB218" s="154">
        <v>25</v>
      </c>
      <c r="AC218" s="154">
        <v>80115</v>
      </c>
      <c r="AD218" s="154">
        <v>57</v>
      </c>
      <c r="AE218" s="154" t="s">
        <v>1551</v>
      </c>
      <c r="AF218" s="154">
        <v>57</v>
      </c>
      <c r="AG218" s="154" t="s">
        <v>1552</v>
      </c>
      <c r="AH218" s="154" t="s">
        <v>36</v>
      </c>
      <c r="AI218" s="154">
        <v>7</v>
      </c>
      <c r="AJ218" s="154">
        <v>265</v>
      </c>
      <c r="AK218" s="154" t="s">
        <v>1407</v>
      </c>
      <c r="AL218" s="154">
        <v>28098</v>
      </c>
      <c r="AM218" s="154" t="s">
        <v>1418</v>
      </c>
      <c r="AN218" s="154" t="s">
        <v>1448</v>
      </c>
      <c r="AO218" s="154">
        <v>28</v>
      </c>
      <c r="AP218" s="154" t="s">
        <v>1416</v>
      </c>
      <c r="AQ218" s="154">
        <v>0</v>
      </c>
      <c r="AR218" s="154" t="s">
        <v>1410</v>
      </c>
      <c r="AS218" s="154"/>
      <c r="AT218" s="154" t="s">
        <v>1417</v>
      </c>
      <c r="AU218" s="154" t="s">
        <v>1412</v>
      </c>
    </row>
    <row r="219" spans="1:47" x14ac:dyDescent="0.45">
      <c r="A219" s="154">
        <v>2505750094</v>
      </c>
      <c r="B219" s="154">
        <v>57</v>
      </c>
      <c r="C219" s="154" t="s">
        <v>1551</v>
      </c>
      <c r="D219" s="154">
        <v>57</v>
      </c>
      <c r="E219" s="154" t="s">
        <v>1552</v>
      </c>
      <c r="F219" s="154" t="s">
        <v>1923</v>
      </c>
      <c r="G219" s="154" t="s">
        <v>1924</v>
      </c>
      <c r="H219" s="154">
        <v>1</v>
      </c>
      <c r="I219" s="154" t="s">
        <v>436</v>
      </c>
      <c r="J219" s="154" t="s">
        <v>1403</v>
      </c>
      <c r="K219" s="154">
        <v>0</v>
      </c>
      <c r="L219" s="155">
        <v>2025</v>
      </c>
      <c r="M219" s="156">
        <v>45564</v>
      </c>
      <c r="N219" s="154" t="s">
        <v>36</v>
      </c>
      <c r="O219" s="154">
        <v>57</v>
      </c>
      <c r="P219" s="154">
        <v>1044</v>
      </c>
      <c r="Q219" s="154" t="s">
        <v>1476</v>
      </c>
      <c r="R219" s="154">
        <v>2</v>
      </c>
      <c r="S219" s="154">
        <v>3</v>
      </c>
      <c r="T219" s="154" t="s">
        <v>1477</v>
      </c>
      <c r="U219" s="154">
        <v>4</v>
      </c>
      <c r="V219" s="155">
        <v>2580010</v>
      </c>
      <c r="W219" s="155">
        <v>0</v>
      </c>
      <c r="X219" s="155" t="s">
        <v>1406</v>
      </c>
      <c r="Y219" s="154"/>
      <c r="Z219" s="154" t="s">
        <v>32</v>
      </c>
      <c r="AA219" s="156">
        <v>45572</v>
      </c>
      <c r="AB219" s="154">
        <v>25</v>
      </c>
      <c r="AC219" s="154">
        <v>80010</v>
      </c>
      <c r="AD219" s="154">
        <v>57</v>
      </c>
      <c r="AE219" s="154" t="s">
        <v>1551</v>
      </c>
      <c r="AF219" s="154">
        <v>57</v>
      </c>
      <c r="AG219" s="154" t="s">
        <v>1552</v>
      </c>
      <c r="AH219" s="154" t="s">
        <v>36</v>
      </c>
      <c r="AI219" s="154">
        <v>57</v>
      </c>
      <c r="AJ219" s="154">
        <v>1044</v>
      </c>
      <c r="AK219" s="154" t="s">
        <v>1407</v>
      </c>
      <c r="AL219" s="154">
        <v>19054</v>
      </c>
      <c r="AM219" s="154" t="s">
        <v>1421</v>
      </c>
      <c r="AN219" s="154" t="s">
        <v>2801</v>
      </c>
      <c r="AO219" s="154">
        <v>19</v>
      </c>
      <c r="AP219" s="154" t="s">
        <v>2802</v>
      </c>
      <c r="AQ219" s="154">
        <v>0</v>
      </c>
      <c r="AR219" s="154" t="s">
        <v>1410</v>
      </c>
      <c r="AS219" s="154"/>
      <c r="AT219" s="154" t="s">
        <v>1411</v>
      </c>
      <c r="AU219" s="154" t="s">
        <v>1412</v>
      </c>
    </row>
    <row r="220" spans="1:47" x14ac:dyDescent="0.45">
      <c r="A220" s="154">
        <v>2505750095</v>
      </c>
      <c r="B220" s="154">
        <v>57</v>
      </c>
      <c r="C220" s="154" t="s">
        <v>1551</v>
      </c>
      <c r="D220" s="154">
        <v>57</v>
      </c>
      <c r="E220" s="154" t="s">
        <v>1552</v>
      </c>
      <c r="F220" s="154" t="s">
        <v>1925</v>
      </c>
      <c r="G220" s="154" t="s">
        <v>1926</v>
      </c>
      <c r="H220" s="154">
        <v>1</v>
      </c>
      <c r="I220" s="154" t="s">
        <v>451</v>
      </c>
      <c r="J220" s="154" t="s">
        <v>1403</v>
      </c>
      <c r="K220" s="154">
        <v>2025</v>
      </c>
      <c r="L220" s="155">
        <v>2025</v>
      </c>
      <c r="M220" s="156">
        <v>45594</v>
      </c>
      <c r="N220" s="154" t="s">
        <v>36</v>
      </c>
      <c r="O220" s="154">
        <v>57</v>
      </c>
      <c r="P220" s="154">
        <v>645</v>
      </c>
      <c r="Q220" s="154" t="s">
        <v>1544</v>
      </c>
      <c r="R220" s="154">
        <v>2</v>
      </c>
      <c r="S220" s="154">
        <v>3</v>
      </c>
      <c r="T220" s="154" t="s">
        <v>1477</v>
      </c>
      <c r="U220" s="154">
        <v>4</v>
      </c>
      <c r="V220" s="155">
        <v>2580132</v>
      </c>
      <c r="W220" s="155">
        <v>0</v>
      </c>
      <c r="X220" s="155" t="s">
        <v>1406</v>
      </c>
      <c r="Y220" s="154"/>
      <c r="Z220" s="154" t="s">
        <v>32</v>
      </c>
      <c r="AA220" s="156">
        <v>45688</v>
      </c>
      <c r="AB220" s="154">
        <v>25</v>
      </c>
      <c r="AC220" s="154">
        <v>80132</v>
      </c>
      <c r="AD220" s="154">
        <v>57</v>
      </c>
      <c r="AE220" s="154" t="s">
        <v>1551</v>
      </c>
      <c r="AF220" s="154">
        <v>57</v>
      </c>
      <c r="AG220" s="154" t="s">
        <v>1552</v>
      </c>
      <c r="AH220" s="154" t="s">
        <v>36</v>
      </c>
      <c r="AI220" s="154">
        <v>57</v>
      </c>
      <c r="AJ220" s="154">
        <v>645</v>
      </c>
      <c r="AK220" s="154" t="s">
        <v>1407</v>
      </c>
      <c r="AL220" s="154">
        <v>28288</v>
      </c>
      <c r="AM220" s="154" t="s">
        <v>1421</v>
      </c>
      <c r="AN220" s="154" t="s">
        <v>1594</v>
      </c>
      <c r="AO220" s="154">
        <v>28</v>
      </c>
      <c r="AP220" s="154" t="s">
        <v>1416</v>
      </c>
      <c r="AQ220" s="154">
        <v>0</v>
      </c>
      <c r="AR220" s="154" t="s">
        <v>1410</v>
      </c>
      <c r="AS220" s="154"/>
      <c r="AT220" s="154" t="s">
        <v>1417</v>
      </c>
      <c r="AU220" s="154" t="s">
        <v>1412</v>
      </c>
    </row>
    <row r="221" spans="1:47" x14ac:dyDescent="0.45">
      <c r="A221" s="154">
        <v>2505750097</v>
      </c>
      <c r="B221" s="154">
        <v>57</v>
      </c>
      <c r="C221" s="154" t="s">
        <v>1551</v>
      </c>
      <c r="D221" s="154">
        <v>57</v>
      </c>
      <c r="E221" s="154" t="s">
        <v>1552</v>
      </c>
      <c r="F221" s="154" t="s">
        <v>1931</v>
      </c>
      <c r="G221" s="154" t="s">
        <v>1932</v>
      </c>
      <c r="H221" s="154">
        <v>2</v>
      </c>
      <c r="I221" s="154" t="s">
        <v>1933</v>
      </c>
      <c r="J221" s="154" t="s">
        <v>1403</v>
      </c>
      <c r="K221" s="154">
        <v>2025</v>
      </c>
      <c r="L221" s="155">
        <v>2025</v>
      </c>
      <c r="M221" s="156">
        <v>45560</v>
      </c>
      <c r="N221" s="154" t="s">
        <v>36</v>
      </c>
      <c r="O221" s="154">
        <v>57</v>
      </c>
      <c r="P221" s="154">
        <v>1756</v>
      </c>
      <c r="Q221" s="154" t="s">
        <v>2784</v>
      </c>
      <c r="R221" s="154">
        <v>2</v>
      </c>
      <c r="S221" s="154">
        <v>3</v>
      </c>
      <c r="T221" s="154" t="s">
        <v>1477</v>
      </c>
      <c r="U221" s="154">
        <v>4</v>
      </c>
      <c r="V221" s="155">
        <v>2580034</v>
      </c>
      <c r="W221" s="155">
        <v>0</v>
      </c>
      <c r="X221" s="155" t="s">
        <v>1406</v>
      </c>
      <c r="Y221" s="154"/>
      <c r="Z221" s="154" t="s">
        <v>32</v>
      </c>
      <c r="AA221" s="156">
        <v>45588</v>
      </c>
      <c r="AB221" s="154">
        <v>25</v>
      </c>
      <c r="AC221" s="154">
        <v>80034</v>
      </c>
      <c r="AD221" s="154">
        <v>57</v>
      </c>
      <c r="AE221" s="154" t="s">
        <v>1551</v>
      </c>
      <c r="AF221" s="154">
        <v>57</v>
      </c>
      <c r="AG221" s="154" t="s">
        <v>1552</v>
      </c>
      <c r="AH221" s="154" t="s">
        <v>36</v>
      </c>
      <c r="AI221" s="154">
        <v>57</v>
      </c>
      <c r="AJ221" s="154">
        <v>1756</v>
      </c>
      <c r="AK221" s="154" t="s">
        <v>1407</v>
      </c>
      <c r="AL221" s="154">
        <v>26064</v>
      </c>
      <c r="AM221" s="154" t="s">
        <v>1421</v>
      </c>
      <c r="AN221" s="154" t="s">
        <v>2805</v>
      </c>
      <c r="AO221" s="154">
        <v>26</v>
      </c>
      <c r="AP221" s="154" t="s">
        <v>1514</v>
      </c>
      <c r="AQ221" s="154">
        <v>0</v>
      </c>
      <c r="AR221" s="154" t="s">
        <v>1410</v>
      </c>
      <c r="AS221" s="154"/>
      <c r="AT221" s="154" t="s">
        <v>1417</v>
      </c>
      <c r="AU221" s="154" t="s">
        <v>1412</v>
      </c>
    </row>
    <row r="222" spans="1:47" x14ac:dyDescent="0.45">
      <c r="A222" s="154">
        <v>2505750098</v>
      </c>
      <c r="B222" s="154">
        <v>57</v>
      </c>
      <c r="C222" s="154" t="s">
        <v>1551</v>
      </c>
      <c r="D222" s="154">
        <v>57</v>
      </c>
      <c r="E222" s="154" t="s">
        <v>1552</v>
      </c>
      <c r="F222" s="154" t="s">
        <v>1934</v>
      </c>
      <c r="G222" s="154" t="s">
        <v>1935</v>
      </c>
      <c r="H222" s="154">
        <v>1</v>
      </c>
      <c r="I222" s="154" t="s">
        <v>1936</v>
      </c>
      <c r="J222" s="154" t="s">
        <v>1403</v>
      </c>
      <c r="K222" s="154">
        <v>2025</v>
      </c>
      <c r="L222" s="155">
        <v>2025</v>
      </c>
      <c r="M222" s="156">
        <v>45582</v>
      </c>
      <c r="N222" s="154" t="s">
        <v>36</v>
      </c>
      <c r="O222" s="154" t="s">
        <v>135</v>
      </c>
      <c r="P222" s="154">
        <v>61</v>
      </c>
      <c r="Q222" s="154" t="s">
        <v>2792</v>
      </c>
      <c r="R222" s="154">
        <v>2</v>
      </c>
      <c r="S222" s="154">
        <v>5</v>
      </c>
      <c r="T222" s="154" t="s">
        <v>1470</v>
      </c>
      <c r="U222" s="154">
        <v>15</v>
      </c>
      <c r="V222" s="155">
        <v>2580064</v>
      </c>
      <c r="W222" s="155">
        <v>0</v>
      </c>
      <c r="X222" s="155" t="s">
        <v>1406</v>
      </c>
      <c r="Y222" s="154"/>
      <c r="Z222" s="154" t="s">
        <v>32</v>
      </c>
      <c r="AA222" s="156">
        <v>45614</v>
      </c>
      <c r="AB222" s="154">
        <v>25</v>
      </c>
      <c r="AC222" s="154">
        <v>80064</v>
      </c>
      <c r="AD222" s="154">
        <v>57</v>
      </c>
      <c r="AE222" s="154" t="s">
        <v>1551</v>
      </c>
      <c r="AF222" s="154">
        <v>57</v>
      </c>
      <c r="AG222" s="154" t="s">
        <v>1552</v>
      </c>
      <c r="AH222" s="154" t="s">
        <v>36</v>
      </c>
      <c r="AI222" s="154" t="s">
        <v>135</v>
      </c>
      <c r="AJ222" s="154">
        <v>61</v>
      </c>
      <c r="AK222" s="154" t="s">
        <v>1407</v>
      </c>
      <c r="AL222" s="154">
        <v>28200</v>
      </c>
      <c r="AM222" s="154" t="s">
        <v>1418</v>
      </c>
      <c r="AN222" s="154" t="s">
        <v>1520</v>
      </c>
      <c r="AO222" s="154">
        <v>28</v>
      </c>
      <c r="AP222" s="154" t="s">
        <v>1416</v>
      </c>
      <c r="AQ222" s="154">
        <v>0</v>
      </c>
      <c r="AR222" s="154" t="s">
        <v>1410</v>
      </c>
      <c r="AS222" s="154"/>
      <c r="AT222" s="154" t="s">
        <v>1417</v>
      </c>
      <c r="AU222" s="154" t="s">
        <v>1412</v>
      </c>
    </row>
    <row r="223" spans="1:47" x14ac:dyDescent="0.45">
      <c r="A223" s="154">
        <v>2505750099</v>
      </c>
      <c r="B223" s="154">
        <v>57</v>
      </c>
      <c r="C223" s="154" t="s">
        <v>1551</v>
      </c>
      <c r="D223" s="154">
        <v>57</v>
      </c>
      <c r="E223" s="154" t="s">
        <v>1552</v>
      </c>
      <c r="F223" s="154" t="s">
        <v>1937</v>
      </c>
      <c r="G223" s="154" t="s">
        <v>1938</v>
      </c>
      <c r="H223" s="154">
        <v>1</v>
      </c>
      <c r="I223" s="154" t="s">
        <v>405</v>
      </c>
      <c r="J223" s="154" t="s">
        <v>1403</v>
      </c>
      <c r="K223" s="154">
        <v>2025</v>
      </c>
      <c r="L223" s="155">
        <v>2025</v>
      </c>
      <c r="M223" s="156">
        <v>45584</v>
      </c>
      <c r="N223" s="154" t="s">
        <v>36</v>
      </c>
      <c r="O223" s="154">
        <v>57</v>
      </c>
      <c r="P223" s="154">
        <v>1756</v>
      </c>
      <c r="Q223" s="154" t="s">
        <v>2784</v>
      </c>
      <c r="R223" s="154">
        <v>2</v>
      </c>
      <c r="S223" s="154">
        <v>3</v>
      </c>
      <c r="T223" s="154" t="s">
        <v>1477</v>
      </c>
      <c r="U223" s="154">
        <v>4</v>
      </c>
      <c r="V223" s="155">
        <v>0</v>
      </c>
      <c r="W223" s="155">
        <v>0</v>
      </c>
      <c r="X223" s="155" t="s">
        <v>1406</v>
      </c>
      <c r="Y223" s="156">
        <v>45740</v>
      </c>
      <c r="Z223" s="154" t="s">
        <v>32</v>
      </c>
      <c r="AA223" s="154"/>
      <c r="AB223" s="154">
        <v>0</v>
      </c>
      <c r="AC223" s="154">
        <v>0</v>
      </c>
      <c r="AD223" s="154">
        <v>0</v>
      </c>
      <c r="AE223" s="154" t="s">
        <v>1446</v>
      </c>
      <c r="AF223" s="154"/>
      <c r="AG223" s="154" t="s">
        <v>1446</v>
      </c>
      <c r="AH223" s="154"/>
      <c r="AI223" s="154"/>
      <c r="AJ223" s="154">
        <v>0</v>
      </c>
      <c r="AK223" s="154" t="s">
        <v>1407</v>
      </c>
      <c r="AL223" s="154">
        <v>28254</v>
      </c>
      <c r="AM223" s="154" t="s">
        <v>1421</v>
      </c>
      <c r="AN223" s="154" t="s">
        <v>1638</v>
      </c>
      <c r="AO223" s="154">
        <v>28</v>
      </c>
      <c r="AP223" s="154" t="s">
        <v>1416</v>
      </c>
      <c r="AQ223" s="154">
        <v>0</v>
      </c>
      <c r="AR223" s="154" t="s">
        <v>1410</v>
      </c>
      <c r="AS223" s="154"/>
      <c r="AT223" s="154" t="s">
        <v>1417</v>
      </c>
      <c r="AU223" s="154" t="s">
        <v>1412</v>
      </c>
    </row>
    <row r="224" spans="1:47" x14ac:dyDescent="0.45">
      <c r="A224" s="154">
        <v>2505750100</v>
      </c>
      <c r="B224" s="154">
        <v>57</v>
      </c>
      <c r="C224" s="154" t="s">
        <v>1551</v>
      </c>
      <c r="D224" s="154">
        <v>57</v>
      </c>
      <c r="E224" s="154" t="s">
        <v>1552</v>
      </c>
      <c r="F224" s="154" t="s">
        <v>1940</v>
      </c>
      <c r="G224" s="154" t="s">
        <v>1941</v>
      </c>
      <c r="H224" s="154">
        <v>2</v>
      </c>
      <c r="I224" s="154" t="s">
        <v>1942</v>
      </c>
      <c r="J224" s="154" t="s">
        <v>1403</v>
      </c>
      <c r="K224" s="154">
        <v>2025</v>
      </c>
      <c r="L224" s="155">
        <v>2025</v>
      </c>
      <c r="M224" s="156">
        <v>45596</v>
      </c>
      <c r="N224" s="154" t="s">
        <v>36</v>
      </c>
      <c r="O224" s="154" t="s">
        <v>51</v>
      </c>
      <c r="P224" s="154">
        <v>859</v>
      </c>
      <c r="Q224" s="154" t="s">
        <v>1494</v>
      </c>
      <c r="R224" s="154">
        <v>1</v>
      </c>
      <c r="S224" s="154">
        <v>2</v>
      </c>
      <c r="T224" s="154" t="s">
        <v>1464</v>
      </c>
      <c r="U224" s="154">
        <v>1</v>
      </c>
      <c r="V224" s="155">
        <v>0</v>
      </c>
      <c r="W224" s="155">
        <v>0</v>
      </c>
      <c r="X224" s="155" t="s">
        <v>1406</v>
      </c>
      <c r="Y224" s="156">
        <v>45737</v>
      </c>
      <c r="Z224" s="154" t="s">
        <v>32</v>
      </c>
      <c r="AA224" s="154"/>
      <c r="AB224" s="154">
        <v>0</v>
      </c>
      <c r="AC224" s="154">
        <v>0</v>
      </c>
      <c r="AD224" s="154">
        <v>0</v>
      </c>
      <c r="AE224" s="154" t="s">
        <v>1446</v>
      </c>
      <c r="AF224" s="154"/>
      <c r="AG224" s="154" t="s">
        <v>1446</v>
      </c>
      <c r="AH224" s="154"/>
      <c r="AI224" s="154"/>
      <c r="AJ224" s="154">
        <v>0</v>
      </c>
      <c r="AK224" s="154" t="s">
        <v>1410</v>
      </c>
      <c r="AL224" s="154">
        <v>28063</v>
      </c>
      <c r="AM224" s="154" t="s">
        <v>1418</v>
      </c>
      <c r="AN224" s="154" t="s">
        <v>2863</v>
      </c>
      <c r="AO224" s="154">
        <v>28</v>
      </c>
      <c r="AP224" s="154" t="s">
        <v>1416</v>
      </c>
      <c r="AQ224" s="154">
        <v>0</v>
      </c>
      <c r="AR224" s="154" t="s">
        <v>1410</v>
      </c>
      <c r="AS224" s="154"/>
      <c r="AT224" s="154" t="s">
        <v>1417</v>
      </c>
      <c r="AU224" s="154" t="s">
        <v>1412</v>
      </c>
    </row>
    <row r="225" spans="1:47" x14ac:dyDescent="0.45">
      <c r="A225" s="154">
        <v>2505750101</v>
      </c>
      <c r="B225" s="154">
        <v>57</v>
      </c>
      <c r="C225" s="154" t="s">
        <v>1551</v>
      </c>
      <c r="D225" s="154">
        <v>57</v>
      </c>
      <c r="E225" s="154" t="s">
        <v>1552</v>
      </c>
      <c r="F225" s="154" t="s">
        <v>1943</v>
      </c>
      <c r="G225" s="154" t="s">
        <v>1944</v>
      </c>
      <c r="H225" s="154">
        <v>1</v>
      </c>
      <c r="I225" s="154" t="s">
        <v>1786</v>
      </c>
      <c r="J225" s="154" t="s">
        <v>1403</v>
      </c>
      <c r="K225" s="154">
        <v>2025</v>
      </c>
      <c r="L225" s="155">
        <v>2025</v>
      </c>
      <c r="M225" s="156">
        <v>45596</v>
      </c>
      <c r="N225" s="154" t="s">
        <v>36</v>
      </c>
      <c r="O225" s="154">
        <v>58</v>
      </c>
      <c r="P225" s="154">
        <v>428</v>
      </c>
      <c r="Q225" s="154" t="s">
        <v>1463</v>
      </c>
      <c r="R225" s="154">
        <v>2</v>
      </c>
      <c r="S225" s="154">
        <v>2</v>
      </c>
      <c r="T225" s="154" t="s">
        <v>1464</v>
      </c>
      <c r="U225" s="154">
        <v>1</v>
      </c>
      <c r="V225" s="155">
        <v>0</v>
      </c>
      <c r="W225" s="155">
        <v>0</v>
      </c>
      <c r="X225" s="155" t="s">
        <v>1406</v>
      </c>
      <c r="Y225" s="156">
        <v>45631</v>
      </c>
      <c r="Z225" s="154" t="s">
        <v>32</v>
      </c>
      <c r="AA225" s="154"/>
      <c r="AB225" s="154">
        <v>0</v>
      </c>
      <c r="AC225" s="154">
        <v>0</v>
      </c>
      <c r="AD225" s="154">
        <v>0</v>
      </c>
      <c r="AE225" s="154" t="s">
        <v>1446</v>
      </c>
      <c r="AF225" s="154"/>
      <c r="AG225" s="154" t="s">
        <v>1446</v>
      </c>
      <c r="AH225" s="154"/>
      <c r="AI225" s="154"/>
      <c r="AJ225" s="154">
        <v>0</v>
      </c>
      <c r="AK225" s="154" t="s">
        <v>1473</v>
      </c>
      <c r="AL225" s="154">
        <v>28117</v>
      </c>
      <c r="AM225" s="154" t="s">
        <v>1418</v>
      </c>
      <c r="AN225" s="154" t="s">
        <v>1576</v>
      </c>
      <c r="AO225" s="154">
        <v>28</v>
      </c>
      <c r="AP225" s="154" t="s">
        <v>1416</v>
      </c>
      <c r="AQ225" s="154">
        <v>0</v>
      </c>
      <c r="AR225" s="154" t="s">
        <v>1410</v>
      </c>
      <c r="AS225" s="154"/>
      <c r="AT225" s="154" t="s">
        <v>1417</v>
      </c>
      <c r="AU225" s="154" t="s">
        <v>1412</v>
      </c>
    </row>
    <row r="226" spans="1:47" x14ac:dyDescent="0.45">
      <c r="A226" s="154">
        <v>2505750102</v>
      </c>
      <c r="B226" s="154">
        <v>57</v>
      </c>
      <c r="C226" s="154" t="s">
        <v>1551</v>
      </c>
      <c r="D226" s="154">
        <v>57</v>
      </c>
      <c r="E226" s="154" t="s">
        <v>1552</v>
      </c>
      <c r="F226" s="154" t="s">
        <v>1945</v>
      </c>
      <c r="G226" s="154" t="s">
        <v>1946</v>
      </c>
      <c r="H226" s="154">
        <v>1</v>
      </c>
      <c r="I226" s="154" t="s">
        <v>1947</v>
      </c>
      <c r="J226" s="154" t="s">
        <v>1403</v>
      </c>
      <c r="K226" s="154">
        <v>2025</v>
      </c>
      <c r="L226" s="155">
        <v>2025</v>
      </c>
      <c r="M226" s="156">
        <v>45720</v>
      </c>
      <c r="N226" s="154" t="s">
        <v>36</v>
      </c>
      <c r="O226" s="154" t="s">
        <v>51</v>
      </c>
      <c r="P226" s="154">
        <v>427</v>
      </c>
      <c r="Q226" s="154" t="s">
        <v>1479</v>
      </c>
      <c r="R226" s="154">
        <v>1</v>
      </c>
      <c r="S226" s="154">
        <v>2</v>
      </c>
      <c r="T226" s="154" t="s">
        <v>1464</v>
      </c>
      <c r="U226" s="154">
        <v>1</v>
      </c>
      <c r="V226" s="155">
        <v>2580186</v>
      </c>
      <c r="W226" s="155">
        <v>0</v>
      </c>
      <c r="X226" s="155" t="s">
        <v>1406</v>
      </c>
      <c r="Y226" s="154"/>
      <c r="Z226" s="154" t="s">
        <v>1407</v>
      </c>
      <c r="AA226" s="156">
        <v>45741</v>
      </c>
      <c r="AB226" s="154">
        <v>25</v>
      </c>
      <c r="AC226" s="154">
        <v>80186</v>
      </c>
      <c r="AD226" s="154">
        <v>57</v>
      </c>
      <c r="AE226" s="154" t="s">
        <v>1551</v>
      </c>
      <c r="AF226" s="154">
        <v>57</v>
      </c>
      <c r="AG226" s="154" t="s">
        <v>1552</v>
      </c>
      <c r="AH226" s="154" t="s">
        <v>36</v>
      </c>
      <c r="AI226" s="154" t="s">
        <v>51</v>
      </c>
      <c r="AJ226" s="154">
        <v>427</v>
      </c>
      <c r="AK226" s="154" t="s">
        <v>1407</v>
      </c>
      <c r="AL226" s="154">
        <v>28246</v>
      </c>
      <c r="AM226" s="154" t="s">
        <v>1418</v>
      </c>
      <c r="AN226" s="154" t="s">
        <v>1567</v>
      </c>
      <c r="AO226" s="154">
        <v>28</v>
      </c>
      <c r="AP226" s="154" t="s">
        <v>1416</v>
      </c>
      <c r="AQ226" s="154">
        <v>0</v>
      </c>
      <c r="AR226" s="154" t="s">
        <v>1410</v>
      </c>
      <c r="AS226" s="154"/>
      <c r="AT226" s="154" t="s">
        <v>1417</v>
      </c>
      <c r="AU226" s="154" t="s">
        <v>1412</v>
      </c>
    </row>
    <row r="227" spans="1:47" x14ac:dyDescent="0.45">
      <c r="A227" s="154">
        <v>2505750104</v>
      </c>
      <c r="B227" s="154">
        <v>57</v>
      </c>
      <c r="C227" s="154" t="s">
        <v>1551</v>
      </c>
      <c r="D227" s="154">
        <v>57</v>
      </c>
      <c r="E227" s="154" t="s">
        <v>1552</v>
      </c>
      <c r="F227" s="154" t="s">
        <v>1950</v>
      </c>
      <c r="G227" s="154" t="s">
        <v>1951</v>
      </c>
      <c r="H227" s="154">
        <v>2</v>
      </c>
      <c r="I227" s="154" t="s">
        <v>1952</v>
      </c>
      <c r="J227" s="154" t="s">
        <v>1403</v>
      </c>
      <c r="K227" s="154">
        <v>2025</v>
      </c>
      <c r="L227" s="155">
        <v>2025</v>
      </c>
      <c r="M227" s="156">
        <v>45566</v>
      </c>
      <c r="N227" s="154" t="s">
        <v>36</v>
      </c>
      <c r="O227" s="154">
        <v>58</v>
      </c>
      <c r="P227" s="154">
        <v>785</v>
      </c>
      <c r="Q227" s="154" t="s">
        <v>1491</v>
      </c>
      <c r="R227" s="154">
        <v>2</v>
      </c>
      <c r="S227" s="154">
        <v>2</v>
      </c>
      <c r="T227" s="154" t="s">
        <v>1464</v>
      </c>
      <c r="U227" s="154">
        <v>1</v>
      </c>
      <c r="V227" s="155">
        <v>2580028</v>
      </c>
      <c r="W227" s="155">
        <v>0</v>
      </c>
      <c r="X227" s="155" t="s">
        <v>1406</v>
      </c>
      <c r="Y227" s="154"/>
      <c r="Z227" s="154" t="s">
        <v>32</v>
      </c>
      <c r="AA227" s="156">
        <v>45581</v>
      </c>
      <c r="AB227" s="154">
        <v>25</v>
      </c>
      <c r="AC227" s="154">
        <v>80028</v>
      </c>
      <c r="AD227" s="154">
        <v>57</v>
      </c>
      <c r="AE227" s="154" t="s">
        <v>1551</v>
      </c>
      <c r="AF227" s="154">
        <v>57</v>
      </c>
      <c r="AG227" s="154" t="s">
        <v>1552</v>
      </c>
      <c r="AH227" s="154" t="s">
        <v>36</v>
      </c>
      <c r="AI227" s="154">
        <v>58</v>
      </c>
      <c r="AJ227" s="154">
        <v>785</v>
      </c>
      <c r="AK227" s="154" t="s">
        <v>1407</v>
      </c>
      <c r="AL227" s="154">
        <v>28282</v>
      </c>
      <c r="AM227" s="154" t="s">
        <v>1414</v>
      </c>
      <c r="AN227" s="154" t="s">
        <v>1572</v>
      </c>
      <c r="AO227" s="154">
        <v>28</v>
      </c>
      <c r="AP227" s="154" t="s">
        <v>1416</v>
      </c>
      <c r="AQ227" s="154">
        <v>0</v>
      </c>
      <c r="AR227" s="154" t="s">
        <v>1410</v>
      </c>
      <c r="AS227" s="154"/>
      <c r="AT227" s="154" t="s">
        <v>1417</v>
      </c>
      <c r="AU227" s="154" t="s">
        <v>1412</v>
      </c>
    </row>
    <row r="228" spans="1:47" x14ac:dyDescent="0.45">
      <c r="A228" s="154">
        <v>2505750105</v>
      </c>
      <c r="B228" s="154">
        <v>57</v>
      </c>
      <c r="C228" s="154" t="s">
        <v>1551</v>
      </c>
      <c r="D228" s="154">
        <v>57</v>
      </c>
      <c r="E228" s="154" t="s">
        <v>1552</v>
      </c>
      <c r="F228" s="154" t="s">
        <v>1954</v>
      </c>
      <c r="G228" s="154" t="s">
        <v>1955</v>
      </c>
      <c r="H228" s="154">
        <v>1</v>
      </c>
      <c r="I228" s="154" t="s">
        <v>182</v>
      </c>
      <c r="J228" s="154" t="s">
        <v>1403</v>
      </c>
      <c r="K228" s="154">
        <v>2025</v>
      </c>
      <c r="L228" s="155">
        <v>2025</v>
      </c>
      <c r="M228" s="156">
        <v>45575</v>
      </c>
      <c r="N228" s="154" t="s">
        <v>36</v>
      </c>
      <c r="O228" s="154" t="s">
        <v>135</v>
      </c>
      <c r="P228" s="154">
        <v>504</v>
      </c>
      <c r="Q228" s="154" t="s">
        <v>1509</v>
      </c>
      <c r="R228" s="154">
        <v>2</v>
      </c>
      <c r="S228" s="154">
        <v>5</v>
      </c>
      <c r="T228" s="154" t="s">
        <v>1470</v>
      </c>
      <c r="U228" s="154">
        <v>15</v>
      </c>
      <c r="V228" s="155">
        <v>2580130</v>
      </c>
      <c r="W228" s="155">
        <v>0</v>
      </c>
      <c r="X228" s="155" t="s">
        <v>1406</v>
      </c>
      <c r="Y228" s="154"/>
      <c r="Z228" s="154" t="s">
        <v>32</v>
      </c>
      <c r="AA228" s="156">
        <v>45688</v>
      </c>
      <c r="AB228" s="154">
        <v>25</v>
      </c>
      <c r="AC228" s="154">
        <v>80130</v>
      </c>
      <c r="AD228" s="154">
        <v>57</v>
      </c>
      <c r="AE228" s="154" t="s">
        <v>1551</v>
      </c>
      <c r="AF228" s="154">
        <v>57</v>
      </c>
      <c r="AG228" s="154" t="s">
        <v>1552</v>
      </c>
      <c r="AH228" s="154" t="s">
        <v>36</v>
      </c>
      <c r="AI228" s="154" t="s">
        <v>135</v>
      </c>
      <c r="AJ228" s="154">
        <v>504</v>
      </c>
      <c r="AK228" s="154" t="s">
        <v>1407</v>
      </c>
      <c r="AL228" s="154">
        <v>28245</v>
      </c>
      <c r="AM228" s="154" t="s">
        <v>1418</v>
      </c>
      <c r="AN228" s="154" t="s">
        <v>2806</v>
      </c>
      <c r="AO228" s="154">
        <v>28</v>
      </c>
      <c r="AP228" s="154" t="s">
        <v>1416</v>
      </c>
      <c r="AQ228" s="154">
        <v>0</v>
      </c>
      <c r="AR228" s="154" t="s">
        <v>1410</v>
      </c>
      <c r="AS228" s="154"/>
      <c r="AT228" s="154" t="s">
        <v>1417</v>
      </c>
      <c r="AU228" s="154" t="s">
        <v>1412</v>
      </c>
    </row>
    <row r="229" spans="1:47" x14ac:dyDescent="0.45">
      <c r="A229" s="154">
        <v>2505750107</v>
      </c>
      <c r="B229" s="154">
        <v>57</v>
      </c>
      <c r="C229" s="154" t="s">
        <v>1551</v>
      </c>
      <c r="D229" s="154">
        <v>57</v>
      </c>
      <c r="E229" s="154" t="s">
        <v>1552</v>
      </c>
      <c r="F229" s="154" t="s">
        <v>1958</v>
      </c>
      <c r="G229" s="154" t="s">
        <v>1959</v>
      </c>
      <c r="H229" s="154">
        <v>1</v>
      </c>
      <c r="I229" s="154" t="s">
        <v>1960</v>
      </c>
      <c r="J229" s="154" t="s">
        <v>1403</v>
      </c>
      <c r="K229" s="154">
        <v>2025</v>
      </c>
      <c r="L229" s="155">
        <v>2025</v>
      </c>
      <c r="M229" s="156">
        <v>45564</v>
      </c>
      <c r="N229" s="154" t="s">
        <v>36</v>
      </c>
      <c r="O229" s="154">
        <v>57</v>
      </c>
      <c r="P229" s="154">
        <v>645</v>
      </c>
      <c r="Q229" s="154" t="s">
        <v>1544</v>
      </c>
      <c r="R229" s="154">
        <v>2</v>
      </c>
      <c r="S229" s="154">
        <v>3</v>
      </c>
      <c r="T229" s="154" t="s">
        <v>1477</v>
      </c>
      <c r="U229" s="154">
        <v>4</v>
      </c>
      <c r="V229" s="155">
        <v>2580080</v>
      </c>
      <c r="W229" s="155">
        <v>0</v>
      </c>
      <c r="X229" s="155" t="s">
        <v>1406</v>
      </c>
      <c r="Y229" s="154"/>
      <c r="Z229" s="154" t="s">
        <v>32</v>
      </c>
      <c r="AA229" s="156">
        <v>45635</v>
      </c>
      <c r="AB229" s="154">
        <v>25</v>
      </c>
      <c r="AC229" s="154">
        <v>80080</v>
      </c>
      <c r="AD229" s="154">
        <v>57</v>
      </c>
      <c r="AE229" s="154" t="s">
        <v>1551</v>
      </c>
      <c r="AF229" s="154">
        <v>57</v>
      </c>
      <c r="AG229" s="154" t="s">
        <v>1552</v>
      </c>
      <c r="AH229" s="154" t="s">
        <v>36</v>
      </c>
      <c r="AI229" s="154">
        <v>57</v>
      </c>
      <c r="AJ229" s="154">
        <v>645</v>
      </c>
      <c r="AK229" s="154" t="s">
        <v>1407</v>
      </c>
      <c r="AL229" s="154">
        <v>28032</v>
      </c>
      <c r="AM229" s="154" t="s">
        <v>1421</v>
      </c>
      <c r="AN229" s="154" t="s">
        <v>1545</v>
      </c>
      <c r="AO229" s="154">
        <v>28</v>
      </c>
      <c r="AP229" s="154" t="s">
        <v>1416</v>
      </c>
      <c r="AQ229" s="154">
        <v>0</v>
      </c>
      <c r="AR229" s="154" t="s">
        <v>1410</v>
      </c>
      <c r="AS229" s="154"/>
      <c r="AT229" s="154" t="s">
        <v>1417</v>
      </c>
      <c r="AU229" s="154" t="s">
        <v>1412</v>
      </c>
    </row>
    <row r="230" spans="1:47" x14ac:dyDescent="0.45">
      <c r="A230" s="154">
        <v>2505750108</v>
      </c>
      <c r="B230" s="154">
        <v>57</v>
      </c>
      <c r="C230" s="154" t="s">
        <v>1551</v>
      </c>
      <c r="D230" s="154">
        <v>57</v>
      </c>
      <c r="E230" s="154" t="s">
        <v>1552</v>
      </c>
      <c r="F230" s="154" t="s">
        <v>1961</v>
      </c>
      <c r="G230" s="154" t="s">
        <v>1962</v>
      </c>
      <c r="H230" s="154">
        <v>1</v>
      </c>
      <c r="I230" s="154" t="s">
        <v>1134</v>
      </c>
      <c r="J230" s="154" t="s">
        <v>1403</v>
      </c>
      <c r="K230" s="154">
        <v>2025</v>
      </c>
      <c r="L230" s="155">
        <v>2025</v>
      </c>
      <c r="M230" s="156">
        <v>45578</v>
      </c>
      <c r="N230" s="154" t="s">
        <v>36</v>
      </c>
      <c r="O230" s="154">
        <v>58</v>
      </c>
      <c r="P230" s="154">
        <v>527</v>
      </c>
      <c r="Q230" s="154" t="s">
        <v>1537</v>
      </c>
      <c r="R230" s="154">
        <v>2</v>
      </c>
      <c r="S230" s="154">
        <v>2</v>
      </c>
      <c r="T230" s="154" t="s">
        <v>1464</v>
      </c>
      <c r="U230" s="154">
        <v>1</v>
      </c>
      <c r="V230" s="155">
        <v>2580061</v>
      </c>
      <c r="W230" s="155">
        <v>0</v>
      </c>
      <c r="X230" s="155" t="s">
        <v>1406</v>
      </c>
      <c r="Y230" s="154"/>
      <c r="Z230" s="154" t="s">
        <v>32</v>
      </c>
      <c r="AA230" s="156">
        <v>45611</v>
      </c>
      <c r="AB230" s="154">
        <v>25</v>
      </c>
      <c r="AC230" s="154">
        <v>80061</v>
      </c>
      <c r="AD230" s="154">
        <v>57</v>
      </c>
      <c r="AE230" s="154" t="s">
        <v>1551</v>
      </c>
      <c r="AF230" s="154">
        <v>57</v>
      </c>
      <c r="AG230" s="154" t="s">
        <v>1552</v>
      </c>
      <c r="AH230" s="154" t="s">
        <v>36</v>
      </c>
      <c r="AI230" s="154">
        <v>58</v>
      </c>
      <c r="AJ230" s="154">
        <v>527</v>
      </c>
      <c r="AK230" s="154" t="s">
        <v>1407</v>
      </c>
      <c r="AL230" s="154">
        <v>28197</v>
      </c>
      <c r="AM230" s="154" t="s">
        <v>1421</v>
      </c>
      <c r="AN230" s="154" t="s">
        <v>1616</v>
      </c>
      <c r="AO230" s="154">
        <v>28</v>
      </c>
      <c r="AP230" s="154" t="s">
        <v>1416</v>
      </c>
      <c r="AQ230" s="154">
        <v>0</v>
      </c>
      <c r="AR230" s="154" t="s">
        <v>1410</v>
      </c>
      <c r="AS230" s="154"/>
      <c r="AT230" s="154" t="s">
        <v>1417</v>
      </c>
      <c r="AU230" s="154" t="s">
        <v>1412</v>
      </c>
    </row>
    <row r="231" spans="1:47" x14ac:dyDescent="0.45">
      <c r="A231" s="154">
        <v>2505750109</v>
      </c>
      <c r="B231" s="154">
        <v>57</v>
      </c>
      <c r="C231" s="154" t="s">
        <v>1551</v>
      </c>
      <c r="D231" s="154">
        <v>57</v>
      </c>
      <c r="E231" s="154" t="s">
        <v>1552</v>
      </c>
      <c r="F231" s="154" t="s">
        <v>1963</v>
      </c>
      <c r="G231" s="154" t="s">
        <v>1964</v>
      </c>
      <c r="H231" s="154">
        <v>1</v>
      </c>
      <c r="I231" s="154" t="s">
        <v>1965</v>
      </c>
      <c r="J231" s="154" t="s">
        <v>1403</v>
      </c>
      <c r="K231" s="154">
        <v>2025</v>
      </c>
      <c r="L231" s="155">
        <v>2025</v>
      </c>
      <c r="M231" s="156">
        <v>45581</v>
      </c>
      <c r="N231" s="154" t="s">
        <v>36</v>
      </c>
      <c r="O231" s="154">
        <v>58</v>
      </c>
      <c r="P231" s="154">
        <v>428</v>
      </c>
      <c r="Q231" s="154" t="s">
        <v>1463</v>
      </c>
      <c r="R231" s="154">
        <v>2</v>
      </c>
      <c r="S231" s="154">
        <v>2</v>
      </c>
      <c r="T231" s="154" t="s">
        <v>1464</v>
      </c>
      <c r="U231" s="154">
        <v>1</v>
      </c>
      <c r="V231" s="155">
        <v>2580122</v>
      </c>
      <c r="W231" s="155">
        <v>0</v>
      </c>
      <c r="X231" s="155" t="s">
        <v>1406</v>
      </c>
      <c r="Y231" s="154"/>
      <c r="Z231" s="154" t="s">
        <v>32</v>
      </c>
      <c r="AA231" s="156">
        <v>45686</v>
      </c>
      <c r="AB231" s="154">
        <v>25</v>
      </c>
      <c r="AC231" s="154">
        <v>80122</v>
      </c>
      <c r="AD231" s="154">
        <v>57</v>
      </c>
      <c r="AE231" s="154" t="s">
        <v>1551</v>
      </c>
      <c r="AF231" s="154">
        <v>57</v>
      </c>
      <c r="AG231" s="154" t="s">
        <v>1552</v>
      </c>
      <c r="AH231" s="154" t="s">
        <v>36</v>
      </c>
      <c r="AI231" s="154">
        <v>58</v>
      </c>
      <c r="AJ231" s="154">
        <v>428</v>
      </c>
      <c r="AK231" s="154" t="s">
        <v>1407</v>
      </c>
      <c r="AL231" s="154">
        <v>28108</v>
      </c>
      <c r="AM231" s="154" t="s">
        <v>1418</v>
      </c>
      <c r="AN231" s="154" t="s">
        <v>1534</v>
      </c>
      <c r="AO231" s="154">
        <v>28</v>
      </c>
      <c r="AP231" s="154" t="s">
        <v>1416</v>
      </c>
      <c r="AQ231" s="154">
        <v>0</v>
      </c>
      <c r="AR231" s="154" t="s">
        <v>1410</v>
      </c>
      <c r="AS231" s="154"/>
      <c r="AT231" s="154" t="s">
        <v>1417</v>
      </c>
      <c r="AU231" s="154" t="s">
        <v>1412</v>
      </c>
    </row>
    <row r="232" spans="1:47" x14ac:dyDescent="0.45">
      <c r="A232" s="154">
        <v>2505750110</v>
      </c>
      <c r="B232" s="154">
        <v>57</v>
      </c>
      <c r="C232" s="154" t="s">
        <v>1551</v>
      </c>
      <c r="D232" s="154">
        <v>57</v>
      </c>
      <c r="E232" s="154" t="s">
        <v>1552</v>
      </c>
      <c r="F232" s="154" t="s">
        <v>1966</v>
      </c>
      <c r="G232" s="154" t="s">
        <v>1967</v>
      </c>
      <c r="H232" s="154">
        <v>1</v>
      </c>
      <c r="I232" s="154" t="s">
        <v>1968</v>
      </c>
      <c r="J232" s="154" t="s">
        <v>1403</v>
      </c>
      <c r="K232" s="154">
        <v>2025</v>
      </c>
      <c r="L232" s="155">
        <v>2025</v>
      </c>
      <c r="M232" s="156">
        <v>45640</v>
      </c>
      <c r="N232" s="154" t="s">
        <v>36</v>
      </c>
      <c r="O232" s="154">
        <v>58</v>
      </c>
      <c r="P232" s="154">
        <v>428</v>
      </c>
      <c r="Q232" s="154" t="s">
        <v>1463</v>
      </c>
      <c r="R232" s="154">
        <v>2</v>
      </c>
      <c r="S232" s="154">
        <v>2</v>
      </c>
      <c r="T232" s="154" t="s">
        <v>1464</v>
      </c>
      <c r="U232" s="154">
        <v>1</v>
      </c>
      <c r="V232" s="155">
        <v>2580099</v>
      </c>
      <c r="W232" s="155">
        <v>0</v>
      </c>
      <c r="X232" s="155" t="s">
        <v>1406</v>
      </c>
      <c r="Y232" s="154"/>
      <c r="Z232" s="154" t="s">
        <v>32</v>
      </c>
      <c r="AA232" s="156">
        <v>45663</v>
      </c>
      <c r="AB232" s="154">
        <v>25</v>
      </c>
      <c r="AC232" s="154">
        <v>80099</v>
      </c>
      <c r="AD232" s="154">
        <v>57</v>
      </c>
      <c r="AE232" s="154" t="s">
        <v>1551</v>
      </c>
      <c r="AF232" s="154">
        <v>57</v>
      </c>
      <c r="AG232" s="154" t="s">
        <v>1552</v>
      </c>
      <c r="AH232" s="154" t="s">
        <v>36</v>
      </c>
      <c r="AI232" s="154">
        <v>58</v>
      </c>
      <c r="AJ232" s="154">
        <v>428</v>
      </c>
      <c r="AK232" s="154" t="s">
        <v>1407</v>
      </c>
      <c r="AL232" s="154">
        <v>28182</v>
      </c>
      <c r="AM232" s="154" t="s">
        <v>1418</v>
      </c>
      <c r="AN232" s="154" t="s">
        <v>2872</v>
      </c>
      <c r="AO232" s="154">
        <v>28</v>
      </c>
      <c r="AP232" s="154" t="s">
        <v>1416</v>
      </c>
      <c r="AQ232" s="154">
        <v>0</v>
      </c>
      <c r="AR232" s="154" t="s">
        <v>1410</v>
      </c>
      <c r="AS232" s="154"/>
      <c r="AT232" s="154" t="s">
        <v>1417</v>
      </c>
      <c r="AU232" s="154" t="s">
        <v>1412</v>
      </c>
    </row>
    <row r="233" spans="1:47" x14ac:dyDescent="0.45">
      <c r="A233" s="154">
        <v>2505750111</v>
      </c>
      <c r="B233" s="154">
        <v>57</v>
      </c>
      <c r="C233" s="154" t="s">
        <v>1551</v>
      </c>
      <c r="D233" s="154">
        <v>57</v>
      </c>
      <c r="E233" s="154" t="s">
        <v>1552</v>
      </c>
      <c r="F233" s="154" t="s">
        <v>1970</v>
      </c>
      <c r="G233" s="154" t="s">
        <v>1971</v>
      </c>
      <c r="H233" s="154">
        <v>1</v>
      </c>
      <c r="I233" s="154" t="s">
        <v>1929</v>
      </c>
      <c r="J233" s="154" t="s">
        <v>1403</v>
      </c>
      <c r="K233" s="154">
        <v>2025</v>
      </c>
      <c r="L233" s="155">
        <v>2025</v>
      </c>
      <c r="M233" s="156">
        <v>45545</v>
      </c>
      <c r="N233" s="154" t="s">
        <v>36</v>
      </c>
      <c r="O233" s="154">
        <v>57</v>
      </c>
      <c r="P233" s="154">
        <v>1044</v>
      </c>
      <c r="Q233" s="154" t="s">
        <v>1476</v>
      </c>
      <c r="R233" s="154">
        <v>2</v>
      </c>
      <c r="S233" s="154">
        <v>3</v>
      </c>
      <c r="T233" s="154" t="s">
        <v>1477</v>
      </c>
      <c r="U233" s="154">
        <v>4</v>
      </c>
      <c r="V233" s="155">
        <v>2580015</v>
      </c>
      <c r="W233" s="155">
        <v>0</v>
      </c>
      <c r="X233" s="155" t="s">
        <v>1406</v>
      </c>
      <c r="Y233" s="154"/>
      <c r="Z233" s="154" t="s">
        <v>32</v>
      </c>
      <c r="AA233" s="156">
        <v>45575</v>
      </c>
      <c r="AB233" s="154">
        <v>25</v>
      </c>
      <c r="AC233" s="154">
        <v>80015</v>
      </c>
      <c r="AD233" s="154">
        <v>57</v>
      </c>
      <c r="AE233" s="154" t="s">
        <v>1551</v>
      </c>
      <c r="AF233" s="154">
        <v>57</v>
      </c>
      <c r="AG233" s="154" t="s">
        <v>1552</v>
      </c>
      <c r="AH233" s="154" t="s">
        <v>36</v>
      </c>
      <c r="AI233" s="154">
        <v>57</v>
      </c>
      <c r="AJ233" s="154">
        <v>1044</v>
      </c>
      <c r="AK233" s="154" t="s">
        <v>1407</v>
      </c>
      <c r="AL233" s="154">
        <v>28296</v>
      </c>
      <c r="AM233" s="154" t="s">
        <v>1421</v>
      </c>
      <c r="AN233" s="154" t="s">
        <v>2807</v>
      </c>
      <c r="AO233" s="154">
        <v>28</v>
      </c>
      <c r="AP233" s="154" t="s">
        <v>1416</v>
      </c>
      <c r="AQ233" s="154">
        <v>0</v>
      </c>
      <c r="AR233" s="154" t="s">
        <v>1410</v>
      </c>
      <c r="AS233" s="154"/>
      <c r="AT233" s="154" t="s">
        <v>1417</v>
      </c>
      <c r="AU233" s="154" t="s">
        <v>1412</v>
      </c>
    </row>
    <row r="234" spans="1:47" x14ac:dyDescent="0.45">
      <c r="A234" s="154">
        <v>2505750112</v>
      </c>
      <c r="B234" s="154">
        <v>57</v>
      </c>
      <c r="C234" s="154" t="s">
        <v>1551</v>
      </c>
      <c r="D234" s="154">
        <v>57</v>
      </c>
      <c r="E234" s="154" t="s">
        <v>1552</v>
      </c>
      <c r="F234" s="154" t="s">
        <v>1972</v>
      </c>
      <c r="G234" s="154" t="s">
        <v>1973</v>
      </c>
      <c r="H234" s="154">
        <v>2</v>
      </c>
      <c r="I234" s="154" t="s">
        <v>1974</v>
      </c>
      <c r="J234" s="154" t="s">
        <v>1403</v>
      </c>
      <c r="K234" s="154">
        <v>2025</v>
      </c>
      <c r="L234" s="155">
        <v>2025</v>
      </c>
      <c r="M234" s="156">
        <v>45584</v>
      </c>
      <c r="N234" s="154" t="s">
        <v>36</v>
      </c>
      <c r="O234" s="154">
        <v>7</v>
      </c>
      <c r="P234" s="154">
        <v>266</v>
      </c>
      <c r="Q234" s="154" t="s">
        <v>1526</v>
      </c>
      <c r="R234" s="154">
        <v>2</v>
      </c>
      <c r="S234" s="154">
        <v>1</v>
      </c>
      <c r="T234" s="154" t="s">
        <v>1527</v>
      </c>
      <c r="U234" s="154">
        <v>3</v>
      </c>
      <c r="V234" s="155">
        <v>2580043</v>
      </c>
      <c r="W234" s="155">
        <v>0</v>
      </c>
      <c r="X234" s="155" t="s">
        <v>1406</v>
      </c>
      <c r="Y234" s="154"/>
      <c r="Z234" s="154" t="s">
        <v>32</v>
      </c>
      <c r="AA234" s="156">
        <v>45601</v>
      </c>
      <c r="AB234" s="154">
        <v>25</v>
      </c>
      <c r="AC234" s="154">
        <v>80043</v>
      </c>
      <c r="AD234" s="154">
        <v>57</v>
      </c>
      <c r="AE234" s="154" t="s">
        <v>1551</v>
      </c>
      <c r="AF234" s="154">
        <v>57</v>
      </c>
      <c r="AG234" s="154" t="s">
        <v>1552</v>
      </c>
      <c r="AH234" s="154" t="s">
        <v>36</v>
      </c>
      <c r="AI234" s="154">
        <v>7</v>
      </c>
      <c r="AJ234" s="154">
        <v>266</v>
      </c>
      <c r="AK234" s="154" t="s">
        <v>1407</v>
      </c>
      <c r="AL234" s="154">
        <v>28009</v>
      </c>
      <c r="AM234" s="154" t="s">
        <v>1418</v>
      </c>
      <c r="AN234" s="154" t="s">
        <v>1607</v>
      </c>
      <c r="AO234" s="154">
        <v>28</v>
      </c>
      <c r="AP234" s="154" t="s">
        <v>1416</v>
      </c>
      <c r="AQ234" s="154">
        <v>0</v>
      </c>
      <c r="AR234" s="154" t="s">
        <v>1410</v>
      </c>
      <c r="AS234" s="154"/>
      <c r="AT234" s="154" t="s">
        <v>1417</v>
      </c>
      <c r="AU234" s="154" t="s">
        <v>1412</v>
      </c>
    </row>
    <row r="235" spans="1:47" x14ac:dyDescent="0.45">
      <c r="A235" s="154">
        <v>2505750113</v>
      </c>
      <c r="B235" s="154">
        <v>57</v>
      </c>
      <c r="C235" s="154" t="s">
        <v>1551</v>
      </c>
      <c r="D235" s="154">
        <v>57</v>
      </c>
      <c r="E235" s="154" t="s">
        <v>1552</v>
      </c>
      <c r="F235" s="154" t="s">
        <v>1975</v>
      </c>
      <c r="G235" s="154" t="s">
        <v>1976</v>
      </c>
      <c r="H235" s="154">
        <v>1</v>
      </c>
      <c r="I235" s="154" t="s">
        <v>1977</v>
      </c>
      <c r="J235" s="154" t="s">
        <v>1403</v>
      </c>
      <c r="K235" s="154">
        <v>2025</v>
      </c>
      <c r="L235" s="155">
        <v>2025</v>
      </c>
      <c r="M235" s="156">
        <v>45587</v>
      </c>
      <c r="N235" s="154" t="s">
        <v>36</v>
      </c>
      <c r="O235" s="154" t="s">
        <v>51</v>
      </c>
      <c r="P235" s="154">
        <v>527</v>
      </c>
      <c r="Q235" s="154" t="s">
        <v>1537</v>
      </c>
      <c r="R235" s="154">
        <v>1</v>
      </c>
      <c r="S235" s="154">
        <v>2</v>
      </c>
      <c r="T235" s="154" t="s">
        <v>1464</v>
      </c>
      <c r="U235" s="154">
        <v>1</v>
      </c>
      <c r="V235" s="155">
        <v>0</v>
      </c>
      <c r="W235" s="155">
        <v>0</v>
      </c>
      <c r="X235" s="155" t="s">
        <v>1406</v>
      </c>
      <c r="Y235" s="156">
        <v>45747</v>
      </c>
      <c r="Z235" s="154" t="s">
        <v>32</v>
      </c>
      <c r="AA235" s="154"/>
      <c r="AB235" s="154">
        <v>0</v>
      </c>
      <c r="AC235" s="154">
        <v>0</v>
      </c>
      <c r="AD235" s="154">
        <v>0</v>
      </c>
      <c r="AE235" s="154" t="s">
        <v>1446</v>
      </c>
      <c r="AF235" s="154"/>
      <c r="AG235" s="154" t="s">
        <v>1446</v>
      </c>
      <c r="AH235" s="154"/>
      <c r="AI235" s="154"/>
      <c r="AJ235" s="154">
        <v>0</v>
      </c>
      <c r="AK235" s="154" t="s">
        <v>1473</v>
      </c>
      <c r="AL235" s="154">
        <v>28198</v>
      </c>
      <c r="AM235" s="154" t="s">
        <v>1418</v>
      </c>
      <c r="AN235" s="154" t="s">
        <v>2808</v>
      </c>
      <c r="AO235" s="154">
        <v>28</v>
      </c>
      <c r="AP235" s="154" t="s">
        <v>1416</v>
      </c>
      <c r="AQ235" s="154">
        <v>0</v>
      </c>
      <c r="AR235" s="154" t="s">
        <v>1410</v>
      </c>
      <c r="AS235" s="154"/>
      <c r="AT235" s="154" t="s">
        <v>1417</v>
      </c>
      <c r="AU235" s="154" t="s">
        <v>1412</v>
      </c>
    </row>
    <row r="236" spans="1:47" x14ac:dyDescent="0.45">
      <c r="A236" s="154">
        <v>2505750114</v>
      </c>
      <c r="B236" s="154">
        <v>57</v>
      </c>
      <c r="C236" s="154" t="s">
        <v>1551</v>
      </c>
      <c r="D236" s="154">
        <v>57</v>
      </c>
      <c r="E236" s="154" t="s">
        <v>1552</v>
      </c>
      <c r="F236" s="154" t="s">
        <v>1978</v>
      </c>
      <c r="G236" s="154" t="s">
        <v>1979</v>
      </c>
      <c r="H236" s="154">
        <v>1</v>
      </c>
      <c r="I236" s="154" t="s">
        <v>1980</v>
      </c>
      <c r="J236" s="154" t="s">
        <v>1403</v>
      </c>
      <c r="K236" s="154">
        <v>2025</v>
      </c>
      <c r="L236" s="155">
        <v>2025</v>
      </c>
      <c r="M236" s="156">
        <v>45591</v>
      </c>
      <c r="N236" s="154" t="s">
        <v>36</v>
      </c>
      <c r="O236" s="154" t="s">
        <v>51</v>
      </c>
      <c r="P236" s="154">
        <v>427</v>
      </c>
      <c r="Q236" s="154" t="s">
        <v>1479</v>
      </c>
      <c r="R236" s="154">
        <v>1</v>
      </c>
      <c r="S236" s="154">
        <v>2</v>
      </c>
      <c r="T236" s="154" t="s">
        <v>1464</v>
      </c>
      <c r="U236" s="154">
        <v>1</v>
      </c>
      <c r="V236" s="155">
        <v>0</v>
      </c>
      <c r="W236" s="155">
        <v>0</v>
      </c>
      <c r="X236" s="155" t="s">
        <v>1406</v>
      </c>
      <c r="Y236" s="156">
        <v>45656</v>
      </c>
      <c r="Z236" s="154" t="s">
        <v>32</v>
      </c>
      <c r="AA236" s="154"/>
      <c r="AB236" s="154">
        <v>0</v>
      </c>
      <c r="AC236" s="154">
        <v>0</v>
      </c>
      <c r="AD236" s="154">
        <v>0</v>
      </c>
      <c r="AE236" s="154" t="s">
        <v>1446</v>
      </c>
      <c r="AF236" s="154"/>
      <c r="AG236" s="154" t="s">
        <v>1446</v>
      </c>
      <c r="AH236" s="154"/>
      <c r="AI236" s="154"/>
      <c r="AJ236" s="154">
        <v>0</v>
      </c>
      <c r="AK236" s="154" t="s">
        <v>1473</v>
      </c>
      <c r="AL236" s="154">
        <v>28246</v>
      </c>
      <c r="AM236" s="154" t="s">
        <v>1418</v>
      </c>
      <c r="AN236" s="154" t="s">
        <v>1567</v>
      </c>
      <c r="AO236" s="154">
        <v>28</v>
      </c>
      <c r="AP236" s="154" t="s">
        <v>1416</v>
      </c>
      <c r="AQ236" s="154">
        <v>0</v>
      </c>
      <c r="AR236" s="154" t="s">
        <v>1410</v>
      </c>
      <c r="AS236" s="154"/>
      <c r="AT236" s="154" t="s">
        <v>1417</v>
      </c>
      <c r="AU236" s="154" t="s">
        <v>1412</v>
      </c>
    </row>
    <row r="237" spans="1:47" x14ac:dyDescent="0.45">
      <c r="A237" s="154">
        <v>2505750118</v>
      </c>
      <c r="B237" s="154">
        <v>57</v>
      </c>
      <c r="C237" s="154" t="s">
        <v>1551</v>
      </c>
      <c r="D237" s="154">
        <v>57</v>
      </c>
      <c r="E237" s="154" t="s">
        <v>1552</v>
      </c>
      <c r="F237" s="154" t="s">
        <v>1992</v>
      </c>
      <c r="G237" s="154" t="s">
        <v>1993</v>
      </c>
      <c r="H237" s="154">
        <v>1</v>
      </c>
      <c r="I237" s="154" t="s">
        <v>1994</v>
      </c>
      <c r="J237" s="154" t="s">
        <v>1403</v>
      </c>
      <c r="K237" s="154">
        <v>2025</v>
      </c>
      <c r="L237" s="155">
        <v>2025</v>
      </c>
      <c r="M237" s="156">
        <v>45575</v>
      </c>
      <c r="N237" s="154" t="s">
        <v>36</v>
      </c>
      <c r="O237" s="154">
        <v>7</v>
      </c>
      <c r="P237" s="154">
        <v>265</v>
      </c>
      <c r="Q237" s="154" t="s">
        <v>1562</v>
      </c>
      <c r="R237" s="154">
        <v>2</v>
      </c>
      <c r="S237" s="154">
        <v>1</v>
      </c>
      <c r="T237" s="154" t="s">
        <v>1527</v>
      </c>
      <c r="U237" s="154">
        <v>3</v>
      </c>
      <c r="V237" s="155">
        <v>2580062</v>
      </c>
      <c r="W237" s="155">
        <v>0</v>
      </c>
      <c r="X237" s="155" t="s">
        <v>1406</v>
      </c>
      <c r="Y237" s="154"/>
      <c r="Z237" s="154" t="s">
        <v>32</v>
      </c>
      <c r="AA237" s="156">
        <v>45611</v>
      </c>
      <c r="AB237" s="154">
        <v>25</v>
      </c>
      <c r="AC237" s="154">
        <v>80062</v>
      </c>
      <c r="AD237" s="154">
        <v>57</v>
      </c>
      <c r="AE237" s="154" t="s">
        <v>1551</v>
      </c>
      <c r="AF237" s="154">
        <v>57</v>
      </c>
      <c r="AG237" s="154" t="s">
        <v>1552</v>
      </c>
      <c r="AH237" s="154" t="s">
        <v>36</v>
      </c>
      <c r="AI237" s="154">
        <v>7</v>
      </c>
      <c r="AJ237" s="154">
        <v>265</v>
      </c>
      <c r="AK237" s="154" t="s">
        <v>1407</v>
      </c>
      <c r="AL237" s="154">
        <v>28030</v>
      </c>
      <c r="AM237" s="154" t="s">
        <v>1418</v>
      </c>
      <c r="AN237" s="154" t="s">
        <v>1566</v>
      </c>
      <c r="AO237" s="154">
        <v>28</v>
      </c>
      <c r="AP237" s="154" t="s">
        <v>1416</v>
      </c>
      <c r="AQ237" s="154">
        <v>0</v>
      </c>
      <c r="AR237" s="154" t="s">
        <v>1410</v>
      </c>
      <c r="AS237" s="154"/>
      <c r="AT237" s="154" t="s">
        <v>1417</v>
      </c>
      <c r="AU237" s="154" t="s">
        <v>1412</v>
      </c>
    </row>
    <row r="238" spans="1:47" x14ac:dyDescent="0.45">
      <c r="A238" s="154">
        <v>2505750120</v>
      </c>
      <c r="B238" s="154">
        <v>57</v>
      </c>
      <c r="C238" s="154" t="s">
        <v>1551</v>
      </c>
      <c r="D238" s="154">
        <v>57</v>
      </c>
      <c r="E238" s="154" t="s">
        <v>1552</v>
      </c>
      <c r="F238" s="154" t="s">
        <v>1998</v>
      </c>
      <c r="G238" s="154" t="s">
        <v>1999</v>
      </c>
      <c r="H238" s="154">
        <v>1</v>
      </c>
      <c r="I238" s="154" t="s">
        <v>1328</v>
      </c>
      <c r="J238" s="154" t="s">
        <v>1403</v>
      </c>
      <c r="K238" s="154">
        <v>2025</v>
      </c>
      <c r="L238" s="155">
        <v>2025</v>
      </c>
      <c r="M238" s="156">
        <v>45581</v>
      </c>
      <c r="N238" s="154" t="s">
        <v>36</v>
      </c>
      <c r="O238" s="154">
        <v>58</v>
      </c>
      <c r="P238" s="154">
        <v>428</v>
      </c>
      <c r="Q238" s="154" t="s">
        <v>1463</v>
      </c>
      <c r="R238" s="154">
        <v>2</v>
      </c>
      <c r="S238" s="154">
        <v>2</v>
      </c>
      <c r="T238" s="154" t="s">
        <v>1464</v>
      </c>
      <c r="U238" s="154">
        <v>1</v>
      </c>
      <c r="V238" s="155">
        <v>2580055</v>
      </c>
      <c r="W238" s="155">
        <v>0</v>
      </c>
      <c r="X238" s="155" t="s">
        <v>1406</v>
      </c>
      <c r="Y238" s="154"/>
      <c r="Z238" s="154" t="s">
        <v>32</v>
      </c>
      <c r="AA238" s="156">
        <v>45604</v>
      </c>
      <c r="AB238" s="154">
        <v>25</v>
      </c>
      <c r="AC238" s="154">
        <v>80055</v>
      </c>
      <c r="AD238" s="154">
        <v>57</v>
      </c>
      <c r="AE238" s="154" t="s">
        <v>1551</v>
      </c>
      <c r="AF238" s="154">
        <v>57</v>
      </c>
      <c r="AG238" s="154" t="s">
        <v>1552</v>
      </c>
      <c r="AH238" s="154" t="s">
        <v>36</v>
      </c>
      <c r="AI238" s="154">
        <v>58</v>
      </c>
      <c r="AJ238" s="154">
        <v>428</v>
      </c>
      <c r="AK238" s="154" t="s">
        <v>1407</v>
      </c>
      <c r="AL238" s="154">
        <v>28121</v>
      </c>
      <c r="AM238" s="154" t="s">
        <v>1418</v>
      </c>
      <c r="AN238" s="154" t="s">
        <v>1556</v>
      </c>
      <c r="AO238" s="154">
        <v>28</v>
      </c>
      <c r="AP238" s="154" t="s">
        <v>1416</v>
      </c>
      <c r="AQ238" s="154">
        <v>0</v>
      </c>
      <c r="AR238" s="154" t="s">
        <v>1410</v>
      </c>
      <c r="AS238" s="154"/>
      <c r="AT238" s="154" t="s">
        <v>1417</v>
      </c>
      <c r="AU238" s="154" t="s">
        <v>1412</v>
      </c>
    </row>
    <row r="239" spans="1:47" x14ac:dyDescent="0.45">
      <c r="A239" s="154">
        <v>2505750121</v>
      </c>
      <c r="B239" s="154">
        <v>57</v>
      </c>
      <c r="C239" s="154" t="s">
        <v>1551</v>
      </c>
      <c r="D239" s="154">
        <v>57</v>
      </c>
      <c r="E239" s="154" t="s">
        <v>1552</v>
      </c>
      <c r="F239" s="154" t="s">
        <v>2000</v>
      </c>
      <c r="G239" s="154" t="s">
        <v>2001</v>
      </c>
      <c r="H239" s="154">
        <v>2</v>
      </c>
      <c r="I239" s="154" t="s">
        <v>157</v>
      </c>
      <c r="J239" s="154" t="s">
        <v>1403</v>
      </c>
      <c r="K239" s="154">
        <v>2025</v>
      </c>
      <c r="L239" s="155">
        <v>2025</v>
      </c>
      <c r="M239" s="156">
        <v>45591</v>
      </c>
      <c r="N239" s="154" t="s">
        <v>36</v>
      </c>
      <c r="O239" s="154">
        <v>6</v>
      </c>
      <c r="P239" s="154">
        <v>488</v>
      </c>
      <c r="Q239" s="154" t="s">
        <v>1553</v>
      </c>
      <c r="R239" s="154">
        <v>2</v>
      </c>
      <c r="S239" s="154">
        <v>1</v>
      </c>
      <c r="T239" s="154" t="s">
        <v>1527</v>
      </c>
      <c r="U239" s="154">
        <v>3</v>
      </c>
      <c r="V239" s="155">
        <v>0</v>
      </c>
      <c r="W239" s="155">
        <v>0</v>
      </c>
      <c r="X239" s="155" t="s">
        <v>1406</v>
      </c>
      <c r="Y239" s="156">
        <v>45604</v>
      </c>
      <c r="Z239" s="154" t="s">
        <v>32</v>
      </c>
      <c r="AA239" s="154"/>
      <c r="AB239" s="154">
        <v>0</v>
      </c>
      <c r="AC239" s="154">
        <v>0</v>
      </c>
      <c r="AD239" s="154">
        <v>0</v>
      </c>
      <c r="AE239" s="154" t="s">
        <v>1446</v>
      </c>
      <c r="AF239" s="154"/>
      <c r="AG239" s="154" t="s">
        <v>1446</v>
      </c>
      <c r="AH239" s="154"/>
      <c r="AI239" s="154"/>
      <c r="AJ239" s="154">
        <v>0</v>
      </c>
      <c r="AK239" s="154" t="s">
        <v>1410</v>
      </c>
      <c r="AL239" s="154">
        <v>28282</v>
      </c>
      <c r="AM239" s="154" t="s">
        <v>1414</v>
      </c>
      <c r="AN239" s="154" t="s">
        <v>1572</v>
      </c>
      <c r="AO239" s="154">
        <v>28</v>
      </c>
      <c r="AP239" s="154" t="s">
        <v>1416</v>
      </c>
      <c r="AQ239" s="154">
        <v>0</v>
      </c>
      <c r="AR239" s="154" t="s">
        <v>1410</v>
      </c>
      <c r="AS239" s="154"/>
      <c r="AT239" s="154" t="s">
        <v>1417</v>
      </c>
      <c r="AU239" s="154" t="s">
        <v>1412</v>
      </c>
    </row>
    <row r="240" spans="1:47" x14ac:dyDescent="0.45">
      <c r="A240" s="154">
        <v>2505750122</v>
      </c>
      <c r="B240" s="154">
        <v>57</v>
      </c>
      <c r="C240" s="154" t="s">
        <v>1551</v>
      </c>
      <c r="D240" s="154">
        <v>57</v>
      </c>
      <c r="E240" s="154" t="s">
        <v>1552</v>
      </c>
      <c r="F240" s="154" t="s">
        <v>2002</v>
      </c>
      <c r="G240" s="154" t="s">
        <v>2003</v>
      </c>
      <c r="H240" s="154">
        <v>1</v>
      </c>
      <c r="I240" s="154" t="s">
        <v>1792</v>
      </c>
      <c r="J240" s="154" t="s">
        <v>1403</v>
      </c>
      <c r="K240" s="154">
        <v>2025</v>
      </c>
      <c r="L240" s="155">
        <v>2025</v>
      </c>
      <c r="M240" s="156">
        <v>45594</v>
      </c>
      <c r="N240" s="154" t="s">
        <v>36</v>
      </c>
      <c r="O240" s="154">
        <v>58</v>
      </c>
      <c r="P240" s="154">
        <v>856</v>
      </c>
      <c r="Q240" s="154" t="s">
        <v>1533</v>
      </c>
      <c r="R240" s="154">
        <v>2</v>
      </c>
      <c r="S240" s="154">
        <v>2</v>
      </c>
      <c r="T240" s="154" t="s">
        <v>1464</v>
      </c>
      <c r="U240" s="154">
        <v>1</v>
      </c>
      <c r="V240" s="155">
        <v>2580140</v>
      </c>
      <c r="W240" s="155">
        <v>0</v>
      </c>
      <c r="X240" s="155" t="s">
        <v>1406</v>
      </c>
      <c r="Y240" s="154"/>
      <c r="Z240" s="154" t="s">
        <v>32</v>
      </c>
      <c r="AA240" s="156">
        <v>45698</v>
      </c>
      <c r="AB240" s="154">
        <v>25</v>
      </c>
      <c r="AC240" s="154">
        <v>80140</v>
      </c>
      <c r="AD240" s="154">
        <v>57</v>
      </c>
      <c r="AE240" s="154" t="s">
        <v>1551</v>
      </c>
      <c r="AF240" s="154">
        <v>57</v>
      </c>
      <c r="AG240" s="154" t="s">
        <v>1552</v>
      </c>
      <c r="AH240" s="154" t="s">
        <v>36</v>
      </c>
      <c r="AI240" s="154">
        <v>57</v>
      </c>
      <c r="AJ240" s="154">
        <v>1044</v>
      </c>
      <c r="AK240" s="154" t="s">
        <v>1407</v>
      </c>
      <c r="AL240" s="154">
        <v>28282</v>
      </c>
      <c r="AM240" s="154" t="s">
        <v>1414</v>
      </c>
      <c r="AN240" s="154" t="s">
        <v>1572</v>
      </c>
      <c r="AO240" s="154">
        <v>28</v>
      </c>
      <c r="AP240" s="154" t="s">
        <v>1416</v>
      </c>
      <c r="AQ240" s="154">
        <v>0</v>
      </c>
      <c r="AR240" s="154" t="s">
        <v>1410</v>
      </c>
      <c r="AS240" s="154"/>
      <c r="AT240" s="154" t="s">
        <v>1417</v>
      </c>
      <c r="AU240" s="154" t="s">
        <v>1412</v>
      </c>
    </row>
    <row r="241" spans="1:47" x14ac:dyDescent="0.45">
      <c r="A241" s="154">
        <v>2505750125</v>
      </c>
      <c r="B241" s="154">
        <v>57</v>
      </c>
      <c r="C241" s="154" t="s">
        <v>1551</v>
      </c>
      <c r="D241" s="154">
        <v>57</v>
      </c>
      <c r="E241" s="154" t="s">
        <v>1552</v>
      </c>
      <c r="F241" s="154" t="s">
        <v>2011</v>
      </c>
      <c r="G241" s="154" t="s">
        <v>2012</v>
      </c>
      <c r="H241" s="154">
        <v>1</v>
      </c>
      <c r="I241" s="154" t="s">
        <v>259</v>
      </c>
      <c r="J241" s="154" t="s">
        <v>1403</v>
      </c>
      <c r="K241" s="154">
        <v>2025</v>
      </c>
      <c r="L241" s="155">
        <v>2025</v>
      </c>
      <c r="M241" s="156">
        <v>45566</v>
      </c>
      <c r="N241" s="154" t="s">
        <v>36</v>
      </c>
      <c r="O241" s="154">
        <v>58</v>
      </c>
      <c r="P241" s="154">
        <v>428</v>
      </c>
      <c r="Q241" s="154" t="s">
        <v>1463</v>
      </c>
      <c r="R241" s="154">
        <v>2</v>
      </c>
      <c r="S241" s="154">
        <v>2</v>
      </c>
      <c r="T241" s="154" t="s">
        <v>1464</v>
      </c>
      <c r="U241" s="154">
        <v>1</v>
      </c>
      <c r="V241" s="155">
        <v>2580025</v>
      </c>
      <c r="W241" s="155">
        <v>0</v>
      </c>
      <c r="X241" s="155" t="s">
        <v>1406</v>
      </c>
      <c r="Y241" s="154"/>
      <c r="Z241" s="154" t="s">
        <v>32</v>
      </c>
      <c r="AA241" s="156">
        <v>45580</v>
      </c>
      <c r="AB241" s="154">
        <v>25</v>
      </c>
      <c r="AC241" s="154">
        <v>80025</v>
      </c>
      <c r="AD241" s="154">
        <v>57</v>
      </c>
      <c r="AE241" s="154" t="s">
        <v>1551</v>
      </c>
      <c r="AF241" s="154">
        <v>57</v>
      </c>
      <c r="AG241" s="154" t="s">
        <v>1552</v>
      </c>
      <c r="AH241" s="154" t="s">
        <v>36</v>
      </c>
      <c r="AI241" s="154">
        <v>58</v>
      </c>
      <c r="AJ241" s="154">
        <v>428</v>
      </c>
      <c r="AK241" s="154" t="s">
        <v>1407</v>
      </c>
      <c r="AL241" s="154">
        <v>28204</v>
      </c>
      <c r="AM241" s="154" t="s">
        <v>1418</v>
      </c>
      <c r="AN241" s="154" t="s">
        <v>2809</v>
      </c>
      <c r="AO241" s="154">
        <v>28</v>
      </c>
      <c r="AP241" s="154" t="s">
        <v>1416</v>
      </c>
      <c r="AQ241" s="154">
        <v>0</v>
      </c>
      <c r="AR241" s="154" t="s">
        <v>1410</v>
      </c>
      <c r="AS241" s="154"/>
      <c r="AT241" s="154" t="s">
        <v>1417</v>
      </c>
      <c r="AU241" s="154" t="s">
        <v>1412</v>
      </c>
    </row>
    <row r="242" spans="1:47" x14ac:dyDescent="0.45">
      <c r="A242" s="154">
        <v>2505750126</v>
      </c>
      <c r="B242" s="154">
        <v>57</v>
      </c>
      <c r="C242" s="154" t="s">
        <v>1551</v>
      </c>
      <c r="D242" s="154">
        <v>57</v>
      </c>
      <c r="E242" s="154" t="s">
        <v>1552</v>
      </c>
      <c r="F242" s="154" t="s">
        <v>2014</v>
      </c>
      <c r="G242" s="154" t="s">
        <v>2015</v>
      </c>
      <c r="H242" s="154">
        <v>1</v>
      </c>
      <c r="I242" s="154" t="s">
        <v>2016</v>
      </c>
      <c r="J242" s="154" t="s">
        <v>1403</v>
      </c>
      <c r="K242" s="154">
        <v>2025</v>
      </c>
      <c r="L242" s="155">
        <v>2025</v>
      </c>
      <c r="M242" s="156">
        <v>45595</v>
      </c>
      <c r="N242" s="154" t="s">
        <v>36</v>
      </c>
      <c r="O242" s="154">
        <v>58</v>
      </c>
      <c r="P242" s="154">
        <v>428</v>
      </c>
      <c r="Q242" s="154" t="s">
        <v>1463</v>
      </c>
      <c r="R242" s="154">
        <v>2</v>
      </c>
      <c r="S242" s="154">
        <v>2</v>
      </c>
      <c r="T242" s="154" t="s">
        <v>1464</v>
      </c>
      <c r="U242" s="154">
        <v>1</v>
      </c>
      <c r="V242" s="155">
        <v>2580081</v>
      </c>
      <c r="W242" s="155">
        <v>0</v>
      </c>
      <c r="X242" s="155" t="s">
        <v>1406</v>
      </c>
      <c r="Y242" s="154"/>
      <c r="Z242" s="154" t="s">
        <v>32</v>
      </c>
      <c r="AA242" s="156">
        <v>45635</v>
      </c>
      <c r="AB242" s="154">
        <v>25</v>
      </c>
      <c r="AC242" s="154">
        <v>80081</v>
      </c>
      <c r="AD242" s="154">
        <v>57</v>
      </c>
      <c r="AE242" s="154" t="s">
        <v>1551</v>
      </c>
      <c r="AF242" s="154">
        <v>57</v>
      </c>
      <c r="AG242" s="154" t="s">
        <v>1552</v>
      </c>
      <c r="AH242" s="154" t="s">
        <v>36</v>
      </c>
      <c r="AI242" s="154">
        <v>58</v>
      </c>
      <c r="AJ242" s="154">
        <v>428</v>
      </c>
      <c r="AK242" s="154" t="s">
        <v>1407</v>
      </c>
      <c r="AL242" s="154">
        <v>28279</v>
      </c>
      <c r="AM242" s="154" t="s">
        <v>1421</v>
      </c>
      <c r="AN242" s="154" t="s">
        <v>2864</v>
      </c>
      <c r="AO242" s="154">
        <v>28</v>
      </c>
      <c r="AP242" s="154" t="s">
        <v>1416</v>
      </c>
      <c r="AQ242" s="154">
        <v>0</v>
      </c>
      <c r="AR242" s="154" t="s">
        <v>1410</v>
      </c>
      <c r="AS242" s="154"/>
      <c r="AT242" s="154" t="s">
        <v>1417</v>
      </c>
      <c r="AU242" s="154" t="s">
        <v>1412</v>
      </c>
    </row>
    <row r="243" spans="1:47" x14ac:dyDescent="0.45">
      <c r="A243" s="154">
        <v>2505750127</v>
      </c>
      <c r="B243" s="154">
        <v>57</v>
      </c>
      <c r="C243" s="154" t="s">
        <v>1551</v>
      </c>
      <c r="D243" s="154">
        <v>57</v>
      </c>
      <c r="E243" s="154" t="s">
        <v>1552</v>
      </c>
      <c r="F243" s="154" t="s">
        <v>2018</v>
      </c>
      <c r="G243" s="154" t="s">
        <v>2019</v>
      </c>
      <c r="H243" s="154">
        <v>1</v>
      </c>
      <c r="I243" s="154" t="s">
        <v>2020</v>
      </c>
      <c r="J243" s="154" t="s">
        <v>1403</v>
      </c>
      <c r="K243" s="154">
        <v>2025</v>
      </c>
      <c r="L243" s="155">
        <v>2025</v>
      </c>
      <c r="M243" s="156">
        <v>45558</v>
      </c>
      <c r="N243" s="154" t="s">
        <v>36</v>
      </c>
      <c r="O243" s="154" t="s">
        <v>135</v>
      </c>
      <c r="P243" s="154">
        <v>112</v>
      </c>
      <c r="Q243" s="154" t="s">
        <v>1522</v>
      </c>
      <c r="R243" s="154">
        <v>2</v>
      </c>
      <c r="S243" s="154">
        <v>5</v>
      </c>
      <c r="T243" s="154" t="s">
        <v>1470</v>
      </c>
      <c r="U243" s="154">
        <v>15</v>
      </c>
      <c r="V243" s="155">
        <v>2580057</v>
      </c>
      <c r="W243" s="155">
        <v>0</v>
      </c>
      <c r="X243" s="155" t="s">
        <v>1406</v>
      </c>
      <c r="Y243" s="154"/>
      <c r="Z243" s="154" t="s">
        <v>32</v>
      </c>
      <c r="AA243" s="156">
        <v>45609</v>
      </c>
      <c r="AB243" s="154">
        <v>25</v>
      </c>
      <c r="AC243" s="154">
        <v>80057</v>
      </c>
      <c r="AD243" s="154">
        <v>57</v>
      </c>
      <c r="AE243" s="154" t="s">
        <v>1551</v>
      </c>
      <c r="AF243" s="154">
        <v>57</v>
      </c>
      <c r="AG243" s="154" t="s">
        <v>1552</v>
      </c>
      <c r="AH243" s="154" t="s">
        <v>36</v>
      </c>
      <c r="AI243" s="154" t="s">
        <v>135</v>
      </c>
      <c r="AJ243" s="154">
        <v>112</v>
      </c>
      <c r="AK243" s="154" t="s">
        <v>1407</v>
      </c>
      <c r="AL243" s="154">
        <v>28167</v>
      </c>
      <c r="AM243" s="154" t="s">
        <v>1418</v>
      </c>
      <c r="AN243" s="154" t="s">
        <v>2810</v>
      </c>
      <c r="AO243" s="154">
        <v>28</v>
      </c>
      <c r="AP243" s="154" t="s">
        <v>1416</v>
      </c>
      <c r="AQ243" s="154">
        <v>0</v>
      </c>
      <c r="AR243" s="154" t="s">
        <v>1410</v>
      </c>
      <c r="AS243" s="154"/>
      <c r="AT243" s="154" t="s">
        <v>1417</v>
      </c>
      <c r="AU243" s="154" t="s">
        <v>1412</v>
      </c>
    </row>
    <row r="244" spans="1:47" x14ac:dyDescent="0.45">
      <c r="A244" s="154">
        <v>2505750128</v>
      </c>
      <c r="B244" s="154">
        <v>57</v>
      </c>
      <c r="C244" s="154" t="s">
        <v>1551</v>
      </c>
      <c r="D244" s="154">
        <v>57</v>
      </c>
      <c r="E244" s="154" t="s">
        <v>1552</v>
      </c>
      <c r="F244" s="154" t="s">
        <v>2021</v>
      </c>
      <c r="G244" s="154" t="s">
        <v>2022</v>
      </c>
      <c r="H244" s="154">
        <v>1</v>
      </c>
      <c r="I244" s="154" t="s">
        <v>2023</v>
      </c>
      <c r="J244" s="154" t="s">
        <v>1403</v>
      </c>
      <c r="K244" s="154">
        <v>2025</v>
      </c>
      <c r="L244" s="155">
        <v>2025</v>
      </c>
      <c r="M244" s="156">
        <v>45594</v>
      </c>
      <c r="N244" s="154" t="s">
        <v>36</v>
      </c>
      <c r="O244" s="154">
        <v>6</v>
      </c>
      <c r="P244" s="154">
        <v>448</v>
      </c>
      <c r="Q244" s="154" t="s">
        <v>1557</v>
      </c>
      <c r="R244" s="154">
        <v>2</v>
      </c>
      <c r="S244" s="154">
        <v>1</v>
      </c>
      <c r="T244" s="154" t="s">
        <v>1527</v>
      </c>
      <c r="U244" s="154">
        <v>3</v>
      </c>
      <c r="V244" s="155">
        <v>2580072</v>
      </c>
      <c r="W244" s="155">
        <v>0</v>
      </c>
      <c r="X244" s="155" t="s">
        <v>1406</v>
      </c>
      <c r="Y244" s="154"/>
      <c r="Z244" s="154" t="s">
        <v>32</v>
      </c>
      <c r="AA244" s="156">
        <v>45622</v>
      </c>
      <c r="AB244" s="154">
        <v>25</v>
      </c>
      <c r="AC244" s="154">
        <v>80072</v>
      </c>
      <c r="AD244" s="154">
        <v>57</v>
      </c>
      <c r="AE244" s="154" t="s">
        <v>1551</v>
      </c>
      <c r="AF244" s="154">
        <v>57</v>
      </c>
      <c r="AG244" s="154" t="s">
        <v>1552</v>
      </c>
      <c r="AH244" s="154" t="s">
        <v>36</v>
      </c>
      <c r="AI244" s="154">
        <v>6</v>
      </c>
      <c r="AJ244" s="154">
        <v>448</v>
      </c>
      <c r="AK244" s="154" t="s">
        <v>1407</v>
      </c>
      <c r="AL244" s="154">
        <v>28232</v>
      </c>
      <c r="AM244" s="154" t="s">
        <v>1418</v>
      </c>
      <c r="AN244" s="154" t="s">
        <v>1548</v>
      </c>
      <c r="AO244" s="154">
        <v>28</v>
      </c>
      <c r="AP244" s="154" t="s">
        <v>1416</v>
      </c>
      <c r="AQ244" s="154">
        <v>0</v>
      </c>
      <c r="AR244" s="154" t="s">
        <v>1410</v>
      </c>
      <c r="AS244" s="154"/>
      <c r="AT244" s="154" t="s">
        <v>1417</v>
      </c>
      <c r="AU244" s="154" t="s">
        <v>1412</v>
      </c>
    </row>
    <row r="245" spans="1:47" x14ac:dyDescent="0.45">
      <c r="A245" s="154">
        <v>2505750129</v>
      </c>
      <c r="B245" s="154">
        <v>57</v>
      </c>
      <c r="C245" s="154" t="s">
        <v>1551</v>
      </c>
      <c r="D245" s="154">
        <v>57</v>
      </c>
      <c r="E245" s="154" t="s">
        <v>1552</v>
      </c>
      <c r="F245" s="154" t="s">
        <v>2025</v>
      </c>
      <c r="G245" s="154" t="s">
        <v>2026</v>
      </c>
      <c r="H245" s="154">
        <v>1</v>
      </c>
      <c r="I245" s="154" t="s">
        <v>1710</v>
      </c>
      <c r="J245" s="154" t="s">
        <v>1403</v>
      </c>
      <c r="K245" s="154">
        <v>2025</v>
      </c>
      <c r="L245" s="155">
        <v>2025</v>
      </c>
      <c r="M245" s="156">
        <v>45585</v>
      </c>
      <c r="N245" s="154" t="s">
        <v>36</v>
      </c>
      <c r="O245" s="154">
        <v>58</v>
      </c>
      <c r="P245" s="154">
        <v>428</v>
      </c>
      <c r="Q245" s="154" t="s">
        <v>1463</v>
      </c>
      <c r="R245" s="154">
        <v>2</v>
      </c>
      <c r="S245" s="154">
        <v>2</v>
      </c>
      <c r="T245" s="154" t="s">
        <v>1464</v>
      </c>
      <c r="U245" s="154">
        <v>1</v>
      </c>
      <c r="V245" s="155">
        <v>2580094</v>
      </c>
      <c r="W245" s="155">
        <v>0</v>
      </c>
      <c r="X245" s="155" t="s">
        <v>1406</v>
      </c>
      <c r="Y245" s="154"/>
      <c r="Z245" s="154" t="s">
        <v>32</v>
      </c>
      <c r="AA245" s="156">
        <v>45645</v>
      </c>
      <c r="AB245" s="154">
        <v>25</v>
      </c>
      <c r="AC245" s="154">
        <v>80094</v>
      </c>
      <c r="AD245" s="154">
        <v>57</v>
      </c>
      <c r="AE245" s="154" t="s">
        <v>1551</v>
      </c>
      <c r="AF245" s="154">
        <v>57</v>
      </c>
      <c r="AG245" s="154" t="s">
        <v>1552</v>
      </c>
      <c r="AH245" s="154" t="s">
        <v>36</v>
      </c>
      <c r="AI245" s="154">
        <v>58</v>
      </c>
      <c r="AJ245" s="154">
        <v>428</v>
      </c>
      <c r="AK245" s="154" t="s">
        <v>1407</v>
      </c>
      <c r="AL245" s="154">
        <v>27167</v>
      </c>
      <c r="AM245" s="154" t="s">
        <v>1421</v>
      </c>
      <c r="AN245" s="154" t="s">
        <v>2811</v>
      </c>
      <c r="AO245" s="154">
        <v>27</v>
      </c>
      <c r="AP245" s="154" t="s">
        <v>1581</v>
      </c>
      <c r="AQ245" s="154">
        <v>0</v>
      </c>
      <c r="AR245" s="154" t="s">
        <v>1410</v>
      </c>
      <c r="AS245" s="154"/>
      <c r="AT245" s="154" t="s">
        <v>1417</v>
      </c>
      <c r="AU245" s="154" t="s">
        <v>1412</v>
      </c>
    </row>
    <row r="246" spans="1:47" x14ac:dyDescent="0.45">
      <c r="A246" s="154">
        <v>2505750130</v>
      </c>
      <c r="B246" s="154">
        <v>57</v>
      </c>
      <c r="C246" s="154" t="s">
        <v>1551</v>
      </c>
      <c r="D246" s="154">
        <v>57</v>
      </c>
      <c r="E246" s="154" t="s">
        <v>1552</v>
      </c>
      <c r="F246" s="154" t="s">
        <v>2028</v>
      </c>
      <c r="G246" s="154" t="s">
        <v>2029</v>
      </c>
      <c r="H246" s="154">
        <v>2</v>
      </c>
      <c r="I246" s="154" t="s">
        <v>2030</v>
      </c>
      <c r="J246" s="154" t="s">
        <v>1403</v>
      </c>
      <c r="K246" s="154">
        <v>2025</v>
      </c>
      <c r="L246" s="155">
        <v>2025</v>
      </c>
      <c r="M246" s="156">
        <v>45573</v>
      </c>
      <c r="N246" s="154" t="s">
        <v>36</v>
      </c>
      <c r="O246" s="154" t="s">
        <v>51</v>
      </c>
      <c r="P246" s="154">
        <v>856</v>
      </c>
      <c r="Q246" s="154" t="s">
        <v>1533</v>
      </c>
      <c r="R246" s="154">
        <v>1</v>
      </c>
      <c r="S246" s="154">
        <v>2</v>
      </c>
      <c r="T246" s="154" t="s">
        <v>1464</v>
      </c>
      <c r="U246" s="154">
        <v>1</v>
      </c>
      <c r="V246" s="155">
        <v>0</v>
      </c>
      <c r="W246" s="155">
        <v>0</v>
      </c>
      <c r="X246" s="155" t="s">
        <v>1406</v>
      </c>
      <c r="Y246" s="156">
        <v>45614</v>
      </c>
      <c r="Z246" s="154" t="s">
        <v>32</v>
      </c>
      <c r="AA246" s="154"/>
      <c r="AB246" s="154">
        <v>0</v>
      </c>
      <c r="AC246" s="154">
        <v>0</v>
      </c>
      <c r="AD246" s="154">
        <v>0</v>
      </c>
      <c r="AE246" s="154" t="s">
        <v>1446</v>
      </c>
      <c r="AF246" s="154"/>
      <c r="AG246" s="154" t="s">
        <v>1446</v>
      </c>
      <c r="AH246" s="154"/>
      <c r="AI246" s="154"/>
      <c r="AJ246" s="154">
        <v>0</v>
      </c>
      <c r="AK246" s="154" t="s">
        <v>1473</v>
      </c>
      <c r="AL246" s="154">
        <v>28192</v>
      </c>
      <c r="AM246" s="154" t="s">
        <v>1418</v>
      </c>
      <c r="AN246" s="154" t="s">
        <v>2812</v>
      </c>
      <c r="AO246" s="154">
        <v>28</v>
      </c>
      <c r="AP246" s="154" t="s">
        <v>1416</v>
      </c>
      <c r="AQ246" s="154">
        <v>0</v>
      </c>
      <c r="AR246" s="154" t="s">
        <v>1410</v>
      </c>
      <c r="AS246" s="154"/>
      <c r="AT246" s="154" t="s">
        <v>1417</v>
      </c>
      <c r="AU246" s="154" t="s">
        <v>1412</v>
      </c>
    </row>
    <row r="247" spans="1:47" x14ac:dyDescent="0.45">
      <c r="A247" s="154">
        <v>2505750131</v>
      </c>
      <c r="B247" s="154">
        <v>57</v>
      </c>
      <c r="C247" s="154" t="s">
        <v>1551</v>
      </c>
      <c r="D247" s="154">
        <v>57</v>
      </c>
      <c r="E247" s="154" t="s">
        <v>1552</v>
      </c>
      <c r="F247" s="154" t="s">
        <v>2032</v>
      </c>
      <c r="G247" s="154" t="s">
        <v>2033</v>
      </c>
      <c r="H247" s="154">
        <v>1</v>
      </c>
      <c r="I247" s="154" t="s">
        <v>2703</v>
      </c>
      <c r="J247" s="154" t="s">
        <v>1403</v>
      </c>
      <c r="K247" s="154">
        <v>2025</v>
      </c>
      <c r="L247" s="155">
        <v>2025</v>
      </c>
      <c r="M247" s="156">
        <v>45554</v>
      </c>
      <c r="N247" s="154" t="s">
        <v>36</v>
      </c>
      <c r="O247" s="154">
        <v>58</v>
      </c>
      <c r="P247" s="154">
        <v>428</v>
      </c>
      <c r="Q247" s="154" t="s">
        <v>1463</v>
      </c>
      <c r="R247" s="154">
        <v>2</v>
      </c>
      <c r="S247" s="154">
        <v>2</v>
      </c>
      <c r="T247" s="154" t="s">
        <v>1464</v>
      </c>
      <c r="U247" s="154">
        <v>1</v>
      </c>
      <c r="V247" s="155">
        <v>2580086</v>
      </c>
      <c r="W247" s="155">
        <v>0</v>
      </c>
      <c r="X247" s="155" t="s">
        <v>1406</v>
      </c>
      <c r="Y247" s="154"/>
      <c r="Z247" s="154" t="s">
        <v>32</v>
      </c>
      <c r="AA247" s="156">
        <v>45637</v>
      </c>
      <c r="AB247" s="154">
        <v>25</v>
      </c>
      <c r="AC247" s="154">
        <v>80086</v>
      </c>
      <c r="AD247" s="154">
        <v>57</v>
      </c>
      <c r="AE247" s="154" t="s">
        <v>1551</v>
      </c>
      <c r="AF247" s="154">
        <v>57</v>
      </c>
      <c r="AG247" s="154" t="s">
        <v>1552</v>
      </c>
      <c r="AH247" s="154" t="s">
        <v>36</v>
      </c>
      <c r="AI247" s="154">
        <v>58</v>
      </c>
      <c r="AJ247" s="154">
        <v>428</v>
      </c>
      <c r="AK247" s="154" t="s">
        <v>1407</v>
      </c>
      <c r="AL247" s="154">
        <v>38015</v>
      </c>
      <c r="AM247" s="154" t="s">
        <v>1421</v>
      </c>
      <c r="AN247" s="154" t="s">
        <v>2813</v>
      </c>
      <c r="AO247" s="154">
        <v>38</v>
      </c>
      <c r="AP247" s="154" t="s">
        <v>1596</v>
      </c>
      <c r="AQ247" s="154">
        <v>0</v>
      </c>
      <c r="AR247" s="154" t="s">
        <v>1410</v>
      </c>
      <c r="AS247" s="154"/>
      <c r="AT247" s="154" t="s">
        <v>1417</v>
      </c>
      <c r="AU247" s="154" t="s">
        <v>1412</v>
      </c>
    </row>
    <row r="248" spans="1:47" x14ac:dyDescent="0.45">
      <c r="A248" s="154">
        <v>2505750139</v>
      </c>
      <c r="B248" s="154">
        <v>57</v>
      </c>
      <c r="C248" s="154" t="s">
        <v>1551</v>
      </c>
      <c r="D248" s="154">
        <v>57</v>
      </c>
      <c r="E248" s="154" t="s">
        <v>1552</v>
      </c>
      <c r="F248" s="154" t="s">
        <v>2054</v>
      </c>
      <c r="G248" s="154" t="s">
        <v>2055</v>
      </c>
      <c r="H248" s="154">
        <v>1</v>
      </c>
      <c r="I248" s="154" t="s">
        <v>2056</v>
      </c>
      <c r="J248" s="154" t="s">
        <v>1403</v>
      </c>
      <c r="K248" s="154">
        <v>2025</v>
      </c>
      <c r="L248" s="155">
        <v>2025</v>
      </c>
      <c r="M248" s="156">
        <v>45591</v>
      </c>
      <c r="N248" s="154" t="s">
        <v>36</v>
      </c>
      <c r="O248" s="154" t="s">
        <v>51</v>
      </c>
      <c r="P248" s="154">
        <v>428</v>
      </c>
      <c r="Q248" s="154" t="s">
        <v>1463</v>
      </c>
      <c r="R248" s="154">
        <v>1</v>
      </c>
      <c r="S248" s="154">
        <v>2</v>
      </c>
      <c r="T248" s="154" t="s">
        <v>1464</v>
      </c>
      <c r="U248" s="154">
        <v>1</v>
      </c>
      <c r="V248" s="155">
        <v>0</v>
      </c>
      <c r="W248" s="155">
        <v>0</v>
      </c>
      <c r="X248" s="155" t="s">
        <v>1406</v>
      </c>
      <c r="Y248" s="156">
        <v>45637</v>
      </c>
      <c r="Z248" s="154" t="s">
        <v>32</v>
      </c>
      <c r="AA248" s="154"/>
      <c r="AB248" s="154">
        <v>0</v>
      </c>
      <c r="AC248" s="154">
        <v>0</v>
      </c>
      <c r="AD248" s="154">
        <v>0</v>
      </c>
      <c r="AE248" s="154" t="s">
        <v>1446</v>
      </c>
      <c r="AF248" s="154"/>
      <c r="AG248" s="154" t="s">
        <v>1446</v>
      </c>
      <c r="AH248" s="154"/>
      <c r="AI248" s="154"/>
      <c r="AJ248" s="154">
        <v>0</v>
      </c>
      <c r="AK248" s="154" t="s">
        <v>1473</v>
      </c>
      <c r="AL248" s="154">
        <v>28246</v>
      </c>
      <c r="AM248" s="154" t="s">
        <v>1418</v>
      </c>
      <c r="AN248" s="154" t="s">
        <v>1567</v>
      </c>
      <c r="AO248" s="154">
        <v>28</v>
      </c>
      <c r="AP248" s="154" t="s">
        <v>1416</v>
      </c>
      <c r="AQ248" s="154">
        <v>0</v>
      </c>
      <c r="AR248" s="154" t="s">
        <v>1410</v>
      </c>
      <c r="AS248" s="154"/>
      <c r="AT248" s="154" t="s">
        <v>1417</v>
      </c>
      <c r="AU248" s="154" t="s">
        <v>1412</v>
      </c>
    </row>
    <row r="249" spans="1:47" x14ac:dyDescent="0.45">
      <c r="A249" s="154">
        <v>2505750141</v>
      </c>
      <c r="B249" s="154">
        <v>57</v>
      </c>
      <c r="C249" s="154" t="s">
        <v>1551</v>
      </c>
      <c r="D249" s="154">
        <v>57</v>
      </c>
      <c r="E249" s="154" t="s">
        <v>1552</v>
      </c>
      <c r="F249" s="154" t="s">
        <v>2061</v>
      </c>
      <c r="G249" s="154" t="s">
        <v>2062</v>
      </c>
      <c r="H249" s="154">
        <v>1</v>
      </c>
      <c r="I249" s="154" t="s">
        <v>1585</v>
      </c>
      <c r="J249" s="154" t="s">
        <v>1403</v>
      </c>
      <c r="K249" s="154">
        <v>2025</v>
      </c>
      <c r="L249" s="155">
        <v>2025</v>
      </c>
      <c r="M249" s="156">
        <v>45590</v>
      </c>
      <c r="N249" s="154" t="s">
        <v>36</v>
      </c>
      <c r="O249" s="154" t="s">
        <v>51</v>
      </c>
      <c r="P249" s="154">
        <v>428</v>
      </c>
      <c r="Q249" s="154" t="s">
        <v>1463</v>
      </c>
      <c r="R249" s="154">
        <v>1</v>
      </c>
      <c r="S249" s="154">
        <v>2</v>
      </c>
      <c r="T249" s="154" t="s">
        <v>1464</v>
      </c>
      <c r="U249" s="154">
        <v>1</v>
      </c>
      <c r="V249" s="155">
        <v>2580089</v>
      </c>
      <c r="W249" s="155">
        <v>0</v>
      </c>
      <c r="X249" s="155" t="s">
        <v>1406</v>
      </c>
      <c r="Y249" s="154"/>
      <c r="Z249" s="154" t="s">
        <v>32</v>
      </c>
      <c r="AA249" s="156">
        <v>45642</v>
      </c>
      <c r="AB249" s="154">
        <v>25</v>
      </c>
      <c r="AC249" s="154">
        <v>80089</v>
      </c>
      <c r="AD249" s="154">
        <v>57</v>
      </c>
      <c r="AE249" s="154" t="s">
        <v>1551</v>
      </c>
      <c r="AF249" s="154">
        <v>57</v>
      </c>
      <c r="AG249" s="154" t="s">
        <v>1552</v>
      </c>
      <c r="AH249" s="154" t="s">
        <v>36</v>
      </c>
      <c r="AI249" s="154" t="s">
        <v>51</v>
      </c>
      <c r="AJ249" s="154">
        <v>428</v>
      </c>
      <c r="AK249" s="154" t="s">
        <v>1473</v>
      </c>
      <c r="AL249" s="154">
        <v>28272</v>
      </c>
      <c r="AM249" s="154" t="s">
        <v>1421</v>
      </c>
      <c r="AN249" s="154" t="s">
        <v>2814</v>
      </c>
      <c r="AO249" s="154">
        <v>28</v>
      </c>
      <c r="AP249" s="154" t="s">
        <v>1416</v>
      </c>
      <c r="AQ249" s="154">
        <v>0</v>
      </c>
      <c r="AR249" s="154" t="s">
        <v>1410</v>
      </c>
      <c r="AS249" s="154"/>
      <c r="AT249" s="154" t="s">
        <v>1417</v>
      </c>
      <c r="AU249" s="154" t="s">
        <v>1412</v>
      </c>
    </row>
    <row r="250" spans="1:47" x14ac:dyDescent="0.45">
      <c r="A250" s="154">
        <v>2505750142</v>
      </c>
      <c r="B250" s="154">
        <v>57</v>
      </c>
      <c r="C250" s="154" t="s">
        <v>1551</v>
      </c>
      <c r="D250" s="154">
        <v>57</v>
      </c>
      <c r="E250" s="154" t="s">
        <v>1552</v>
      </c>
      <c r="F250" s="154" t="s">
        <v>2063</v>
      </c>
      <c r="G250" s="154" t="s">
        <v>2064</v>
      </c>
      <c r="H250" s="154">
        <v>1</v>
      </c>
      <c r="I250" s="154" t="s">
        <v>2065</v>
      </c>
      <c r="J250" s="154" t="s">
        <v>1403</v>
      </c>
      <c r="K250" s="154">
        <v>2025</v>
      </c>
      <c r="L250" s="155">
        <v>2025</v>
      </c>
      <c r="M250" s="156">
        <v>45571</v>
      </c>
      <c r="N250" s="154" t="s">
        <v>36</v>
      </c>
      <c r="O250" s="154">
        <v>58</v>
      </c>
      <c r="P250" s="154">
        <v>427</v>
      </c>
      <c r="Q250" s="154" t="s">
        <v>1479</v>
      </c>
      <c r="R250" s="154">
        <v>2</v>
      </c>
      <c r="S250" s="154">
        <v>2</v>
      </c>
      <c r="T250" s="154" t="s">
        <v>1464</v>
      </c>
      <c r="U250" s="154">
        <v>1</v>
      </c>
      <c r="V250" s="155">
        <v>0</v>
      </c>
      <c r="W250" s="155">
        <v>0</v>
      </c>
      <c r="X250" s="155" t="s">
        <v>1406</v>
      </c>
      <c r="Y250" s="156">
        <v>45738</v>
      </c>
      <c r="Z250" s="154" t="s">
        <v>32</v>
      </c>
      <c r="AA250" s="154"/>
      <c r="AB250" s="154">
        <v>0</v>
      </c>
      <c r="AC250" s="154">
        <v>0</v>
      </c>
      <c r="AD250" s="154">
        <v>0</v>
      </c>
      <c r="AE250" s="154" t="s">
        <v>1446</v>
      </c>
      <c r="AF250" s="154"/>
      <c r="AG250" s="154" t="s">
        <v>1446</v>
      </c>
      <c r="AH250" s="154"/>
      <c r="AI250" s="154"/>
      <c r="AJ250" s="154">
        <v>0</v>
      </c>
      <c r="AK250" s="154" t="s">
        <v>1473</v>
      </c>
      <c r="AL250" s="154">
        <v>28185</v>
      </c>
      <c r="AM250" s="154" t="s">
        <v>1418</v>
      </c>
      <c r="AN250" s="154" t="s">
        <v>1438</v>
      </c>
      <c r="AO250" s="154">
        <v>28</v>
      </c>
      <c r="AP250" s="154" t="s">
        <v>1416</v>
      </c>
      <c r="AQ250" s="154">
        <v>0</v>
      </c>
      <c r="AR250" s="154" t="s">
        <v>1410</v>
      </c>
      <c r="AS250" s="154"/>
      <c r="AT250" s="154" t="s">
        <v>1417</v>
      </c>
      <c r="AU250" s="154" t="s">
        <v>1412</v>
      </c>
    </row>
    <row r="251" spans="1:47" x14ac:dyDescent="0.45">
      <c r="A251" s="154">
        <v>2505750143</v>
      </c>
      <c r="B251" s="154">
        <v>57</v>
      </c>
      <c r="C251" s="154" t="s">
        <v>1551</v>
      </c>
      <c r="D251" s="154">
        <v>57</v>
      </c>
      <c r="E251" s="154" t="s">
        <v>1552</v>
      </c>
      <c r="F251" s="154" t="s">
        <v>2066</v>
      </c>
      <c r="G251" s="154" t="s">
        <v>2067</v>
      </c>
      <c r="H251" s="154">
        <v>1</v>
      </c>
      <c r="I251" s="154" t="s">
        <v>348</v>
      </c>
      <c r="J251" s="154" t="s">
        <v>1403</v>
      </c>
      <c r="K251" s="154">
        <v>2025</v>
      </c>
      <c r="L251" s="155">
        <v>2025</v>
      </c>
      <c r="M251" s="156">
        <v>45582</v>
      </c>
      <c r="N251" s="154" t="s">
        <v>36</v>
      </c>
      <c r="O251" s="154">
        <v>58</v>
      </c>
      <c r="P251" s="154">
        <v>968</v>
      </c>
      <c r="Q251" s="154" t="s">
        <v>1474</v>
      </c>
      <c r="R251" s="154">
        <v>2</v>
      </c>
      <c r="S251" s="154">
        <v>2</v>
      </c>
      <c r="T251" s="154" t="s">
        <v>1464</v>
      </c>
      <c r="U251" s="154">
        <v>1</v>
      </c>
      <c r="V251" s="155">
        <v>2580053</v>
      </c>
      <c r="W251" s="155">
        <v>0</v>
      </c>
      <c r="X251" s="155" t="s">
        <v>1406</v>
      </c>
      <c r="Y251" s="154"/>
      <c r="Z251" s="154" t="s">
        <v>32</v>
      </c>
      <c r="AA251" s="156">
        <v>45603</v>
      </c>
      <c r="AB251" s="154">
        <v>25</v>
      </c>
      <c r="AC251" s="154">
        <v>80053</v>
      </c>
      <c r="AD251" s="154">
        <v>57</v>
      </c>
      <c r="AE251" s="154" t="s">
        <v>1551</v>
      </c>
      <c r="AF251" s="154">
        <v>57</v>
      </c>
      <c r="AG251" s="154" t="s">
        <v>1552</v>
      </c>
      <c r="AH251" s="154" t="s">
        <v>36</v>
      </c>
      <c r="AI251" s="154">
        <v>58</v>
      </c>
      <c r="AJ251" s="154">
        <v>968</v>
      </c>
      <c r="AK251" s="154" t="s">
        <v>1407</v>
      </c>
      <c r="AL251" s="154">
        <v>28022</v>
      </c>
      <c r="AM251" s="154" t="s">
        <v>1421</v>
      </c>
      <c r="AN251" s="154" t="s">
        <v>1571</v>
      </c>
      <c r="AO251" s="154">
        <v>28</v>
      </c>
      <c r="AP251" s="154" t="s">
        <v>1416</v>
      </c>
      <c r="AQ251" s="154">
        <v>0</v>
      </c>
      <c r="AR251" s="154" t="s">
        <v>1410</v>
      </c>
      <c r="AS251" s="154"/>
      <c r="AT251" s="154" t="s">
        <v>1417</v>
      </c>
      <c r="AU251" s="154" t="s">
        <v>1412</v>
      </c>
    </row>
    <row r="252" spans="1:47" x14ac:dyDescent="0.45">
      <c r="A252" s="154">
        <v>2505750146</v>
      </c>
      <c r="B252" s="154">
        <v>57</v>
      </c>
      <c r="C252" s="154" t="s">
        <v>1551</v>
      </c>
      <c r="D252" s="154">
        <v>57</v>
      </c>
      <c r="E252" s="154" t="s">
        <v>1552</v>
      </c>
      <c r="F252" s="154" t="s">
        <v>2072</v>
      </c>
      <c r="G252" s="154" t="s">
        <v>2073</v>
      </c>
      <c r="H252" s="154">
        <v>1</v>
      </c>
      <c r="I252" s="154" t="s">
        <v>2074</v>
      </c>
      <c r="J252" s="154" t="s">
        <v>1403</v>
      </c>
      <c r="K252" s="154">
        <v>2025</v>
      </c>
      <c r="L252" s="155">
        <v>2025</v>
      </c>
      <c r="M252" s="156">
        <v>45572</v>
      </c>
      <c r="N252" s="154" t="s">
        <v>36</v>
      </c>
      <c r="O252" s="154">
        <v>58</v>
      </c>
      <c r="P252" s="154">
        <v>785</v>
      </c>
      <c r="Q252" s="154" t="s">
        <v>1491</v>
      </c>
      <c r="R252" s="154">
        <v>2</v>
      </c>
      <c r="S252" s="154">
        <v>2</v>
      </c>
      <c r="T252" s="154" t="s">
        <v>1464</v>
      </c>
      <c r="U252" s="154">
        <v>1</v>
      </c>
      <c r="V252" s="155">
        <v>2580096</v>
      </c>
      <c r="W252" s="155">
        <v>0</v>
      </c>
      <c r="X252" s="155" t="s">
        <v>1406</v>
      </c>
      <c r="Y252" s="154"/>
      <c r="Z252" s="154" t="s">
        <v>32</v>
      </c>
      <c r="AA252" s="156">
        <v>45649</v>
      </c>
      <c r="AB252" s="154">
        <v>25</v>
      </c>
      <c r="AC252" s="154">
        <v>80096</v>
      </c>
      <c r="AD252" s="154">
        <v>57</v>
      </c>
      <c r="AE252" s="154" t="s">
        <v>1551</v>
      </c>
      <c r="AF252" s="154">
        <v>57</v>
      </c>
      <c r="AG252" s="154" t="s">
        <v>1552</v>
      </c>
      <c r="AH252" s="154" t="s">
        <v>36</v>
      </c>
      <c r="AI252" s="154">
        <v>58</v>
      </c>
      <c r="AJ252" s="154">
        <v>785</v>
      </c>
      <c r="AK252" s="154" t="s">
        <v>1407</v>
      </c>
      <c r="AL252" s="154">
        <v>28203</v>
      </c>
      <c r="AM252" s="154" t="s">
        <v>1418</v>
      </c>
      <c r="AN252" s="154" t="s">
        <v>1619</v>
      </c>
      <c r="AO252" s="154">
        <v>28</v>
      </c>
      <c r="AP252" s="154" t="s">
        <v>1416</v>
      </c>
      <c r="AQ252" s="154">
        <v>0</v>
      </c>
      <c r="AR252" s="154" t="s">
        <v>1410</v>
      </c>
      <c r="AS252" s="154"/>
      <c r="AT252" s="154" t="s">
        <v>1417</v>
      </c>
      <c r="AU252" s="154" t="s">
        <v>1412</v>
      </c>
    </row>
    <row r="253" spans="1:47" x14ac:dyDescent="0.45">
      <c r="A253" s="154">
        <v>2505750147</v>
      </c>
      <c r="B253" s="154">
        <v>57</v>
      </c>
      <c r="C253" s="154" t="s">
        <v>1551</v>
      </c>
      <c r="D253" s="154">
        <v>57</v>
      </c>
      <c r="E253" s="154" t="s">
        <v>1552</v>
      </c>
      <c r="F253" s="154" t="s">
        <v>2076</v>
      </c>
      <c r="G253" s="154" t="s">
        <v>2077</v>
      </c>
      <c r="H253" s="154">
        <v>1</v>
      </c>
      <c r="I253" s="154" t="s">
        <v>399</v>
      </c>
      <c r="J253" s="154" t="s">
        <v>1403</v>
      </c>
      <c r="K253" s="154">
        <v>2025</v>
      </c>
      <c r="L253" s="155">
        <v>2025</v>
      </c>
      <c r="M253" s="156">
        <v>45566</v>
      </c>
      <c r="N253" s="154" t="s">
        <v>36</v>
      </c>
      <c r="O253" s="154">
        <v>58</v>
      </c>
      <c r="P253" s="154">
        <v>852</v>
      </c>
      <c r="Q253" s="154" t="s">
        <v>1472</v>
      </c>
      <c r="R253" s="154">
        <v>2</v>
      </c>
      <c r="S253" s="154">
        <v>2</v>
      </c>
      <c r="T253" s="154" t="s">
        <v>1464</v>
      </c>
      <c r="U253" s="154">
        <v>1</v>
      </c>
      <c r="V253" s="155">
        <v>2580088</v>
      </c>
      <c r="W253" s="155">
        <v>0</v>
      </c>
      <c r="X253" s="155" t="s">
        <v>1406</v>
      </c>
      <c r="Y253" s="154"/>
      <c r="Z253" s="154" t="s">
        <v>32</v>
      </c>
      <c r="AA253" s="156">
        <v>45639</v>
      </c>
      <c r="AB253" s="154">
        <v>25</v>
      </c>
      <c r="AC253" s="154">
        <v>80088</v>
      </c>
      <c r="AD253" s="154">
        <v>57</v>
      </c>
      <c r="AE253" s="154" t="s">
        <v>1551</v>
      </c>
      <c r="AF253" s="154">
        <v>57</v>
      </c>
      <c r="AG253" s="154" t="s">
        <v>1552</v>
      </c>
      <c r="AH253" s="154" t="s">
        <v>36</v>
      </c>
      <c r="AI253" s="154">
        <v>58</v>
      </c>
      <c r="AJ253" s="154">
        <v>852</v>
      </c>
      <c r="AK253" s="154" t="s">
        <v>1407</v>
      </c>
      <c r="AL253" s="154">
        <v>28019</v>
      </c>
      <c r="AM253" s="154" t="s">
        <v>1421</v>
      </c>
      <c r="AN253" s="154" t="s">
        <v>1578</v>
      </c>
      <c r="AO253" s="154">
        <v>28</v>
      </c>
      <c r="AP253" s="154" t="s">
        <v>1416</v>
      </c>
      <c r="AQ253" s="154">
        <v>0</v>
      </c>
      <c r="AR253" s="154" t="s">
        <v>1410</v>
      </c>
      <c r="AS253" s="154"/>
      <c r="AT253" s="154" t="s">
        <v>1417</v>
      </c>
      <c r="AU253" s="154" t="s">
        <v>1412</v>
      </c>
    </row>
    <row r="254" spans="1:47" x14ac:dyDescent="0.45">
      <c r="A254" s="154">
        <v>2505750150</v>
      </c>
      <c r="B254" s="154">
        <v>57</v>
      </c>
      <c r="C254" s="154" t="s">
        <v>1551</v>
      </c>
      <c r="D254" s="154">
        <v>57</v>
      </c>
      <c r="E254" s="154" t="s">
        <v>1552</v>
      </c>
      <c r="F254" s="154" t="s">
        <v>2084</v>
      </c>
      <c r="G254" s="154" t="s">
        <v>2085</v>
      </c>
      <c r="H254" s="154">
        <v>1</v>
      </c>
      <c r="I254" s="154" t="s">
        <v>1568</v>
      </c>
      <c r="J254" s="154" t="s">
        <v>1403</v>
      </c>
      <c r="K254" s="154">
        <v>2025</v>
      </c>
      <c r="L254" s="155">
        <v>2025</v>
      </c>
      <c r="M254" s="156">
        <v>45557</v>
      </c>
      <c r="N254" s="154" t="s">
        <v>36</v>
      </c>
      <c r="O254" s="154" t="s">
        <v>135</v>
      </c>
      <c r="P254" s="154">
        <v>502</v>
      </c>
      <c r="Q254" s="154" t="s">
        <v>1500</v>
      </c>
      <c r="R254" s="154">
        <v>2</v>
      </c>
      <c r="S254" s="154">
        <v>5</v>
      </c>
      <c r="T254" s="154" t="s">
        <v>1470</v>
      </c>
      <c r="U254" s="154">
        <v>15</v>
      </c>
      <c r="V254" s="155">
        <v>2580150</v>
      </c>
      <c r="W254" s="155">
        <v>0</v>
      </c>
      <c r="X254" s="155" t="s">
        <v>1406</v>
      </c>
      <c r="Y254" s="154"/>
      <c r="Z254" s="154" t="s">
        <v>32</v>
      </c>
      <c r="AA254" s="156">
        <v>45713</v>
      </c>
      <c r="AB254" s="154">
        <v>25</v>
      </c>
      <c r="AC254" s="154">
        <v>80150</v>
      </c>
      <c r="AD254" s="154">
        <v>57</v>
      </c>
      <c r="AE254" s="154" t="s">
        <v>1551</v>
      </c>
      <c r="AF254" s="154">
        <v>57</v>
      </c>
      <c r="AG254" s="154" t="s">
        <v>1552</v>
      </c>
      <c r="AH254" s="154" t="s">
        <v>36</v>
      </c>
      <c r="AI254" s="154" t="s">
        <v>135</v>
      </c>
      <c r="AJ254" s="154">
        <v>502</v>
      </c>
      <c r="AK254" s="154" t="s">
        <v>1407</v>
      </c>
      <c r="AL254" s="154">
        <v>28120</v>
      </c>
      <c r="AM254" s="154" t="s">
        <v>1418</v>
      </c>
      <c r="AN254" s="154" t="s">
        <v>1593</v>
      </c>
      <c r="AO254" s="154">
        <v>28</v>
      </c>
      <c r="AP254" s="154" t="s">
        <v>1416</v>
      </c>
      <c r="AQ254" s="154">
        <v>0</v>
      </c>
      <c r="AR254" s="154" t="s">
        <v>1410</v>
      </c>
      <c r="AS254" s="154"/>
      <c r="AT254" s="154" t="s">
        <v>1417</v>
      </c>
      <c r="AU254" s="154" t="s">
        <v>1412</v>
      </c>
    </row>
    <row r="255" spans="1:47" x14ac:dyDescent="0.45">
      <c r="A255" s="154">
        <v>2505750151</v>
      </c>
      <c r="B255" s="154">
        <v>57</v>
      </c>
      <c r="C255" s="154" t="s">
        <v>1551</v>
      </c>
      <c r="D255" s="154">
        <v>57</v>
      </c>
      <c r="E255" s="154" t="s">
        <v>1552</v>
      </c>
      <c r="F255" s="154" t="s">
        <v>2087</v>
      </c>
      <c r="G255" s="154" t="s">
        <v>2088</v>
      </c>
      <c r="H255" s="154">
        <v>1</v>
      </c>
      <c r="I255" s="154" t="s">
        <v>2089</v>
      </c>
      <c r="J255" s="154" t="s">
        <v>1403</v>
      </c>
      <c r="K255" s="154">
        <v>2025</v>
      </c>
      <c r="L255" s="155">
        <v>2025</v>
      </c>
      <c r="M255" s="156">
        <v>45596</v>
      </c>
      <c r="N255" s="154" t="s">
        <v>36</v>
      </c>
      <c r="O255" s="154">
        <v>7</v>
      </c>
      <c r="P255" s="154">
        <v>265</v>
      </c>
      <c r="Q255" s="154" t="s">
        <v>1562</v>
      </c>
      <c r="R255" s="154">
        <v>2</v>
      </c>
      <c r="S255" s="154">
        <v>1</v>
      </c>
      <c r="T255" s="154" t="s">
        <v>1527</v>
      </c>
      <c r="U255" s="154">
        <v>3</v>
      </c>
      <c r="V255" s="155">
        <v>0</v>
      </c>
      <c r="W255" s="155">
        <v>0</v>
      </c>
      <c r="X255" s="155" t="s">
        <v>1406</v>
      </c>
      <c r="Y255" s="156">
        <v>45698</v>
      </c>
      <c r="Z255" s="154" t="s">
        <v>32</v>
      </c>
      <c r="AA255" s="154"/>
      <c r="AB255" s="154">
        <v>0</v>
      </c>
      <c r="AC255" s="154">
        <v>0</v>
      </c>
      <c r="AD255" s="154">
        <v>0</v>
      </c>
      <c r="AE255" s="154" t="s">
        <v>1446</v>
      </c>
      <c r="AF255" s="154"/>
      <c r="AG255" s="154" t="s">
        <v>1446</v>
      </c>
      <c r="AH255" s="154"/>
      <c r="AI255" s="154"/>
      <c r="AJ255" s="154">
        <v>0</v>
      </c>
      <c r="AK255" s="154" t="s">
        <v>1410</v>
      </c>
      <c r="AL255" s="154">
        <v>28299</v>
      </c>
      <c r="AM255" s="154" t="s">
        <v>1421</v>
      </c>
      <c r="AN255" s="154" t="s">
        <v>2865</v>
      </c>
      <c r="AO255" s="154">
        <v>28</v>
      </c>
      <c r="AP255" s="154" t="s">
        <v>1416</v>
      </c>
      <c r="AQ255" s="154">
        <v>0</v>
      </c>
      <c r="AR255" s="154" t="s">
        <v>1410</v>
      </c>
      <c r="AS255" s="154"/>
      <c r="AT255" s="154" t="s">
        <v>1417</v>
      </c>
      <c r="AU255" s="154" t="s">
        <v>1412</v>
      </c>
    </row>
    <row r="256" spans="1:47" x14ac:dyDescent="0.45">
      <c r="A256" s="154">
        <v>2505750152</v>
      </c>
      <c r="B256" s="154">
        <v>57</v>
      </c>
      <c r="C256" s="154" t="s">
        <v>1551</v>
      </c>
      <c r="D256" s="154">
        <v>57</v>
      </c>
      <c r="E256" s="154" t="s">
        <v>1552</v>
      </c>
      <c r="F256" s="154" t="s">
        <v>2090</v>
      </c>
      <c r="G256" s="154" t="s">
        <v>2091</v>
      </c>
      <c r="H256" s="154">
        <v>1</v>
      </c>
      <c r="I256" s="154" t="s">
        <v>2092</v>
      </c>
      <c r="J256" s="154" t="s">
        <v>1403</v>
      </c>
      <c r="K256" s="154">
        <v>2025</v>
      </c>
      <c r="L256" s="155">
        <v>2025</v>
      </c>
      <c r="M256" s="156">
        <v>45594</v>
      </c>
      <c r="N256" s="154" t="s">
        <v>36</v>
      </c>
      <c r="O256" s="154">
        <v>6</v>
      </c>
      <c r="P256" s="154">
        <v>448</v>
      </c>
      <c r="Q256" s="154" t="s">
        <v>1557</v>
      </c>
      <c r="R256" s="154">
        <v>2</v>
      </c>
      <c r="S256" s="154">
        <v>1</v>
      </c>
      <c r="T256" s="154" t="s">
        <v>1527</v>
      </c>
      <c r="U256" s="154">
        <v>3</v>
      </c>
      <c r="V256" s="155">
        <v>2580123</v>
      </c>
      <c r="W256" s="155">
        <v>0</v>
      </c>
      <c r="X256" s="155" t="s">
        <v>1406</v>
      </c>
      <c r="Y256" s="154"/>
      <c r="Z256" s="154" t="s">
        <v>32</v>
      </c>
      <c r="AA256" s="156">
        <v>45686</v>
      </c>
      <c r="AB256" s="154">
        <v>25</v>
      </c>
      <c r="AC256" s="154">
        <v>80123</v>
      </c>
      <c r="AD256" s="154">
        <v>57</v>
      </c>
      <c r="AE256" s="154" t="s">
        <v>1551</v>
      </c>
      <c r="AF256" s="154">
        <v>57</v>
      </c>
      <c r="AG256" s="154" t="s">
        <v>1552</v>
      </c>
      <c r="AH256" s="154" t="s">
        <v>36</v>
      </c>
      <c r="AI256" s="154">
        <v>6</v>
      </c>
      <c r="AJ256" s="154">
        <v>448</v>
      </c>
      <c r="AK256" s="154" t="s">
        <v>1407</v>
      </c>
      <c r="AL256" s="154">
        <v>28279</v>
      </c>
      <c r="AM256" s="154" t="s">
        <v>1421</v>
      </c>
      <c r="AN256" s="154" t="s">
        <v>2864</v>
      </c>
      <c r="AO256" s="154">
        <v>28</v>
      </c>
      <c r="AP256" s="154" t="s">
        <v>1416</v>
      </c>
      <c r="AQ256" s="154">
        <v>0</v>
      </c>
      <c r="AR256" s="154" t="s">
        <v>1410</v>
      </c>
      <c r="AS256" s="154"/>
      <c r="AT256" s="154" t="s">
        <v>1417</v>
      </c>
      <c r="AU256" s="154" t="s">
        <v>1412</v>
      </c>
    </row>
    <row r="257" spans="1:47" x14ac:dyDescent="0.45">
      <c r="A257" s="154">
        <v>2505750154</v>
      </c>
      <c r="B257" s="154">
        <v>57</v>
      </c>
      <c r="C257" s="154" t="s">
        <v>1551</v>
      </c>
      <c r="D257" s="154">
        <v>57</v>
      </c>
      <c r="E257" s="154" t="s">
        <v>1552</v>
      </c>
      <c r="F257" s="154" t="s">
        <v>2095</v>
      </c>
      <c r="G257" s="154" t="s">
        <v>2096</v>
      </c>
      <c r="H257" s="154">
        <v>1</v>
      </c>
      <c r="I257" s="154" t="s">
        <v>1591</v>
      </c>
      <c r="J257" s="154" t="s">
        <v>1403</v>
      </c>
      <c r="K257" s="154">
        <v>2025</v>
      </c>
      <c r="L257" s="155">
        <v>2025</v>
      </c>
      <c r="M257" s="156">
        <v>45567</v>
      </c>
      <c r="N257" s="154" t="s">
        <v>36</v>
      </c>
      <c r="O257" s="154">
        <v>7</v>
      </c>
      <c r="P257" s="154">
        <v>265</v>
      </c>
      <c r="Q257" s="154" t="s">
        <v>1562</v>
      </c>
      <c r="R257" s="154">
        <v>2</v>
      </c>
      <c r="S257" s="154">
        <v>1</v>
      </c>
      <c r="T257" s="154" t="s">
        <v>1527</v>
      </c>
      <c r="U257" s="154">
        <v>3</v>
      </c>
      <c r="V257" s="155">
        <v>2580029</v>
      </c>
      <c r="W257" s="155">
        <v>0</v>
      </c>
      <c r="X257" s="155" t="s">
        <v>1406</v>
      </c>
      <c r="Y257" s="154"/>
      <c r="Z257" s="154" t="s">
        <v>32</v>
      </c>
      <c r="AA257" s="156">
        <v>45581</v>
      </c>
      <c r="AB257" s="154">
        <v>25</v>
      </c>
      <c r="AC257" s="154">
        <v>80029</v>
      </c>
      <c r="AD257" s="154">
        <v>57</v>
      </c>
      <c r="AE257" s="154" t="s">
        <v>1551</v>
      </c>
      <c r="AF257" s="154">
        <v>57</v>
      </c>
      <c r="AG257" s="154" t="s">
        <v>1552</v>
      </c>
      <c r="AH257" s="154" t="s">
        <v>36</v>
      </c>
      <c r="AI257" s="154">
        <v>7</v>
      </c>
      <c r="AJ257" s="154">
        <v>265</v>
      </c>
      <c r="AK257" s="154" t="s">
        <v>1407</v>
      </c>
      <c r="AL257" s="154">
        <v>28282</v>
      </c>
      <c r="AM257" s="154" t="s">
        <v>1414</v>
      </c>
      <c r="AN257" s="154" t="s">
        <v>1572</v>
      </c>
      <c r="AO257" s="154">
        <v>28</v>
      </c>
      <c r="AP257" s="154" t="s">
        <v>1416</v>
      </c>
      <c r="AQ257" s="154">
        <v>0</v>
      </c>
      <c r="AR257" s="154" t="s">
        <v>1410</v>
      </c>
      <c r="AS257" s="154"/>
      <c r="AT257" s="154" t="s">
        <v>1417</v>
      </c>
      <c r="AU257" s="154" t="s">
        <v>1412</v>
      </c>
    </row>
    <row r="258" spans="1:47" x14ac:dyDescent="0.45">
      <c r="A258" s="154">
        <v>2505750156</v>
      </c>
      <c r="B258" s="154">
        <v>57</v>
      </c>
      <c r="C258" s="154" t="s">
        <v>1551</v>
      </c>
      <c r="D258" s="154">
        <v>57</v>
      </c>
      <c r="E258" s="154" t="s">
        <v>1552</v>
      </c>
      <c r="F258" s="154" t="s">
        <v>2101</v>
      </c>
      <c r="G258" s="154" t="s">
        <v>2102</v>
      </c>
      <c r="H258" s="154">
        <v>2</v>
      </c>
      <c r="I258" s="154" t="s">
        <v>2103</v>
      </c>
      <c r="J258" s="154" t="s">
        <v>1403</v>
      </c>
      <c r="K258" s="154">
        <v>2025</v>
      </c>
      <c r="L258" s="155">
        <v>2025</v>
      </c>
      <c r="M258" s="156">
        <v>45568</v>
      </c>
      <c r="N258" s="154" t="s">
        <v>36</v>
      </c>
      <c r="O258" s="154">
        <v>58</v>
      </c>
      <c r="P258" s="154">
        <v>427</v>
      </c>
      <c r="Q258" s="154" t="s">
        <v>1479</v>
      </c>
      <c r="R258" s="154">
        <v>2</v>
      </c>
      <c r="S258" s="154">
        <v>2</v>
      </c>
      <c r="T258" s="154" t="s">
        <v>1464</v>
      </c>
      <c r="U258" s="154">
        <v>1</v>
      </c>
      <c r="V258" s="155">
        <v>0</v>
      </c>
      <c r="W258" s="155">
        <v>0</v>
      </c>
      <c r="X258" s="155" t="s">
        <v>1406</v>
      </c>
      <c r="Y258" s="156">
        <v>45677</v>
      </c>
      <c r="Z258" s="154" t="s">
        <v>32</v>
      </c>
      <c r="AA258" s="154"/>
      <c r="AB258" s="154">
        <v>0</v>
      </c>
      <c r="AC258" s="154">
        <v>0</v>
      </c>
      <c r="AD258" s="154">
        <v>0</v>
      </c>
      <c r="AE258" s="154" t="s">
        <v>1446</v>
      </c>
      <c r="AF258" s="154"/>
      <c r="AG258" s="154" t="s">
        <v>1446</v>
      </c>
      <c r="AH258" s="154"/>
      <c r="AI258" s="154"/>
      <c r="AJ258" s="154">
        <v>0</v>
      </c>
      <c r="AK258" s="154" t="s">
        <v>1473</v>
      </c>
      <c r="AL258" s="154">
        <v>28134</v>
      </c>
      <c r="AM258" s="154" t="s">
        <v>1418</v>
      </c>
      <c r="AN258" s="154" t="s">
        <v>2815</v>
      </c>
      <c r="AO258" s="154">
        <v>28</v>
      </c>
      <c r="AP258" s="154" t="s">
        <v>1416</v>
      </c>
      <c r="AQ258" s="154">
        <v>0</v>
      </c>
      <c r="AR258" s="154" t="s">
        <v>1410</v>
      </c>
      <c r="AS258" s="154"/>
      <c r="AT258" s="154" t="s">
        <v>1417</v>
      </c>
      <c r="AU258" s="154" t="s">
        <v>1412</v>
      </c>
    </row>
    <row r="259" spans="1:47" x14ac:dyDescent="0.45">
      <c r="A259" s="154">
        <v>2505750157</v>
      </c>
      <c r="B259" s="154">
        <v>57</v>
      </c>
      <c r="C259" s="154" t="s">
        <v>1551</v>
      </c>
      <c r="D259" s="154">
        <v>57</v>
      </c>
      <c r="E259" s="154" t="s">
        <v>1552</v>
      </c>
      <c r="F259" s="154" t="s">
        <v>2104</v>
      </c>
      <c r="G259" s="154" t="s">
        <v>2105</v>
      </c>
      <c r="H259" s="154">
        <v>1</v>
      </c>
      <c r="I259" s="154" t="s">
        <v>2106</v>
      </c>
      <c r="J259" s="154" t="s">
        <v>1403</v>
      </c>
      <c r="K259" s="154">
        <v>2025</v>
      </c>
      <c r="L259" s="155">
        <v>2025</v>
      </c>
      <c r="M259" s="156">
        <v>45562</v>
      </c>
      <c r="N259" s="154" t="s">
        <v>36</v>
      </c>
      <c r="O259" s="154" t="s">
        <v>135</v>
      </c>
      <c r="P259" s="154">
        <v>502</v>
      </c>
      <c r="Q259" s="154" t="s">
        <v>1500</v>
      </c>
      <c r="R259" s="154">
        <v>2</v>
      </c>
      <c r="S259" s="154">
        <v>5</v>
      </c>
      <c r="T259" s="154" t="s">
        <v>1470</v>
      </c>
      <c r="U259" s="154">
        <v>15</v>
      </c>
      <c r="V259" s="155">
        <v>2580014</v>
      </c>
      <c r="W259" s="155">
        <v>0</v>
      </c>
      <c r="X259" s="155" t="s">
        <v>1406</v>
      </c>
      <c r="Y259" s="154"/>
      <c r="Z259" s="154" t="s">
        <v>32</v>
      </c>
      <c r="AA259" s="156">
        <v>45575</v>
      </c>
      <c r="AB259" s="154">
        <v>25</v>
      </c>
      <c r="AC259" s="154">
        <v>80014</v>
      </c>
      <c r="AD259" s="154">
        <v>57</v>
      </c>
      <c r="AE259" s="154" t="s">
        <v>1551</v>
      </c>
      <c r="AF259" s="154">
        <v>57</v>
      </c>
      <c r="AG259" s="154" t="s">
        <v>1552</v>
      </c>
      <c r="AH259" s="154" t="s">
        <v>36</v>
      </c>
      <c r="AI259" s="154" t="s">
        <v>135</v>
      </c>
      <c r="AJ259" s="154">
        <v>502</v>
      </c>
      <c r="AK259" s="154" t="s">
        <v>1407</v>
      </c>
      <c r="AL259" s="154">
        <v>28120</v>
      </c>
      <c r="AM259" s="154" t="s">
        <v>1418</v>
      </c>
      <c r="AN259" s="154" t="s">
        <v>1593</v>
      </c>
      <c r="AO259" s="154">
        <v>28</v>
      </c>
      <c r="AP259" s="154" t="s">
        <v>1416</v>
      </c>
      <c r="AQ259" s="154">
        <v>0</v>
      </c>
      <c r="AR259" s="154" t="s">
        <v>1410</v>
      </c>
      <c r="AS259" s="154"/>
      <c r="AT259" s="154" t="s">
        <v>1417</v>
      </c>
      <c r="AU259" s="154" t="s">
        <v>1412</v>
      </c>
    </row>
    <row r="260" spans="1:47" x14ac:dyDescent="0.45">
      <c r="A260" s="154">
        <v>2505750158</v>
      </c>
      <c r="B260" s="154">
        <v>57</v>
      </c>
      <c r="C260" s="154" t="s">
        <v>1551</v>
      </c>
      <c r="D260" s="154">
        <v>57</v>
      </c>
      <c r="E260" s="154" t="s">
        <v>1552</v>
      </c>
      <c r="F260" s="154" t="s">
        <v>2107</v>
      </c>
      <c r="G260" s="154" t="s">
        <v>2108</v>
      </c>
      <c r="H260" s="154">
        <v>2</v>
      </c>
      <c r="I260" s="154" t="s">
        <v>341</v>
      </c>
      <c r="J260" s="154" t="s">
        <v>1403</v>
      </c>
      <c r="K260" s="154">
        <v>2025</v>
      </c>
      <c r="L260" s="155">
        <v>2025</v>
      </c>
      <c r="M260" s="156">
        <v>45562</v>
      </c>
      <c r="N260" s="154" t="s">
        <v>36</v>
      </c>
      <c r="O260" s="154">
        <v>7</v>
      </c>
      <c r="P260" s="154">
        <v>265</v>
      </c>
      <c r="Q260" s="154" t="s">
        <v>1562</v>
      </c>
      <c r="R260" s="154">
        <v>2</v>
      </c>
      <c r="S260" s="154">
        <v>1</v>
      </c>
      <c r="T260" s="154" t="s">
        <v>1527</v>
      </c>
      <c r="U260" s="154">
        <v>3</v>
      </c>
      <c r="V260" s="155">
        <v>2580026</v>
      </c>
      <c r="W260" s="155">
        <v>0</v>
      </c>
      <c r="X260" s="155" t="s">
        <v>1406</v>
      </c>
      <c r="Y260" s="154"/>
      <c r="Z260" s="154" t="s">
        <v>32</v>
      </c>
      <c r="AA260" s="156">
        <v>45580</v>
      </c>
      <c r="AB260" s="154">
        <v>25</v>
      </c>
      <c r="AC260" s="154">
        <v>80026</v>
      </c>
      <c r="AD260" s="154">
        <v>57</v>
      </c>
      <c r="AE260" s="154" t="s">
        <v>1551</v>
      </c>
      <c r="AF260" s="154">
        <v>57</v>
      </c>
      <c r="AG260" s="154" t="s">
        <v>1552</v>
      </c>
      <c r="AH260" s="154" t="s">
        <v>36</v>
      </c>
      <c r="AI260" s="154">
        <v>7</v>
      </c>
      <c r="AJ260" s="154">
        <v>265</v>
      </c>
      <c r="AK260" s="154" t="s">
        <v>1407</v>
      </c>
      <c r="AL260" s="154">
        <v>28282</v>
      </c>
      <c r="AM260" s="154" t="s">
        <v>1414</v>
      </c>
      <c r="AN260" s="154" t="s">
        <v>1572</v>
      </c>
      <c r="AO260" s="154">
        <v>28</v>
      </c>
      <c r="AP260" s="154" t="s">
        <v>1416</v>
      </c>
      <c r="AQ260" s="154">
        <v>0</v>
      </c>
      <c r="AR260" s="154" t="s">
        <v>1410</v>
      </c>
      <c r="AS260" s="154"/>
      <c r="AT260" s="154" t="s">
        <v>1417</v>
      </c>
      <c r="AU260" s="154" t="s">
        <v>1412</v>
      </c>
    </row>
    <row r="261" spans="1:47" x14ac:dyDescent="0.45">
      <c r="A261" s="154">
        <v>2505750159</v>
      </c>
      <c r="B261" s="154">
        <v>57</v>
      </c>
      <c r="C261" s="154" t="s">
        <v>1551</v>
      </c>
      <c r="D261" s="154">
        <v>57</v>
      </c>
      <c r="E261" s="154" t="s">
        <v>1552</v>
      </c>
      <c r="F261" s="154" t="s">
        <v>2110</v>
      </c>
      <c r="G261" s="154" t="s">
        <v>2111</v>
      </c>
      <c r="H261" s="154">
        <v>2</v>
      </c>
      <c r="I261" s="154" t="s">
        <v>2112</v>
      </c>
      <c r="J261" s="154" t="s">
        <v>2816</v>
      </c>
      <c r="K261" s="154">
        <v>2025</v>
      </c>
      <c r="L261" s="155">
        <v>2025</v>
      </c>
      <c r="M261" s="156">
        <v>45547</v>
      </c>
      <c r="N261" s="154" t="s">
        <v>36</v>
      </c>
      <c r="O261" s="154">
        <v>7</v>
      </c>
      <c r="P261" s="154">
        <v>266</v>
      </c>
      <c r="Q261" s="154" t="s">
        <v>1526</v>
      </c>
      <c r="R261" s="154">
        <v>2</v>
      </c>
      <c r="S261" s="154">
        <v>1</v>
      </c>
      <c r="T261" s="154" t="s">
        <v>1527</v>
      </c>
      <c r="U261" s="154">
        <v>3</v>
      </c>
      <c r="V261" s="155">
        <v>0</v>
      </c>
      <c r="W261" s="155">
        <v>0</v>
      </c>
      <c r="X261" s="155" t="s">
        <v>1406</v>
      </c>
      <c r="Y261" s="156">
        <v>45713</v>
      </c>
      <c r="Z261" s="154" t="s">
        <v>32</v>
      </c>
      <c r="AA261" s="154"/>
      <c r="AB261" s="154">
        <v>0</v>
      </c>
      <c r="AC261" s="154">
        <v>0</v>
      </c>
      <c r="AD261" s="154">
        <v>0</v>
      </c>
      <c r="AE261" s="154" t="s">
        <v>1446</v>
      </c>
      <c r="AF261" s="154"/>
      <c r="AG261" s="154" t="s">
        <v>1446</v>
      </c>
      <c r="AH261" s="154"/>
      <c r="AI261" s="154"/>
      <c r="AJ261" s="154">
        <v>0</v>
      </c>
      <c r="AK261" s="154" t="s">
        <v>1407</v>
      </c>
      <c r="AL261" s="154">
        <v>38973</v>
      </c>
      <c r="AM261" s="154" t="s">
        <v>1421</v>
      </c>
      <c r="AN261" s="154" t="s">
        <v>2817</v>
      </c>
      <c r="AO261" s="154">
        <v>38</v>
      </c>
      <c r="AP261" s="154" t="s">
        <v>1596</v>
      </c>
      <c r="AQ261" s="154">
        <v>0</v>
      </c>
      <c r="AR261" s="154" t="s">
        <v>1410</v>
      </c>
      <c r="AS261" s="154"/>
      <c r="AT261" s="154" t="s">
        <v>1417</v>
      </c>
      <c r="AU261" s="154" t="s">
        <v>1412</v>
      </c>
    </row>
    <row r="262" spans="1:47" x14ac:dyDescent="0.45">
      <c r="A262" s="154">
        <v>2505750160</v>
      </c>
      <c r="B262" s="154">
        <v>57</v>
      </c>
      <c r="C262" s="154" t="s">
        <v>1551</v>
      </c>
      <c r="D262" s="154">
        <v>57</v>
      </c>
      <c r="E262" s="154" t="s">
        <v>1552</v>
      </c>
      <c r="F262" s="154" t="s">
        <v>2116</v>
      </c>
      <c r="G262" s="154" t="s">
        <v>2117</v>
      </c>
      <c r="H262" s="154">
        <v>2</v>
      </c>
      <c r="I262" s="154" t="s">
        <v>2118</v>
      </c>
      <c r="J262" s="154" t="s">
        <v>1561</v>
      </c>
      <c r="K262" s="154">
        <v>2025</v>
      </c>
      <c r="L262" s="155">
        <v>2025</v>
      </c>
      <c r="M262" s="156">
        <v>45584</v>
      </c>
      <c r="N262" s="154" t="s">
        <v>36</v>
      </c>
      <c r="O262" s="154">
        <v>58</v>
      </c>
      <c r="P262" s="154">
        <v>785</v>
      </c>
      <c r="Q262" s="154" t="s">
        <v>1491</v>
      </c>
      <c r="R262" s="154">
        <v>2</v>
      </c>
      <c r="S262" s="154">
        <v>2</v>
      </c>
      <c r="T262" s="154" t="s">
        <v>1464</v>
      </c>
      <c r="U262" s="154">
        <v>1</v>
      </c>
      <c r="V262" s="155">
        <v>2580073</v>
      </c>
      <c r="W262" s="155">
        <v>0</v>
      </c>
      <c r="X262" s="155" t="s">
        <v>1406</v>
      </c>
      <c r="Y262" s="154"/>
      <c r="Z262" s="154" t="s">
        <v>32</v>
      </c>
      <c r="AA262" s="156">
        <v>45628</v>
      </c>
      <c r="AB262" s="154">
        <v>25</v>
      </c>
      <c r="AC262" s="154">
        <v>80073</v>
      </c>
      <c r="AD262" s="154">
        <v>57</v>
      </c>
      <c r="AE262" s="154" t="s">
        <v>1551</v>
      </c>
      <c r="AF262" s="154">
        <v>57</v>
      </c>
      <c r="AG262" s="154" t="s">
        <v>1552</v>
      </c>
      <c r="AH262" s="154" t="s">
        <v>36</v>
      </c>
      <c r="AI262" s="154">
        <v>58</v>
      </c>
      <c r="AJ262" s="154">
        <v>785</v>
      </c>
      <c r="AK262" s="154" t="s">
        <v>1473</v>
      </c>
      <c r="AL262" s="154">
        <v>18032</v>
      </c>
      <c r="AM262" s="154" t="s">
        <v>1418</v>
      </c>
      <c r="AN262" s="154" t="s">
        <v>2818</v>
      </c>
      <c r="AO262" s="154">
        <v>18</v>
      </c>
      <c r="AP262" s="154" t="s">
        <v>1563</v>
      </c>
      <c r="AQ262" s="154">
        <v>0</v>
      </c>
      <c r="AR262" s="154" t="s">
        <v>1410</v>
      </c>
      <c r="AS262" s="154"/>
      <c r="AT262" s="154" t="s">
        <v>1417</v>
      </c>
      <c r="AU262" s="154" t="s">
        <v>1412</v>
      </c>
    </row>
    <row r="263" spans="1:47" x14ac:dyDescent="0.45">
      <c r="A263" s="154">
        <v>2505750161</v>
      </c>
      <c r="B263" s="154">
        <v>57</v>
      </c>
      <c r="C263" s="154" t="s">
        <v>1551</v>
      </c>
      <c r="D263" s="154">
        <v>57</v>
      </c>
      <c r="E263" s="154" t="s">
        <v>1552</v>
      </c>
      <c r="F263" s="154" t="s">
        <v>2121</v>
      </c>
      <c r="G263" s="154" t="s">
        <v>2122</v>
      </c>
      <c r="H263" s="154">
        <v>2</v>
      </c>
      <c r="I263" s="154" t="s">
        <v>1253</v>
      </c>
      <c r="J263" s="154" t="s">
        <v>1403</v>
      </c>
      <c r="K263" s="154">
        <v>2025</v>
      </c>
      <c r="L263" s="155">
        <v>2025</v>
      </c>
      <c r="M263" s="156">
        <v>45594</v>
      </c>
      <c r="N263" s="154" t="s">
        <v>36</v>
      </c>
      <c r="O263" s="154">
        <v>58</v>
      </c>
      <c r="P263" s="154">
        <v>785</v>
      </c>
      <c r="Q263" s="154" t="s">
        <v>1491</v>
      </c>
      <c r="R263" s="154">
        <v>2</v>
      </c>
      <c r="S263" s="154">
        <v>2</v>
      </c>
      <c r="T263" s="154" t="s">
        <v>1464</v>
      </c>
      <c r="U263" s="154">
        <v>1</v>
      </c>
      <c r="V263" s="155">
        <v>2580078</v>
      </c>
      <c r="W263" s="155">
        <v>0</v>
      </c>
      <c r="X263" s="155" t="s">
        <v>1406</v>
      </c>
      <c r="Y263" s="154"/>
      <c r="Z263" s="154" t="s">
        <v>32</v>
      </c>
      <c r="AA263" s="156">
        <v>45631</v>
      </c>
      <c r="AB263" s="154">
        <v>25</v>
      </c>
      <c r="AC263" s="154">
        <v>80078</v>
      </c>
      <c r="AD263" s="154">
        <v>57</v>
      </c>
      <c r="AE263" s="154" t="s">
        <v>1551</v>
      </c>
      <c r="AF263" s="154">
        <v>57</v>
      </c>
      <c r="AG263" s="154" t="s">
        <v>1552</v>
      </c>
      <c r="AH263" s="154" t="s">
        <v>36</v>
      </c>
      <c r="AI263" s="154">
        <v>58</v>
      </c>
      <c r="AJ263" s="154">
        <v>785</v>
      </c>
      <c r="AK263" s="154" t="s">
        <v>1407</v>
      </c>
      <c r="AL263" s="154">
        <v>28235</v>
      </c>
      <c r="AM263" s="154" t="s">
        <v>1414</v>
      </c>
      <c r="AN263" s="154" t="s">
        <v>2819</v>
      </c>
      <c r="AO263" s="154">
        <v>28</v>
      </c>
      <c r="AP263" s="154" t="s">
        <v>1416</v>
      </c>
      <c r="AQ263" s="154">
        <v>0</v>
      </c>
      <c r="AR263" s="154" t="s">
        <v>1410</v>
      </c>
      <c r="AS263" s="154"/>
      <c r="AT263" s="154" t="s">
        <v>1417</v>
      </c>
      <c r="AU263" s="154" t="s">
        <v>1412</v>
      </c>
    </row>
    <row r="264" spans="1:47" x14ac:dyDescent="0.45">
      <c r="A264" s="154">
        <v>2505750163</v>
      </c>
      <c r="B264" s="154">
        <v>57</v>
      </c>
      <c r="C264" s="154" t="s">
        <v>1551</v>
      </c>
      <c r="D264" s="154">
        <v>57</v>
      </c>
      <c r="E264" s="154" t="s">
        <v>1552</v>
      </c>
      <c r="F264" s="154" t="s">
        <v>2125</v>
      </c>
      <c r="G264" s="154" t="s">
        <v>2126</v>
      </c>
      <c r="H264" s="154">
        <v>1</v>
      </c>
      <c r="I264" s="154" t="s">
        <v>1991</v>
      </c>
      <c r="J264" s="154" t="s">
        <v>1403</v>
      </c>
      <c r="K264" s="154">
        <v>2025</v>
      </c>
      <c r="L264" s="155">
        <v>2025</v>
      </c>
      <c r="M264" s="156">
        <v>45543</v>
      </c>
      <c r="N264" s="154" t="s">
        <v>36</v>
      </c>
      <c r="O264" s="154">
        <v>58</v>
      </c>
      <c r="P264" s="154">
        <v>857</v>
      </c>
      <c r="Q264" s="154" t="s">
        <v>1481</v>
      </c>
      <c r="R264" s="154">
        <v>2</v>
      </c>
      <c r="S264" s="154">
        <v>2</v>
      </c>
      <c r="T264" s="154" t="s">
        <v>1464</v>
      </c>
      <c r="U264" s="154">
        <v>1</v>
      </c>
      <c r="V264" s="155">
        <v>2580067</v>
      </c>
      <c r="W264" s="155">
        <v>0</v>
      </c>
      <c r="X264" s="155" t="s">
        <v>1406</v>
      </c>
      <c r="Y264" s="154"/>
      <c r="Z264" s="154" t="s">
        <v>32</v>
      </c>
      <c r="AA264" s="156">
        <v>45614</v>
      </c>
      <c r="AB264" s="154">
        <v>25</v>
      </c>
      <c r="AC264" s="154">
        <v>80067</v>
      </c>
      <c r="AD264" s="154">
        <v>57</v>
      </c>
      <c r="AE264" s="154" t="s">
        <v>1551</v>
      </c>
      <c r="AF264" s="154">
        <v>57</v>
      </c>
      <c r="AG264" s="154" t="s">
        <v>1552</v>
      </c>
      <c r="AH264" s="154" t="s">
        <v>36</v>
      </c>
      <c r="AI264" s="154">
        <v>58</v>
      </c>
      <c r="AJ264" s="154">
        <v>857</v>
      </c>
      <c r="AK264" s="154" t="s">
        <v>1407</v>
      </c>
      <c r="AL264" s="154">
        <v>28235</v>
      </c>
      <c r="AM264" s="154" t="s">
        <v>1414</v>
      </c>
      <c r="AN264" s="154" t="s">
        <v>2819</v>
      </c>
      <c r="AO264" s="154">
        <v>28</v>
      </c>
      <c r="AP264" s="154" t="s">
        <v>1416</v>
      </c>
      <c r="AQ264" s="154">
        <v>0</v>
      </c>
      <c r="AR264" s="154" t="s">
        <v>1410</v>
      </c>
      <c r="AS264" s="154"/>
      <c r="AT264" s="154" t="s">
        <v>1417</v>
      </c>
      <c r="AU264" s="154" t="s">
        <v>1412</v>
      </c>
    </row>
    <row r="265" spans="1:47" x14ac:dyDescent="0.45">
      <c r="A265" s="154">
        <v>2505750164</v>
      </c>
      <c r="B265" s="154">
        <v>57</v>
      </c>
      <c r="C265" s="154" t="s">
        <v>1551</v>
      </c>
      <c r="D265" s="154">
        <v>57</v>
      </c>
      <c r="E265" s="154" t="s">
        <v>1552</v>
      </c>
      <c r="F265" s="154" t="s">
        <v>2127</v>
      </c>
      <c r="G265" s="154" t="s">
        <v>2128</v>
      </c>
      <c r="H265" s="154">
        <v>1</v>
      </c>
      <c r="I265" s="154" t="s">
        <v>1191</v>
      </c>
      <c r="J265" s="154" t="s">
        <v>1403</v>
      </c>
      <c r="K265" s="154">
        <v>2025</v>
      </c>
      <c r="L265" s="155">
        <v>2025</v>
      </c>
      <c r="M265" s="156">
        <v>45584</v>
      </c>
      <c r="N265" s="154" t="s">
        <v>36</v>
      </c>
      <c r="O265" s="154" t="s">
        <v>135</v>
      </c>
      <c r="P265" s="154">
        <v>502</v>
      </c>
      <c r="Q265" s="154" t="s">
        <v>1500</v>
      </c>
      <c r="R265" s="154">
        <v>2</v>
      </c>
      <c r="S265" s="154">
        <v>5</v>
      </c>
      <c r="T265" s="154" t="s">
        <v>1470</v>
      </c>
      <c r="U265" s="154">
        <v>15</v>
      </c>
      <c r="V265" s="155">
        <v>2580041</v>
      </c>
      <c r="W265" s="155">
        <v>0</v>
      </c>
      <c r="X265" s="155" t="s">
        <v>1406</v>
      </c>
      <c r="Y265" s="154"/>
      <c r="Z265" s="154" t="s">
        <v>32</v>
      </c>
      <c r="AA265" s="156">
        <v>45596</v>
      </c>
      <c r="AB265" s="154">
        <v>25</v>
      </c>
      <c r="AC265" s="154">
        <v>80041</v>
      </c>
      <c r="AD265" s="154">
        <v>57</v>
      </c>
      <c r="AE265" s="154" t="s">
        <v>1551</v>
      </c>
      <c r="AF265" s="154">
        <v>57</v>
      </c>
      <c r="AG265" s="154" t="s">
        <v>1552</v>
      </c>
      <c r="AH265" s="154" t="s">
        <v>36</v>
      </c>
      <c r="AI265" s="154" t="s">
        <v>135</v>
      </c>
      <c r="AJ265" s="154">
        <v>502</v>
      </c>
      <c r="AK265" s="154" t="s">
        <v>1407</v>
      </c>
      <c r="AL265" s="154">
        <v>28027</v>
      </c>
      <c r="AM265" s="154" t="s">
        <v>1418</v>
      </c>
      <c r="AN265" s="154" t="s">
        <v>1624</v>
      </c>
      <c r="AO265" s="154">
        <v>28</v>
      </c>
      <c r="AP265" s="154" t="s">
        <v>1416</v>
      </c>
      <c r="AQ265" s="154">
        <v>0</v>
      </c>
      <c r="AR265" s="154" t="s">
        <v>1410</v>
      </c>
      <c r="AS265" s="154"/>
      <c r="AT265" s="154" t="s">
        <v>1417</v>
      </c>
      <c r="AU265" s="154" t="s">
        <v>1412</v>
      </c>
    </row>
    <row r="266" spans="1:47" x14ac:dyDescent="0.45">
      <c r="A266" s="154">
        <v>2505750165</v>
      </c>
      <c r="B266" s="154">
        <v>57</v>
      </c>
      <c r="C266" s="154" t="s">
        <v>1551</v>
      </c>
      <c r="D266" s="154">
        <v>57</v>
      </c>
      <c r="E266" s="154" t="s">
        <v>1552</v>
      </c>
      <c r="F266" s="154" t="s">
        <v>2129</v>
      </c>
      <c r="G266" s="154" t="s">
        <v>2130</v>
      </c>
      <c r="H266" s="154">
        <v>1</v>
      </c>
      <c r="I266" s="154" t="s">
        <v>1698</v>
      </c>
      <c r="J266" s="154" t="s">
        <v>1403</v>
      </c>
      <c r="K266" s="154">
        <v>2025</v>
      </c>
      <c r="L266" s="155">
        <v>2025</v>
      </c>
      <c r="M266" s="156">
        <v>45574</v>
      </c>
      <c r="N266" s="154" t="s">
        <v>36</v>
      </c>
      <c r="O266" s="154">
        <v>58</v>
      </c>
      <c r="P266" s="154">
        <v>968</v>
      </c>
      <c r="Q266" s="154" t="s">
        <v>1474</v>
      </c>
      <c r="R266" s="154">
        <v>2</v>
      </c>
      <c r="S266" s="154">
        <v>2</v>
      </c>
      <c r="T266" s="154" t="s">
        <v>1464</v>
      </c>
      <c r="U266" s="154">
        <v>1</v>
      </c>
      <c r="V266" s="155">
        <v>2580074</v>
      </c>
      <c r="W266" s="155">
        <v>0</v>
      </c>
      <c r="X266" s="155" t="s">
        <v>1406</v>
      </c>
      <c r="Y266" s="154"/>
      <c r="Z266" s="154" t="s">
        <v>32</v>
      </c>
      <c r="AA266" s="156">
        <v>45628</v>
      </c>
      <c r="AB266" s="154">
        <v>25</v>
      </c>
      <c r="AC266" s="154">
        <v>80074</v>
      </c>
      <c r="AD266" s="154">
        <v>57</v>
      </c>
      <c r="AE266" s="154" t="s">
        <v>1551</v>
      </c>
      <c r="AF266" s="154">
        <v>57</v>
      </c>
      <c r="AG266" s="154" t="s">
        <v>1552</v>
      </c>
      <c r="AH266" s="154" t="s">
        <v>36</v>
      </c>
      <c r="AI266" s="154">
        <v>58</v>
      </c>
      <c r="AJ266" s="154">
        <v>968</v>
      </c>
      <c r="AK266" s="154" t="s">
        <v>1407</v>
      </c>
      <c r="AL266" s="154">
        <v>28027</v>
      </c>
      <c r="AM266" s="154" t="s">
        <v>1418</v>
      </c>
      <c r="AN266" s="154" t="s">
        <v>1624</v>
      </c>
      <c r="AO266" s="154">
        <v>28</v>
      </c>
      <c r="AP266" s="154" t="s">
        <v>1416</v>
      </c>
      <c r="AQ266" s="154">
        <v>0</v>
      </c>
      <c r="AR266" s="154" t="s">
        <v>1410</v>
      </c>
      <c r="AS266" s="154"/>
      <c r="AT266" s="154" t="s">
        <v>1417</v>
      </c>
      <c r="AU266" s="154" t="s">
        <v>1412</v>
      </c>
    </row>
    <row r="267" spans="1:47" x14ac:dyDescent="0.45">
      <c r="A267" s="154">
        <v>2505750166</v>
      </c>
      <c r="B267" s="154">
        <v>57</v>
      </c>
      <c r="C267" s="154" t="s">
        <v>1551</v>
      </c>
      <c r="D267" s="154">
        <v>57</v>
      </c>
      <c r="E267" s="154" t="s">
        <v>1552</v>
      </c>
      <c r="F267" s="154" t="s">
        <v>2131</v>
      </c>
      <c r="G267" s="154" t="s">
        <v>2132</v>
      </c>
      <c r="H267" s="154">
        <v>1</v>
      </c>
      <c r="I267" s="154" t="s">
        <v>2133</v>
      </c>
      <c r="J267" s="154" t="s">
        <v>1485</v>
      </c>
      <c r="K267" s="154">
        <v>2025</v>
      </c>
      <c r="L267" s="155">
        <v>2025</v>
      </c>
      <c r="M267" s="156">
        <v>45568</v>
      </c>
      <c r="N267" s="154" t="s">
        <v>36</v>
      </c>
      <c r="O267" s="154" t="s">
        <v>51</v>
      </c>
      <c r="P267" s="154">
        <v>856</v>
      </c>
      <c r="Q267" s="154" t="s">
        <v>1533</v>
      </c>
      <c r="R267" s="154">
        <v>1</v>
      </c>
      <c r="S267" s="154">
        <v>2</v>
      </c>
      <c r="T267" s="154" t="s">
        <v>1464</v>
      </c>
      <c r="U267" s="154">
        <v>1</v>
      </c>
      <c r="V267" s="155">
        <v>2580042</v>
      </c>
      <c r="W267" s="155">
        <v>0</v>
      </c>
      <c r="X267" s="155" t="s">
        <v>1406</v>
      </c>
      <c r="Y267" s="154"/>
      <c r="Z267" s="154" t="s">
        <v>32</v>
      </c>
      <c r="AA267" s="156">
        <v>45601</v>
      </c>
      <c r="AB267" s="154">
        <v>25</v>
      </c>
      <c r="AC267" s="154">
        <v>80042</v>
      </c>
      <c r="AD267" s="154">
        <v>57</v>
      </c>
      <c r="AE267" s="154" t="s">
        <v>1551</v>
      </c>
      <c r="AF267" s="154">
        <v>57</v>
      </c>
      <c r="AG267" s="154" t="s">
        <v>1552</v>
      </c>
      <c r="AH267" s="154" t="s">
        <v>36</v>
      </c>
      <c r="AI267" s="154" t="s">
        <v>51</v>
      </c>
      <c r="AJ267" s="154">
        <v>856</v>
      </c>
      <c r="AK267" s="154" t="s">
        <v>1473</v>
      </c>
      <c r="AL267" s="154">
        <v>31039</v>
      </c>
      <c r="AM267" s="154" t="s">
        <v>1418</v>
      </c>
      <c r="AN267" s="154" t="s">
        <v>1614</v>
      </c>
      <c r="AO267" s="154">
        <v>31</v>
      </c>
      <c r="AP267" s="154" t="s">
        <v>1487</v>
      </c>
      <c r="AQ267" s="154">
        <v>0</v>
      </c>
      <c r="AR267" s="154" t="s">
        <v>1410</v>
      </c>
      <c r="AS267" s="154"/>
      <c r="AT267" s="154" t="s">
        <v>1417</v>
      </c>
      <c r="AU267" s="154" t="s">
        <v>1412</v>
      </c>
    </row>
    <row r="268" spans="1:47" x14ac:dyDescent="0.45">
      <c r="A268" s="154">
        <v>2505750168</v>
      </c>
      <c r="B268" s="154">
        <v>57</v>
      </c>
      <c r="C268" s="154" t="s">
        <v>1551</v>
      </c>
      <c r="D268" s="154">
        <v>57</v>
      </c>
      <c r="E268" s="154" t="s">
        <v>1552</v>
      </c>
      <c r="F268" s="154" t="s">
        <v>2675</v>
      </c>
      <c r="G268" s="154" t="s">
        <v>2676</v>
      </c>
      <c r="H268" s="154">
        <v>2</v>
      </c>
      <c r="I268" s="154" t="s">
        <v>2677</v>
      </c>
      <c r="J268" s="154" t="s">
        <v>1403</v>
      </c>
      <c r="K268" s="154">
        <v>2025</v>
      </c>
      <c r="L268" s="155">
        <v>2025</v>
      </c>
      <c r="M268" s="156">
        <v>45594</v>
      </c>
      <c r="N268" s="154" t="s">
        <v>36</v>
      </c>
      <c r="O268" s="154">
        <v>6</v>
      </c>
      <c r="P268" s="154">
        <v>448</v>
      </c>
      <c r="Q268" s="154" t="s">
        <v>1557</v>
      </c>
      <c r="R268" s="154">
        <v>2</v>
      </c>
      <c r="S268" s="154">
        <v>1</v>
      </c>
      <c r="T268" s="154" t="s">
        <v>1527</v>
      </c>
      <c r="U268" s="154">
        <v>3</v>
      </c>
      <c r="V268" s="155">
        <v>2580131</v>
      </c>
      <c r="W268" s="155">
        <v>0</v>
      </c>
      <c r="X268" s="155" t="s">
        <v>1406</v>
      </c>
      <c r="Y268" s="154"/>
      <c r="Z268" s="154" t="s">
        <v>32</v>
      </c>
      <c r="AA268" s="156">
        <v>45688</v>
      </c>
      <c r="AB268" s="154">
        <v>25</v>
      </c>
      <c r="AC268" s="154">
        <v>80131</v>
      </c>
      <c r="AD268" s="154">
        <v>57</v>
      </c>
      <c r="AE268" s="154" t="s">
        <v>1551</v>
      </c>
      <c r="AF268" s="154">
        <v>57</v>
      </c>
      <c r="AG268" s="154" t="s">
        <v>1552</v>
      </c>
      <c r="AH268" s="154" t="s">
        <v>36</v>
      </c>
      <c r="AI268" s="154">
        <v>6</v>
      </c>
      <c r="AJ268" s="154">
        <v>448</v>
      </c>
      <c r="AK268" s="154" t="s">
        <v>1407</v>
      </c>
      <c r="AL268" s="154">
        <v>28174</v>
      </c>
      <c r="AM268" s="154" t="s">
        <v>1418</v>
      </c>
      <c r="AN268" s="154" t="s">
        <v>1543</v>
      </c>
      <c r="AO268" s="154">
        <v>28</v>
      </c>
      <c r="AP268" s="154" t="s">
        <v>1416</v>
      </c>
      <c r="AQ268" s="154">
        <v>0</v>
      </c>
      <c r="AR268" s="154" t="s">
        <v>1410</v>
      </c>
      <c r="AS268" s="154"/>
      <c r="AT268" s="154" t="s">
        <v>1417</v>
      </c>
      <c r="AU268" s="154" t="s">
        <v>1412</v>
      </c>
    </row>
    <row r="269" spans="1:47" x14ac:dyDescent="0.45">
      <c r="A269" s="154">
        <v>2505750169</v>
      </c>
      <c r="B269" s="154">
        <v>57</v>
      </c>
      <c r="C269" s="154" t="s">
        <v>1551</v>
      </c>
      <c r="D269" s="154">
        <v>57</v>
      </c>
      <c r="E269" s="154" t="s">
        <v>1552</v>
      </c>
      <c r="F269" s="154" t="s">
        <v>2678</v>
      </c>
      <c r="G269" s="154" t="s">
        <v>2679</v>
      </c>
      <c r="H269" s="154">
        <v>2</v>
      </c>
      <c r="I269" s="154" t="s">
        <v>2680</v>
      </c>
      <c r="J269" s="154" t="s">
        <v>1485</v>
      </c>
      <c r="K269" s="154">
        <v>2025</v>
      </c>
      <c r="L269" s="155">
        <v>2025</v>
      </c>
      <c r="M269" s="156">
        <v>45592</v>
      </c>
      <c r="N269" s="154" t="s">
        <v>36</v>
      </c>
      <c r="O269" s="154">
        <v>57</v>
      </c>
      <c r="P269" s="154">
        <v>1044</v>
      </c>
      <c r="Q269" s="154" t="s">
        <v>1476</v>
      </c>
      <c r="R269" s="154">
        <v>2</v>
      </c>
      <c r="S269" s="154">
        <v>3</v>
      </c>
      <c r="T269" s="154" t="s">
        <v>1477</v>
      </c>
      <c r="U269" s="154">
        <v>4</v>
      </c>
      <c r="V269" s="155">
        <v>2580139</v>
      </c>
      <c r="W269" s="155">
        <v>0</v>
      </c>
      <c r="X269" s="155" t="s">
        <v>1406</v>
      </c>
      <c r="Y269" s="154"/>
      <c r="Z269" s="154" t="s">
        <v>32</v>
      </c>
      <c r="AA269" s="156">
        <v>45698</v>
      </c>
      <c r="AB269" s="154">
        <v>25</v>
      </c>
      <c r="AC269" s="154">
        <v>80139</v>
      </c>
      <c r="AD269" s="154">
        <v>57</v>
      </c>
      <c r="AE269" s="154" t="s">
        <v>1551</v>
      </c>
      <c r="AF269" s="154">
        <v>57</v>
      </c>
      <c r="AG269" s="154" t="s">
        <v>1552</v>
      </c>
      <c r="AH269" s="154" t="s">
        <v>36</v>
      </c>
      <c r="AI269" s="154">
        <v>57</v>
      </c>
      <c r="AJ269" s="154">
        <v>1044</v>
      </c>
      <c r="AK269" s="154" t="s">
        <v>1407</v>
      </c>
      <c r="AL269" s="154">
        <v>31049</v>
      </c>
      <c r="AM269" s="154" t="s">
        <v>1421</v>
      </c>
      <c r="AN269" s="154" t="s">
        <v>2820</v>
      </c>
      <c r="AO269" s="154">
        <v>31</v>
      </c>
      <c r="AP269" s="154" t="s">
        <v>1487</v>
      </c>
      <c r="AQ269" s="154">
        <v>0</v>
      </c>
      <c r="AR269" s="154" t="s">
        <v>1410</v>
      </c>
      <c r="AS269" s="154"/>
      <c r="AT269" s="154" t="s">
        <v>1417</v>
      </c>
      <c r="AU269" s="154" t="s">
        <v>1412</v>
      </c>
    </row>
    <row r="270" spans="1:47" x14ac:dyDescent="0.45">
      <c r="A270" s="154">
        <v>2505750170</v>
      </c>
      <c r="B270" s="154">
        <v>57</v>
      </c>
      <c r="C270" s="154" t="s">
        <v>1551</v>
      </c>
      <c r="D270" s="154">
        <v>57</v>
      </c>
      <c r="E270" s="154" t="s">
        <v>1552</v>
      </c>
      <c r="F270" s="154" t="s">
        <v>2681</v>
      </c>
      <c r="G270" s="154" t="s">
        <v>2682</v>
      </c>
      <c r="H270" s="154">
        <v>1</v>
      </c>
      <c r="I270" s="154" t="s">
        <v>2683</v>
      </c>
      <c r="J270" s="154" t="s">
        <v>1403</v>
      </c>
      <c r="K270" s="154">
        <v>2025</v>
      </c>
      <c r="L270" s="155">
        <v>2025</v>
      </c>
      <c r="M270" s="156">
        <v>45564</v>
      </c>
      <c r="N270" s="154" t="s">
        <v>36</v>
      </c>
      <c r="O270" s="154">
        <v>57</v>
      </c>
      <c r="P270" s="154">
        <v>645</v>
      </c>
      <c r="Q270" s="154" t="s">
        <v>1544</v>
      </c>
      <c r="R270" s="154">
        <v>2</v>
      </c>
      <c r="S270" s="154">
        <v>3</v>
      </c>
      <c r="T270" s="154" t="s">
        <v>1477</v>
      </c>
      <c r="U270" s="154">
        <v>4</v>
      </c>
      <c r="V270" s="155">
        <v>0</v>
      </c>
      <c r="W270" s="155">
        <v>0</v>
      </c>
      <c r="X270" s="155" t="s">
        <v>1406</v>
      </c>
      <c r="Y270" s="156">
        <v>45650</v>
      </c>
      <c r="Z270" s="154" t="s">
        <v>32</v>
      </c>
      <c r="AA270" s="154"/>
      <c r="AB270" s="154">
        <v>0</v>
      </c>
      <c r="AC270" s="154">
        <v>0</v>
      </c>
      <c r="AD270" s="154">
        <v>0</v>
      </c>
      <c r="AE270" s="154" t="s">
        <v>1446</v>
      </c>
      <c r="AF270" s="154"/>
      <c r="AG270" s="154" t="s">
        <v>1446</v>
      </c>
      <c r="AH270" s="154"/>
      <c r="AI270" s="154"/>
      <c r="AJ270" s="154">
        <v>0</v>
      </c>
      <c r="AK270" s="154" t="s">
        <v>1410</v>
      </c>
      <c r="AL270" s="154">
        <v>28282</v>
      </c>
      <c r="AM270" s="154" t="s">
        <v>1414</v>
      </c>
      <c r="AN270" s="154" t="s">
        <v>1572</v>
      </c>
      <c r="AO270" s="154">
        <v>28</v>
      </c>
      <c r="AP270" s="154" t="s">
        <v>1416</v>
      </c>
      <c r="AQ270" s="154">
        <v>0</v>
      </c>
      <c r="AR270" s="154" t="s">
        <v>1410</v>
      </c>
      <c r="AS270" s="154"/>
      <c r="AT270" s="154" t="s">
        <v>1417</v>
      </c>
      <c r="AU270" s="154" t="s">
        <v>1412</v>
      </c>
    </row>
    <row r="271" spans="1:47" x14ac:dyDescent="0.45">
      <c r="A271" s="154">
        <v>2505750171</v>
      </c>
      <c r="B271" s="154">
        <v>57</v>
      </c>
      <c r="C271" s="154" t="s">
        <v>1551</v>
      </c>
      <c r="D271" s="154">
        <v>57</v>
      </c>
      <c r="E271" s="154" t="s">
        <v>1552</v>
      </c>
      <c r="F271" s="154" t="s">
        <v>2689</v>
      </c>
      <c r="G271" s="154" t="s">
        <v>2690</v>
      </c>
      <c r="H271" s="154">
        <v>1</v>
      </c>
      <c r="I271" s="154" t="s">
        <v>2691</v>
      </c>
      <c r="J271" s="154" t="s">
        <v>1403</v>
      </c>
      <c r="K271" s="154">
        <v>2025</v>
      </c>
      <c r="L271" s="155">
        <v>2025</v>
      </c>
      <c r="M271" s="156">
        <v>45564</v>
      </c>
      <c r="N271" s="154" t="s">
        <v>36</v>
      </c>
      <c r="O271" s="154">
        <v>57</v>
      </c>
      <c r="P271" s="154">
        <v>1044</v>
      </c>
      <c r="Q271" s="154" t="s">
        <v>1476</v>
      </c>
      <c r="R271" s="154">
        <v>2</v>
      </c>
      <c r="S271" s="154">
        <v>3</v>
      </c>
      <c r="T271" s="154" t="s">
        <v>1477</v>
      </c>
      <c r="U271" s="154">
        <v>4</v>
      </c>
      <c r="V271" s="155">
        <v>2580024</v>
      </c>
      <c r="W271" s="155">
        <v>0</v>
      </c>
      <c r="X271" s="155" t="s">
        <v>1406</v>
      </c>
      <c r="Y271" s="154"/>
      <c r="Z271" s="154" t="s">
        <v>32</v>
      </c>
      <c r="AA271" s="156">
        <v>45580</v>
      </c>
      <c r="AB271" s="154">
        <v>25</v>
      </c>
      <c r="AC271" s="154">
        <v>80024</v>
      </c>
      <c r="AD271" s="154">
        <v>57</v>
      </c>
      <c r="AE271" s="154" t="s">
        <v>1551</v>
      </c>
      <c r="AF271" s="154">
        <v>57</v>
      </c>
      <c r="AG271" s="154" t="s">
        <v>1552</v>
      </c>
      <c r="AH271" s="154" t="s">
        <v>36</v>
      </c>
      <c r="AI271" s="154">
        <v>57</v>
      </c>
      <c r="AJ271" s="154">
        <v>1044</v>
      </c>
      <c r="AK271" s="154" t="s">
        <v>1407</v>
      </c>
      <c r="AL271" s="154">
        <v>28280</v>
      </c>
      <c r="AM271" s="154" t="s">
        <v>1421</v>
      </c>
      <c r="AN271" s="154" t="s">
        <v>2821</v>
      </c>
      <c r="AO271" s="154">
        <v>28</v>
      </c>
      <c r="AP271" s="154" t="s">
        <v>1416</v>
      </c>
      <c r="AQ271" s="154">
        <v>0</v>
      </c>
      <c r="AR271" s="154" t="s">
        <v>1410</v>
      </c>
      <c r="AS271" s="154"/>
      <c r="AT271" s="154" t="s">
        <v>1417</v>
      </c>
      <c r="AU271" s="154" t="s">
        <v>1412</v>
      </c>
    </row>
    <row r="272" spans="1:47" x14ac:dyDescent="0.45">
      <c r="A272" s="154">
        <v>2505750172</v>
      </c>
      <c r="B272" s="154">
        <v>57</v>
      </c>
      <c r="C272" s="154" t="s">
        <v>1551</v>
      </c>
      <c r="D272" s="154">
        <v>57</v>
      </c>
      <c r="E272" s="154" t="s">
        <v>1552</v>
      </c>
      <c r="F272" s="154" t="s">
        <v>2692</v>
      </c>
      <c r="G272" s="154" t="s">
        <v>2693</v>
      </c>
      <c r="H272" s="154">
        <v>2</v>
      </c>
      <c r="I272" s="154" t="s">
        <v>228</v>
      </c>
      <c r="J272" s="154" t="s">
        <v>1403</v>
      </c>
      <c r="K272" s="154">
        <v>2025</v>
      </c>
      <c r="L272" s="155">
        <v>2025</v>
      </c>
      <c r="M272" s="156">
        <v>45577</v>
      </c>
      <c r="N272" s="154" t="s">
        <v>36</v>
      </c>
      <c r="O272" s="154" t="s">
        <v>135</v>
      </c>
      <c r="P272" s="154">
        <v>502</v>
      </c>
      <c r="Q272" s="154" t="s">
        <v>1500</v>
      </c>
      <c r="R272" s="154">
        <v>2</v>
      </c>
      <c r="S272" s="154">
        <v>5</v>
      </c>
      <c r="T272" s="154" t="s">
        <v>1470</v>
      </c>
      <c r="U272" s="154">
        <v>15</v>
      </c>
      <c r="V272" s="155">
        <v>0</v>
      </c>
      <c r="W272" s="155">
        <v>0</v>
      </c>
      <c r="X272" s="155" t="s">
        <v>1406</v>
      </c>
      <c r="Y272" s="156">
        <v>45658</v>
      </c>
      <c r="Z272" s="154" t="s">
        <v>32</v>
      </c>
      <c r="AA272" s="154"/>
      <c r="AB272" s="154">
        <v>0</v>
      </c>
      <c r="AC272" s="154">
        <v>0</v>
      </c>
      <c r="AD272" s="154">
        <v>0</v>
      </c>
      <c r="AE272" s="154" t="s">
        <v>1446</v>
      </c>
      <c r="AF272" s="154"/>
      <c r="AG272" s="154" t="s">
        <v>1446</v>
      </c>
      <c r="AH272" s="154"/>
      <c r="AI272" s="154"/>
      <c r="AJ272" s="154">
        <v>0</v>
      </c>
      <c r="AK272" s="154" t="s">
        <v>1410</v>
      </c>
      <c r="AL272" s="154">
        <v>28282</v>
      </c>
      <c r="AM272" s="154" t="s">
        <v>1414</v>
      </c>
      <c r="AN272" s="154" t="s">
        <v>1572</v>
      </c>
      <c r="AO272" s="154">
        <v>28</v>
      </c>
      <c r="AP272" s="154" t="s">
        <v>1416</v>
      </c>
      <c r="AQ272" s="154">
        <v>0</v>
      </c>
      <c r="AR272" s="154" t="s">
        <v>1410</v>
      </c>
      <c r="AS272" s="154"/>
      <c r="AT272" s="154" t="s">
        <v>1417</v>
      </c>
      <c r="AU272" s="154" t="s">
        <v>1412</v>
      </c>
    </row>
    <row r="273" spans="1:47" x14ac:dyDescent="0.45">
      <c r="A273" s="154">
        <v>2505750173</v>
      </c>
      <c r="B273" s="154">
        <v>57</v>
      </c>
      <c r="C273" s="154" t="s">
        <v>1551</v>
      </c>
      <c r="D273" s="154">
        <v>57</v>
      </c>
      <c r="E273" s="154" t="s">
        <v>1552</v>
      </c>
      <c r="F273" s="154" t="s">
        <v>2694</v>
      </c>
      <c r="G273" s="154" t="s">
        <v>2695</v>
      </c>
      <c r="H273" s="154">
        <v>2</v>
      </c>
      <c r="I273" s="154" t="s">
        <v>405</v>
      </c>
      <c r="J273" s="154" t="s">
        <v>1403</v>
      </c>
      <c r="K273" s="154">
        <v>2025</v>
      </c>
      <c r="L273" s="155">
        <v>2025</v>
      </c>
      <c r="M273" s="156">
        <v>45595</v>
      </c>
      <c r="N273" s="154" t="s">
        <v>36</v>
      </c>
      <c r="O273" s="154" t="s">
        <v>135</v>
      </c>
      <c r="P273" s="154">
        <v>502</v>
      </c>
      <c r="Q273" s="154" t="s">
        <v>1500</v>
      </c>
      <c r="R273" s="154">
        <v>2</v>
      </c>
      <c r="S273" s="154">
        <v>5</v>
      </c>
      <c r="T273" s="154" t="s">
        <v>1470</v>
      </c>
      <c r="U273" s="154">
        <v>15</v>
      </c>
      <c r="V273" s="155">
        <v>0</v>
      </c>
      <c r="W273" s="155">
        <v>166</v>
      </c>
      <c r="X273" s="155" t="s">
        <v>1501</v>
      </c>
      <c r="Y273" s="156">
        <v>45616</v>
      </c>
      <c r="Z273" s="154" t="s">
        <v>32</v>
      </c>
      <c r="AA273" s="154"/>
      <c r="AB273" s="154">
        <v>0</v>
      </c>
      <c r="AC273" s="154">
        <v>0</v>
      </c>
      <c r="AD273" s="154">
        <v>0</v>
      </c>
      <c r="AE273" s="154" t="s">
        <v>1446</v>
      </c>
      <c r="AF273" s="154"/>
      <c r="AG273" s="154" t="s">
        <v>1446</v>
      </c>
      <c r="AH273" s="154"/>
      <c r="AI273" s="154"/>
      <c r="AJ273" s="154">
        <v>0</v>
      </c>
      <c r="AK273" s="154" t="s">
        <v>1410</v>
      </c>
      <c r="AL273" s="154">
        <v>28282</v>
      </c>
      <c r="AM273" s="154" t="s">
        <v>1414</v>
      </c>
      <c r="AN273" s="154" t="s">
        <v>1572</v>
      </c>
      <c r="AO273" s="154">
        <v>28</v>
      </c>
      <c r="AP273" s="154" t="s">
        <v>1416</v>
      </c>
      <c r="AQ273" s="154">
        <v>0</v>
      </c>
      <c r="AR273" s="154" t="s">
        <v>1410</v>
      </c>
      <c r="AS273" s="154"/>
      <c r="AT273" s="154" t="s">
        <v>1417</v>
      </c>
      <c r="AU273" s="154" t="s">
        <v>1412</v>
      </c>
    </row>
    <row r="274" spans="1:47" x14ac:dyDescent="0.45">
      <c r="A274" s="154">
        <v>2505750175</v>
      </c>
      <c r="B274" s="154">
        <v>57</v>
      </c>
      <c r="C274" s="154" t="s">
        <v>1551</v>
      </c>
      <c r="D274" s="154">
        <v>57</v>
      </c>
      <c r="E274" s="154" t="s">
        <v>1552</v>
      </c>
      <c r="F274" s="154" t="s">
        <v>2704</v>
      </c>
      <c r="G274" s="154" t="s">
        <v>2705</v>
      </c>
      <c r="H274" s="154">
        <v>1</v>
      </c>
      <c r="I274" s="154" t="s">
        <v>2706</v>
      </c>
      <c r="J274" s="154" t="s">
        <v>1403</v>
      </c>
      <c r="K274" s="154">
        <v>2025</v>
      </c>
      <c r="L274" s="155">
        <v>2025</v>
      </c>
      <c r="M274" s="156">
        <v>45597</v>
      </c>
      <c r="N274" s="154" t="s">
        <v>36</v>
      </c>
      <c r="O274" s="154">
        <v>7</v>
      </c>
      <c r="P274" s="154">
        <v>265</v>
      </c>
      <c r="Q274" s="154" t="s">
        <v>1562</v>
      </c>
      <c r="R274" s="154">
        <v>2</v>
      </c>
      <c r="S274" s="154">
        <v>1</v>
      </c>
      <c r="T274" s="154" t="s">
        <v>1527</v>
      </c>
      <c r="U274" s="154">
        <v>3</v>
      </c>
      <c r="V274" s="155">
        <v>2580065</v>
      </c>
      <c r="W274" s="155">
        <v>0</v>
      </c>
      <c r="X274" s="155" t="s">
        <v>1406</v>
      </c>
      <c r="Y274" s="154"/>
      <c r="Z274" s="154" t="s">
        <v>32</v>
      </c>
      <c r="AA274" s="156">
        <v>45614</v>
      </c>
      <c r="AB274" s="154">
        <v>25</v>
      </c>
      <c r="AC274" s="154">
        <v>80065</v>
      </c>
      <c r="AD274" s="154">
        <v>57</v>
      </c>
      <c r="AE274" s="154" t="s">
        <v>1551</v>
      </c>
      <c r="AF274" s="154">
        <v>57</v>
      </c>
      <c r="AG274" s="154" t="s">
        <v>1552</v>
      </c>
      <c r="AH274" s="154" t="s">
        <v>36</v>
      </c>
      <c r="AI274" s="154">
        <v>7</v>
      </c>
      <c r="AJ274" s="154">
        <v>265</v>
      </c>
      <c r="AK274" s="154" t="s">
        <v>1407</v>
      </c>
      <c r="AL274" s="154">
        <v>28098</v>
      </c>
      <c r="AM274" s="154" t="s">
        <v>1418</v>
      </c>
      <c r="AN274" s="154" t="s">
        <v>1448</v>
      </c>
      <c r="AO274" s="154">
        <v>28</v>
      </c>
      <c r="AP274" s="154" t="s">
        <v>1416</v>
      </c>
      <c r="AQ274" s="154">
        <v>0</v>
      </c>
      <c r="AR274" s="154" t="s">
        <v>1410</v>
      </c>
      <c r="AS274" s="154"/>
      <c r="AT274" s="154" t="s">
        <v>1417</v>
      </c>
      <c r="AU274" s="154" t="s">
        <v>1412</v>
      </c>
    </row>
    <row r="275" spans="1:47" x14ac:dyDescent="0.45">
      <c r="A275" s="154">
        <v>2505750176</v>
      </c>
      <c r="B275" s="154">
        <v>57</v>
      </c>
      <c r="C275" s="154" t="s">
        <v>1551</v>
      </c>
      <c r="D275" s="154">
        <v>57</v>
      </c>
      <c r="E275" s="154" t="s">
        <v>1552</v>
      </c>
      <c r="F275" s="154" t="s">
        <v>2708</v>
      </c>
      <c r="G275" s="154" t="s">
        <v>2709</v>
      </c>
      <c r="H275" s="154">
        <v>1</v>
      </c>
      <c r="I275" s="154" t="s">
        <v>2710</v>
      </c>
      <c r="J275" s="154" t="s">
        <v>1403</v>
      </c>
      <c r="K275" s="154">
        <v>2025</v>
      </c>
      <c r="L275" s="155">
        <v>2025</v>
      </c>
      <c r="M275" s="156">
        <v>45576</v>
      </c>
      <c r="N275" s="154" t="s">
        <v>36</v>
      </c>
      <c r="O275" s="154">
        <v>7</v>
      </c>
      <c r="P275" s="154">
        <v>266</v>
      </c>
      <c r="Q275" s="154" t="s">
        <v>1526</v>
      </c>
      <c r="R275" s="154">
        <v>2</v>
      </c>
      <c r="S275" s="154">
        <v>1</v>
      </c>
      <c r="T275" s="154" t="s">
        <v>1527</v>
      </c>
      <c r="U275" s="154">
        <v>3</v>
      </c>
      <c r="V275" s="155">
        <v>2580097</v>
      </c>
      <c r="W275" s="155">
        <v>0</v>
      </c>
      <c r="X275" s="155" t="s">
        <v>1406</v>
      </c>
      <c r="Y275" s="154"/>
      <c r="Z275" s="154" t="s">
        <v>32</v>
      </c>
      <c r="AA275" s="156">
        <v>45650</v>
      </c>
      <c r="AB275" s="154">
        <v>25</v>
      </c>
      <c r="AC275" s="154">
        <v>80097</v>
      </c>
      <c r="AD275" s="154">
        <v>57</v>
      </c>
      <c r="AE275" s="154" t="s">
        <v>1551</v>
      </c>
      <c r="AF275" s="154">
        <v>57</v>
      </c>
      <c r="AG275" s="154" t="s">
        <v>1552</v>
      </c>
      <c r="AH275" s="154" t="s">
        <v>36</v>
      </c>
      <c r="AI275" s="154">
        <v>7</v>
      </c>
      <c r="AJ275" s="154">
        <v>266</v>
      </c>
      <c r="AK275" s="154" t="s">
        <v>1407</v>
      </c>
      <c r="AL275" s="154">
        <v>28061</v>
      </c>
      <c r="AM275" s="154" t="s">
        <v>1418</v>
      </c>
      <c r="AN275" s="154" t="s">
        <v>2822</v>
      </c>
      <c r="AO275" s="154">
        <v>28</v>
      </c>
      <c r="AP275" s="154" t="s">
        <v>1416</v>
      </c>
      <c r="AQ275" s="154">
        <v>0</v>
      </c>
      <c r="AR275" s="154" t="s">
        <v>1410</v>
      </c>
      <c r="AS275" s="154"/>
      <c r="AT275" s="154" t="s">
        <v>1417</v>
      </c>
      <c r="AU275" s="154" t="s">
        <v>1412</v>
      </c>
    </row>
    <row r="276" spans="1:47" x14ac:dyDescent="0.45">
      <c r="A276" s="154">
        <v>2505750177</v>
      </c>
      <c r="B276" s="154">
        <v>57</v>
      </c>
      <c r="C276" s="154" t="s">
        <v>1551</v>
      </c>
      <c r="D276" s="154">
        <v>57</v>
      </c>
      <c r="E276" s="154" t="s">
        <v>1552</v>
      </c>
      <c r="F276" s="154" t="s">
        <v>2744</v>
      </c>
      <c r="G276" s="154" t="s">
        <v>2745</v>
      </c>
      <c r="H276" s="154">
        <v>2</v>
      </c>
      <c r="I276" s="154" t="s">
        <v>399</v>
      </c>
      <c r="J276" s="154" t="s">
        <v>1403</v>
      </c>
      <c r="K276" s="154">
        <v>2025</v>
      </c>
      <c r="L276" s="155">
        <v>2025</v>
      </c>
      <c r="M276" s="156">
        <v>45571</v>
      </c>
      <c r="N276" s="154" t="s">
        <v>36</v>
      </c>
      <c r="O276" s="154">
        <v>57</v>
      </c>
      <c r="P276" s="154">
        <v>1044</v>
      </c>
      <c r="Q276" s="154" t="s">
        <v>1476</v>
      </c>
      <c r="R276" s="154">
        <v>2</v>
      </c>
      <c r="S276" s="154">
        <v>3</v>
      </c>
      <c r="T276" s="154" t="s">
        <v>1477</v>
      </c>
      <c r="U276" s="154">
        <v>4</v>
      </c>
      <c r="V276" s="155">
        <v>2580032</v>
      </c>
      <c r="W276" s="155">
        <v>0</v>
      </c>
      <c r="X276" s="155" t="s">
        <v>1406</v>
      </c>
      <c r="Y276" s="154"/>
      <c r="Z276" s="154" t="s">
        <v>32</v>
      </c>
      <c r="AA276" s="156">
        <v>45583</v>
      </c>
      <c r="AB276" s="154">
        <v>25</v>
      </c>
      <c r="AC276" s="154">
        <v>80032</v>
      </c>
      <c r="AD276" s="154">
        <v>57</v>
      </c>
      <c r="AE276" s="154" t="s">
        <v>1551</v>
      </c>
      <c r="AF276" s="154">
        <v>57</v>
      </c>
      <c r="AG276" s="154" t="s">
        <v>1552</v>
      </c>
      <c r="AH276" s="154" t="s">
        <v>36</v>
      </c>
      <c r="AI276" s="154">
        <v>57</v>
      </c>
      <c r="AJ276" s="154">
        <v>1044</v>
      </c>
      <c r="AK276" s="154" t="s">
        <v>1407</v>
      </c>
      <c r="AL276" s="154">
        <v>28245</v>
      </c>
      <c r="AM276" s="154" t="s">
        <v>1418</v>
      </c>
      <c r="AN276" s="154" t="s">
        <v>2806</v>
      </c>
      <c r="AO276" s="154">
        <v>28</v>
      </c>
      <c r="AP276" s="154" t="s">
        <v>1416</v>
      </c>
      <c r="AQ276" s="154">
        <v>0</v>
      </c>
      <c r="AR276" s="154" t="s">
        <v>1410</v>
      </c>
      <c r="AS276" s="154"/>
      <c r="AT276" s="154" t="s">
        <v>1417</v>
      </c>
      <c r="AU276" s="154" t="s">
        <v>1412</v>
      </c>
    </row>
    <row r="277" spans="1:47" x14ac:dyDescent="0.45">
      <c r="A277" s="154">
        <v>2505750178</v>
      </c>
      <c r="B277" s="154">
        <v>57</v>
      </c>
      <c r="C277" s="154" t="s">
        <v>1551</v>
      </c>
      <c r="D277" s="154">
        <v>57</v>
      </c>
      <c r="E277" s="154" t="s">
        <v>1552</v>
      </c>
      <c r="F277" s="154" t="s">
        <v>2746</v>
      </c>
      <c r="G277" s="154" t="s">
        <v>2747</v>
      </c>
      <c r="H277" s="154">
        <v>1</v>
      </c>
      <c r="I277" s="154" t="s">
        <v>1577</v>
      </c>
      <c r="J277" s="154" t="s">
        <v>1403</v>
      </c>
      <c r="K277" s="154">
        <v>2025</v>
      </c>
      <c r="L277" s="155">
        <v>2025</v>
      </c>
      <c r="M277" s="156">
        <v>45596</v>
      </c>
      <c r="N277" s="154" t="s">
        <v>36</v>
      </c>
      <c r="O277" s="154">
        <v>58</v>
      </c>
      <c r="P277" s="154">
        <v>428</v>
      </c>
      <c r="Q277" s="154" t="s">
        <v>1463</v>
      </c>
      <c r="R277" s="154">
        <v>2</v>
      </c>
      <c r="S277" s="154">
        <v>2</v>
      </c>
      <c r="T277" s="154" t="s">
        <v>1464</v>
      </c>
      <c r="U277" s="154">
        <v>1</v>
      </c>
      <c r="V277" s="155">
        <v>2580166</v>
      </c>
      <c r="W277" s="155">
        <v>0</v>
      </c>
      <c r="X277" s="155" t="s">
        <v>1406</v>
      </c>
      <c r="Y277" s="154"/>
      <c r="Z277" s="154" t="s">
        <v>32</v>
      </c>
      <c r="AA277" s="156">
        <v>45726</v>
      </c>
      <c r="AB277" s="154">
        <v>25</v>
      </c>
      <c r="AC277" s="154">
        <v>80166</v>
      </c>
      <c r="AD277" s="154">
        <v>57</v>
      </c>
      <c r="AE277" s="154" t="s">
        <v>1551</v>
      </c>
      <c r="AF277" s="154">
        <v>57</v>
      </c>
      <c r="AG277" s="154" t="s">
        <v>1552</v>
      </c>
      <c r="AH277" s="154" t="s">
        <v>36</v>
      </c>
      <c r="AI277" s="154">
        <v>58</v>
      </c>
      <c r="AJ277" s="154">
        <v>428</v>
      </c>
      <c r="AK277" s="154" t="s">
        <v>1410</v>
      </c>
      <c r="AL277" s="154">
        <v>28243</v>
      </c>
      <c r="AM277" s="154" t="s">
        <v>1421</v>
      </c>
      <c r="AN277" s="154" t="s">
        <v>1601</v>
      </c>
      <c r="AO277" s="154">
        <v>28</v>
      </c>
      <c r="AP277" s="154" t="s">
        <v>1416</v>
      </c>
      <c r="AQ277" s="154">
        <v>0</v>
      </c>
      <c r="AR277" s="154" t="s">
        <v>1410</v>
      </c>
      <c r="AS277" s="154"/>
      <c r="AT277" s="154" t="s">
        <v>1417</v>
      </c>
      <c r="AU277" s="154" t="s">
        <v>1412</v>
      </c>
    </row>
    <row r="278" spans="1:47" x14ac:dyDescent="0.45">
      <c r="A278" s="154">
        <v>2505750179</v>
      </c>
      <c r="B278" s="154">
        <v>57</v>
      </c>
      <c r="C278" s="154" t="s">
        <v>1551</v>
      </c>
      <c r="D278" s="154">
        <v>57</v>
      </c>
      <c r="E278" s="154" t="s">
        <v>1552</v>
      </c>
      <c r="F278" s="154" t="s">
        <v>2748</v>
      </c>
      <c r="G278" s="154" t="s">
        <v>2749</v>
      </c>
      <c r="H278" s="154">
        <v>1</v>
      </c>
      <c r="I278" s="154" t="s">
        <v>2750</v>
      </c>
      <c r="J278" s="154" t="s">
        <v>1403</v>
      </c>
      <c r="K278" s="154">
        <v>2025</v>
      </c>
      <c r="L278" s="155">
        <v>2025</v>
      </c>
      <c r="M278" s="156">
        <v>45591</v>
      </c>
      <c r="N278" s="154" t="s">
        <v>36</v>
      </c>
      <c r="O278" s="154" t="s">
        <v>135</v>
      </c>
      <c r="P278" s="154">
        <v>502</v>
      </c>
      <c r="Q278" s="154" t="s">
        <v>1500</v>
      </c>
      <c r="R278" s="154">
        <v>2</v>
      </c>
      <c r="S278" s="154">
        <v>5</v>
      </c>
      <c r="T278" s="154" t="s">
        <v>1470</v>
      </c>
      <c r="U278" s="154">
        <v>15</v>
      </c>
      <c r="V278" s="155">
        <v>2580060</v>
      </c>
      <c r="W278" s="155">
        <v>0</v>
      </c>
      <c r="X278" s="155" t="s">
        <v>1406</v>
      </c>
      <c r="Y278" s="154"/>
      <c r="Z278" s="154" t="s">
        <v>32</v>
      </c>
      <c r="AA278" s="156">
        <v>45611</v>
      </c>
      <c r="AB278" s="154">
        <v>25</v>
      </c>
      <c r="AC278" s="154">
        <v>80060</v>
      </c>
      <c r="AD278" s="154">
        <v>57</v>
      </c>
      <c r="AE278" s="154" t="s">
        <v>1551</v>
      </c>
      <c r="AF278" s="154">
        <v>57</v>
      </c>
      <c r="AG278" s="154" t="s">
        <v>1552</v>
      </c>
      <c r="AH278" s="154" t="s">
        <v>36</v>
      </c>
      <c r="AI278" s="154" t="s">
        <v>135</v>
      </c>
      <c r="AJ278" s="154">
        <v>502</v>
      </c>
      <c r="AK278" s="154" t="s">
        <v>1407</v>
      </c>
      <c r="AL278" s="154">
        <v>28029</v>
      </c>
      <c r="AM278" s="154" t="s">
        <v>1421</v>
      </c>
      <c r="AN278" s="154" t="s">
        <v>1441</v>
      </c>
      <c r="AO278" s="154">
        <v>28</v>
      </c>
      <c r="AP278" s="154" t="s">
        <v>1416</v>
      </c>
      <c r="AQ278" s="154">
        <v>0</v>
      </c>
      <c r="AR278" s="154" t="s">
        <v>1410</v>
      </c>
      <c r="AS278" s="154"/>
      <c r="AT278" s="154" t="s">
        <v>1417</v>
      </c>
      <c r="AU278" s="154" t="s">
        <v>1412</v>
      </c>
    </row>
    <row r="279" spans="1:47" x14ac:dyDescent="0.45">
      <c r="A279" s="154">
        <v>2505750181</v>
      </c>
      <c r="B279" s="154">
        <v>57</v>
      </c>
      <c r="C279" s="154" t="s">
        <v>1551</v>
      </c>
      <c r="D279" s="154">
        <v>57</v>
      </c>
      <c r="E279" s="154" t="s">
        <v>1552</v>
      </c>
      <c r="F279" s="154" t="s">
        <v>2765</v>
      </c>
      <c r="G279" s="154" t="s">
        <v>2766</v>
      </c>
      <c r="H279" s="154">
        <v>1</v>
      </c>
      <c r="I279" s="154" t="s">
        <v>2767</v>
      </c>
      <c r="J279" s="154" t="s">
        <v>1403</v>
      </c>
      <c r="K279" s="154">
        <v>2025</v>
      </c>
      <c r="L279" s="155">
        <v>2025</v>
      </c>
      <c r="M279" s="156">
        <v>45590</v>
      </c>
      <c r="N279" s="154" t="s">
        <v>36</v>
      </c>
      <c r="O279" s="154">
        <v>58</v>
      </c>
      <c r="P279" s="154">
        <v>428</v>
      </c>
      <c r="Q279" s="154" t="s">
        <v>1463</v>
      </c>
      <c r="R279" s="154">
        <v>2</v>
      </c>
      <c r="S279" s="154">
        <v>2</v>
      </c>
      <c r="T279" s="154" t="s">
        <v>1464</v>
      </c>
      <c r="U279" s="154">
        <v>1</v>
      </c>
      <c r="V279" s="155">
        <v>2580102</v>
      </c>
      <c r="W279" s="155">
        <v>0</v>
      </c>
      <c r="X279" s="155" t="s">
        <v>1406</v>
      </c>
      <c r="Y279" s="154"/>
      <c r="Z279" s="154" t="s">
        <v>32</v>
      </c>
      <c r="AA279" s="156">
        <v>45663</v>
      </c>
      <c r="AB279" s="154">
        <v>25</v>
      </c>
      <c r="AC279" s="154">
        <v>80102</v>
      </c>
      <c r="AD279" s="154">
        <v>57</v>
      </c>
      <c r="AE279" s="154" t="s">
        <v>1551</v>
      </c>
      <c r="AF279" s="154">
        <v>57</v>
      </c>
      <c r="AG279" s="154" t="s">
        <v>1552</v>
      </c>
      <c r="AH279" s="154" t="s">
        <v>36</v>
      </c>
      <c r="AI279" s="154">
        <v>58</v>
      </c>
      <c r="AJ279" s="154">
        <v>428</v>
      </c>
      <c r="AK279" s="154" t="s">
        <v>1407</v>
      </c>
      <c r="AL279" s="154">
        <v>28015</v>
      </c>
      <c r="AM279" s="154" t="s">
        <v>1421</v>
      </c>
      <c r="AN279" s="154" t="s">
        <v>1525</v>
      </c>
      <c r="AO279" s="154">
        <v>28</v>
      </c>
      <c r="AP279" s="154" t="s">
        <v>1416</v>
      </c>
      <c r="AQ279" s="154">
        <v>0</v>
      </c>
      <c r="AR279" s="154" t="s">
        <v>1410</v>
      </c>
      <c r="AS279" s="154"/>
      <c r="AT279" s="154" t="s">
        <v>1417</v>
      </c>
      <c r="AU279" s="154" t="s">
        <v>1412</v>
      </c>
    </row>
    <row r="280" spans="1:47" x14ac:dyDescent="0.45">
      <c r="A280" s="154">
        <v>2505750184</v>
      </c>
      <c r="B280" s="154">
        <v>57</v>
      </c>
      <c r="C280" s="154" t="s">
        <v>1551</v>
      </c>
      <c r="D280" s="154">
        <v>57</v>
      </c>
      <c r="E280" s="154" t="s">
        <v>1552</v>
      </c>
      <c r="F280" s="154" t="s">
        <v>2773</v>
      </c>
      <c r="G280" s="154" t="s">
        <v>2774</v>
      </c>
      <c r="H280" s="154">
        <v>1</v>
      </c>
      <c r="I280" s="154" t="s">
        <v>2775</v>
      </c>
      <c r="J280" s="154" t="s">
        <v>1403</v>
      </c>
      <c r="K280" s="154">
        <v>2025</v>
      </c>
      <c r="L280" s="155">
        <v>2025</v>
      </c>
      <c r="M280" s="156">
        <v>45571</v>
      </c>
      <c r="N280" s="154" t="s">
        <v>36</v>
      </c>
      <c r="O280" s="154">
        <v>58</v>
      </c>
      <c r="P280" s="154">
        <v>427</v>
      </c>
      <c r="Q280" s="154" t="s">
        <v>1479</v>
      </c>
      <c r="R280" s="154">
        <v>2</v>
      </c>
      <c r="S280" s="154">
        <v>2</v>
      </c>
      <c r="T280" s="154" t="s">
        <v>1464</v>
      </c>
      <c r="U280" s="154">
        <v>1</v>
      </c>
      <c r="V280" s="155">
        <v>2580075</v>
      </c>
      <c r="W280" s="155">
        <v>0</v>
      </c>
      <c r="X280" s="155" t="s">
        <v>1406</v>
      </c>
      <c r="Y280" s="154"/>
      <c r="Z280" s="154" t="s">
        <v>32</v>
      </c>
      <c r="AA280" s="156">
        <v>45628</v>
      </c>
      <c r="AB280" s="154">
        <v>25</v>
      </c>
      <c r="AC280" s="154">
        <v>80075</v>
      </c>
      <c r="AD280" s="154">
        <v>57</v>
      </c>
      <c r="AE280" s="154" t="s">
        <v>1551</v>
      </c>
      <c r="AF280" s="154">
        <v>57</v>
      </c>
      <c r="AG280" s="154" t="s">
        <v>1552</v>
      </c>
      <c r="AH280" s="154" t="s">
        <v>36</v>
      </c>
      <c r="AI280" s="154">
        <v>58</v>
      </c>
      <c r="AJ280" s="154">
        <v>427</v>
      </c>
      <c r="AK280" s="154" t="s">
        <v>1407</v>
      </c>
      <c r="AL280" s="154">
        <v>28015</v>
      </c>
      <c r="AM280" s="154" t="s">
        <v>1421</v>
      </c>
      <c r="AN280" s="154" t="s">
        <v>1525</v>
      </c>
      <c r="AO280" s="154">
        <v>28</v>
      </c>
      <c r="AP280" s="154" t="s">
        <v>1416</v>
      </c>
      <c r="AQ280" s="154">
        <v>0</v>
      </c>
      <c r="AR280" s="154" t="s">
        <v>1410</v>
      </c>
      <c r="AS280" s="154"/>
      <c r="AT280" s="154" t="s">
        <v>1417</v>
      </c>
      <c r="AU280" s="154" t="s">
        <v>1412</v>
      </c>
    </row>
    <row r="281" spans="1:47" x14ac:dyDescent="0.45">
      <c r="A281" s="154">
        <v>2505750185</v>
      </c>
      <c r="B281" s="154">
        <v>57</v>
      </c>
      <c r="C281" s="154" t="s">
        <v>1551</v>
      </c>
      <c r="D281" s="154">
        <v>57</v>
      </c>
      <c r="E281" s="154" t="s">
        <v>1552</v>
      </c>
      <c r="F281" s="154" t="s">
        <v>2776</v>
      </c>
      <c r="G281" s="154" t="s">
        <v>2777</v>
      </c>
      <c r="H281" s="154">
        <v>1</v>
      </c>
      <c r="I281" s="154" t="s">
        <v>2778</v>
      </c>
      <c r="J281" s="154" t="s">
        <v>1403</v>
      </c>
      <c r="K281" s="154">
        <v>0</v>
      </c>
      <c r="L281" s="155">
        <v>2025</v>
      </c>
      <c r="M281" s="156">
        <v>45587</v>
      </c>
      <c r="N281" s="154" t="s">
        <v>36</v>
      </c>
      <c r="O281" s="154">
        <v>58</v>
      </c>
      <c r="P281" s="154">
        <v>427</v>
      </c>
      <c r="Q281" s="154" t="s">
        <v>1479</v>
      </c>
      <c r="R281" s="154">
        <v>2</v>
      </c>
      <c r="S281" s="154">
        <v>2</v>
      </c>
      <c r="T281" s="154" t="s">
        <v>1464</v>
      </c>
      <c r="U281" s="154">
        <v>1</v>
      </c>
      <c r="V281" s="155">
        <v>2580044</v>
      </c>
      <c r="W281" s="155">
        <v>0</v>
      </c>
      <c r="X281" s="155" t="s">
        <v>1406</v>
      </c>
      <c r="Y281" s="154"/>
      <c r="Z281" s="154" t="s">
        <v>32</v>
      </c>
      <c r="AA281" s="156">
        <v>45601</v>
      </c>
      <c r="AB281" s="154">
        <v>25</v>
      </c>
      <c r="AC281" s="154">
        <v>80044</v>
      </c>
      <c r="AD281" s="154">
        <v>57</v>
      </c>
      <c r="AE281" s="154" t="s">
        <v>1551</v>
      </c>
      <c r="AF281" s="154">
        <v>57</v>
      </c>
      <c r="AG281" s="154" t="s">
        <v>1552</v>
      </c>
      <c r="AH281" s="154" t="s">
        <v>36</v>
      </c>
      <c r="AI281" s="154">
        <v>58</v>
      </c>
      <c r="AJ281" s="154">
        <v>427</v>
      </c>
      <c r="AK281" s="154" t="s">
        <v>1407</v>
      </c>
      <c r="AL281" s="154">
        <v>28042</v>
      </c>
      <c r="AM281" s="154" t="s">
        <v>1421</v>
      </c>
      <c r="AN281" s="154" t="s">
        <v>2823</v>
      </c>
      <c r="AO281" s="154">
        <v>28</v>
      </c>
      <c r="AP281" s="154" t="s">
        <v>1416</v>
      </c>
      <c r="AQ281" s="154">
        <v>0</v>
      </c>
      <c r="AR281" s="154" t="s">
        <v>1410</v>
      </c>
      <c r="AS281" s="154"/>
      <c r="AT281" s="154" t="s">
        <v>1411</v>
      </c>
      <c r="AU281" s="154" t="s">
        <v>1412</v>
      </c>
    </row>
    <row r="282" spans="1:47" x14ac:dyDescent="0.45">
      <c r="A282" s="154">
        <v>2505750186</v>
      </c>
      <c r="B282" s="154">
        <v>57</v>
      </c>
      <c r="C282" s="154" t="s">
        <v>1551</v>
      </c>
      <c r="D282" s="154">
        <v>57</v>
      </c>
      <c r="E282" s="154" t="s">
        <v>1552</v>
      </c>
      <c r="F282" s="154" t="s">
        <v>2779</v>
      </c>
      <c r="G282" s="154" t="s">
        <v>2780</v>
      </c>
      <c r="H282" s="154">
        <v>1</v>
      </c>
      <c r="I282" s="154" t="s">
        <v>1844</v>
      </c>
      <c r="J282" s="154" t="s">
        <v>1403</v>
      </c>
      <c r="K282" s="154">
        <v>0</v>
      </c>
      <c r="L282" s="155">
        <v>2025</v>
      </c>
      <c r="M282" s="156">
        <v>45595</v>
      </c>
      <c r="N282" s="154" t="s">
        <v>36</v>
      </c>
      <c r="O282" s="154" t="s">
        <v>135</v>
      </c>
      <c r="P282" s="154">
        <v>502</v>
      </c>
      <c r="Q282" s="154" t="s">
        <v>1500</v>
      </c>
      <c r="R282" s="154">
        <v>2</v>
      </c>
      <c r="S282" s="154">
        <v>5</v>
      </c>
      <c r="T282" s="154" t="s">
        <v>1470</v>
      </c>
      <c r="U282" s="154">
        <v>15</v>
      </c>
      <c r="V282" s="155">
        <v>2580070</v>
      </c>
      <c r="W282" s="155">
        <v>0</v>
      </c>
      <c r="X282" s="155" t="s">
        <v>1406</v>
      </c>
      <c r="Y282" s="154"/>
      <c r="Z282" s="154" t="s">
        <v>32</v>
      </c>
      <c r="AA282" s="156">
        <v>45621</v>
      </c>
      <c r="AB282" s="154">
        <v>25</v>
      </c>
      <c r="AC282" s="154">
        <v>80070</v>
      </c>
      <c r="AD282" s="154">
        <v>57</v>
      </c>
      <c r="AE282" s="154" t="s">
        <v>1551</v>
      </c>
      <c r="AF282" s="154">
        <v>57</v>
      </c>
      <c r="AG282" s="154" t="s">
        <v>1552</v>
      </c>
      <c r="AH282" s="154" t="s">
        <v>36</v>
      </c>
      <c r="AI282" s="154" t="s">
        <v>135</v>
      </c>
      <c r="AJ282" s="154">
        <v>502</v>
      </c>
      <c r="AK282" s="154" t="s">
        <v>1407</v>
      </c>
      <c r="AL282" s="154">
        <v>28217</v>
      </c>
      <c r="AM282" s="154" t="s">
        <v>1418</v>
      </c>
      <c r="AN282" s="154" t="s">
        <v>1626</v>
      </c>
      <c r="AO282" s="154">
        <v>28</v>
      </c>
      <c r="AP282" s="154" t="s">
        <v>1416</v>
      </c>
      <c r="AQ282" s="154">
        <v>0</v>
      </c>
      <c r="AR282" s="154" t="s">
        <v>1410</v>
      </c>
      <c r="AS282" s="154"/>
      <c r="AT282" s="154" t="s">
        <v>1411</v>
      </c>
      <c r="AU282" s="154" t="s">
        <v>1412</v>
      </c>
    </row>
    <row r="283" spans="1:47" x14ac:dyDescent="0.45">
      <c r="A283" s="154">
        <v>2505750188</v>
      </c>
      <c r="B283" s="154">
        <v>57</v>
      </c>
      <c r="C283" s="154" t="s">
        <v>1551</v>
      </c>
      <c r="D283" s="154">
        <v>57</v>
      </c>
      <c r="E283" s="154" t="s">
        <v>1552</v>
      </c>
      <c r="F283" s="154" t="s">
        <v>1564</v>
      </c>
      <c r="G283" s="154" t="s">
        <v>1565</v>
      </c>
      <c r="H283" s="154">
        <v>1</v>
      </c>
      <c r="I283" s="154" t="s">
        <v>2783</v>
      </c>
      <c r="J283" s="154" t="s">
        <v>1403</v>
      </c>
      <c r="K283" s="154">
        <v>2025</v>
      </c>
      <c r="L283" s="155">
        <v>2025</v>
      </c>
      <c r="M283" s="156">
        <v>45598</v>
      </c>
      <c r="N283" s="154" t="s">
        <v>36</v>
      </c>
      <c r="O283" s="154" t="s">
        <v>51</v>
      </c>
      <c r="P283" s="154">
        <v>968</v>
      </c>
      <c r="Q283" s="154" t="s">
        <v>1474</v>
      </c>
      <c r="R283" s="154">
        <v>1</v>
      </c>
      <c r="S283" s="154">
        <v>2</v>
      </c>
      <c r="T283" s="154" t="s">
        <v>1464</v>
      </c>
      <c r="U283" s="154">
        <v>1</v>
      </c>
      <c r="V283" s="155">
        <v>2580144</v>
      </c>
      <c r="W283" s="155">
        <v>0</v>
      </c>
      <c r="X283" s="155" t="s">
        <v>1406</v>
      </c>
      <c r="Y283" s="154"/>
      <c r="Z283" s="154" t="s">
        <v>32</v>
      </c>
      <c r="AA283" s="156">
        <v>45705</v>
      </c>
      <c r="AB283" s="154">
        <v>25</v>
      </c>
      <c r="AC283" s="154">
        <v>80144</v>
      </c>
      <c r="AD283" s="154">
        <v>57</v>
      </c>
      <c r="AE283" s="154" t="s">
        <v>1551</v>
      </c>
      <c r="AF283" s="154">
        <v>57</v>
      </c>
      <c r="AG283" s="154" t="s">
        <v>1552</v>
      </c>
      <c r="AH283" s="154" t="s">
        <v>36</v>
      </c>
      <c r="AI283" s="154" t="s">
        <v>51</v>
      </c>
      <c r="AJ283" s="154">
        <v>968</v>
      </c>
      <c r="AK283" s="154" t="s">
        <v>1473</v>
      </c>
      <c r="AL283" s="154">
        <v>28246</v>
      </c>
      <c r="AM283" s="154" t="s">
        <v>1418</v>
      </c>
      <c r="AN283" s="154" t="s">
        <v>1567</v>
      </c>
      <c r="AO283" s="154">
        <v>28</v>
      </c>
      <c r="AP283" s="154" t="s">
        <v>1416</v>
      </c>
      <c r="AQ283" s="154">
        <v>0</v>
      </c>
      <c r="AR283" s="154" t="s">
        <v>1410</v>
      </c>
      <c r="AS283" s="154"/>
      <c r="AT283" s="154" t="s">
        <v>1417</v>
      </c>
      <c r="AU283" s="154" t="s">
        <v>1412</v>
      </c>
    </row>
    <row r="284" spans="1:47" x14ac:dyDescent="0.45">
      <c r="A284" s="154">
        <v>2513000001</v>
      </c>
      <c r="B284" s="154">
        <v>130</v>
      </c>
      <c r="C284" s="154" t="s">
        <v>1401</v>
      </c>
      <c r="D284" s="154">
        <v>130</v>
      </c>
      <c r="E284" s="154" t="s">
        <v>1402</v>
      </c>
      <c r="F284" s="154" t="s">
        <v>3076</v>
      </c>
      <c r="G284" s="154" t="s">
        <v>3077</v>
      </c>
      <c r="H284" s="154">
        <v>1</v>
      </c>
      <c r="I284" s="154" t="s">
        <v>3078</v>
      </c>
      <c r="J284" s="154" t="s">
        <v>1403</v>
      </c>
      <c r="K284" s="154">
        <v>2025</v>
      </c>
      <c r="L284" s="155">
        <v>2025</v>
      </c>
      <c r="M284" s="156">
        <v>45574</v>
      </c>
      <c r="N284" s="154" t="s">
        <v>36</v>
      </c>
      <c r="O284" s="154" t="s">
        <v>485</v>
      </c>
      <c r="P284" s="154">
        <v>1131</v>
      </c>
      <c r="Q284" s="154" t="s">
        <v>1413</v>
      </c>
      <c r="R284" s="154">
        <v>3</v>
      </c>
      <c r="S284" s="154">
        <v>6</v>
      </c>
      <c r="T284" s="154" t="s">
        <v>1405</v>
      </c>
      <c r="U284" s="154">
        <v>5</v>
      </c>
      <c r="V284" s="155">
        <v>2522038</v>
      </c>
      <c r="W284" s="155">
        <v>0</v>
      </c>
      <c r="X284" s="155" t="s">
        <v>1406</v>
      </c>
      <c r="Y284" s="154"/>
      <c r="Z284" s="154" t="s">
        <v>1424</v>
      </c>
      <c r="AA284" s="156">
        <v>45638</v>
      </c>
      <c r="AB284" s="154">
        <v>25</v>
      </c>
      <c r="AC284" s="154">
        <v>22038</v>
      </c>
      <c r="AD284" s="154">
        <v>130</v>
      </c>
      <c r="AE284" s="154" t="s">
        <v>1401</v>
      </c>
      <c r="AF284" s="154">
        <v>130</v>
      </c>
      <c r="AG284" s="154" t="s">
        <v>1402</v>
      </c>
      <c r="AH284" s="154" t="s">
        <v>36</v>
      </c>
      <c r="AI284" s="154" t="s">
        <v>485</v>
      </c>
      <c r="AJ284" s="154">
        <v>1131</v>
      </c>
      <c r="AK284" s="154" t="s">
        <v>1407</v>
      </c>
      <c r="AL284" s="154">
        <v>28174</v>
      </c>
      <c r="AM284" s="154" t="s">
        <v>1418</v>
      </c>
      <c r="AN284" s="154" t="s">
        <v>1543</v>
      </c>
      <c r="AO284" s="154">
        <v>28</v>
      </c>
      <c r="AP284" s="154" t="s">
        <v>1416</v>
      </c>
      <c r="AQ284" s="154">
        <v>0</v>
      </c>
      <c r="AR284" s="154" t="s">
        <v>1410</v>
      </c>
      <c r="AS284" s="154"/>
      <c r="AT284" s="154" t="s">
        <v>1417</v>
      </c>
      <c r="AU284" s="154" t="s">
        <v>1412</v>
      </c>
    </row>
    <row r="285" spans="1:47" x14ac:dyDescent="0.45">
      <c r="A285" s="154">
        <v>2513000002</v>
      </c>
      <c r="B285" s="154">
        <v>130</v>
      </c>
      <c r="C285" s="154" t="s">
        <v>1401</v>
      </c>
      <c r="D285" s="154">
        <v>130</v>
      </c>
      <c r="E285" s="154" t="s">
        <v>1402</v>
      </c>
      <c r="F285" s="154" t="s">
        <v>3079</v>
      </c>
      <c r="G285" s="154" t="s">
        <v>3080</v>
      </c>
      <c r="H285" s="154">
        <v>1</v>
      </c>
      <c r="I285" s="154" t="s">
        <v>1027</v>
      </c>
      <c r="J285" s="154" t="s">
        <v>1403</v>
      </c>
      <c r="K285" s="154">
        <v>2025</v>
      </c>
      <c r="L285" s="155">
        <v>2025</v>
      </c>
      <c r="M285" s="156">
        <v>45614</v>
      </c>
      <c r="N285" s="154" t="s">
        <v>36</v>
      </c>
      <c r="O285" s="154" t="s">
        <v>485</v>
      </c>
      <c r="P285" s="154">
        <v>1131</v>
      </c>
      <c r="Q285" s="154" t="s">
        <v>1413</v>
      </c>
      <c r="R285" s="154">
        <v>3</v>
      </c>
      <c r="S285" s="154">
        <v>6</v>
      </c>
      <c r="T285" s="154" t="s">
        <v>1405</v>
      </c>
      <c r="U285" s="154">
        <v>5</v>
      </c>
      <c r="V285" s="155">
        <v>2522046</v>
      </c>
      <c r="W285" s="155">
        <v>0</v>
      </c>
      <c r="X285" s="155" t="s">
        <v>1406</v>
      </c>
      <c r="Y285" s="154"/>
      <c r="Z285" s="154" t="s">
        <v>1424</v>
      </c>
      <c r="AA285" s="156">
        <v>45680</v>
      </c>
      <c r="AB285" s="154">
        <v>25</v>
      </c>
      <c r="AC285" s="154">
        <v>22046</v>
      </c>
      <c r="AD285" s="154">
        <v>130</v>
      </c>
      <c r="AE285" s="154" t="s">
        <v>1401</v>
      </c>
      <c r="AF285" s="154">
        <v>130</v>
      </c>
      <c r="AG285" s="154" t="s">
        <v>1402</v>
      </c>
      <c r="AH285" s="154" t="s">
        <v>36</v>
      </c>
      <c r="AI285" s="154" t="s">
        <v>485</v>
      </c>
      <c r="AJ285" s="154">
        <v>1131</v>
      </c>
      <c r="AK285" s="154" t="s">
        <v>1407</v>
      </c>
      <c r="AL285" s="154">
        <v>28283</v>
      </c>
      <c r="AM285" s="154" t="s">
        <v>1421</v>
      </c>
      <c r="AN285" s="154" t="s">
        <v>2843</v>
      </c>
      <c r="AO285" s="154">
        <v>28</v>
      </c>
      <c r="AP285" s="154" t="s">
        <v>1416</v>
      </c>
      <c r="AQ285" s="154">
        <v>0</v>
      </c>
      <c r="AR285" s="154" t="s">
        <v>1410</v>
      </c>
      <c r="AS285" s="154"/>
      <c r="AT285" s="154" t="s">
        <v>1417</v>
      </c>
      <c r="AU285" s="154" t="s">
        <v>1412</v>
      </c>
    </row>
    <row r="286" spans="1:47" x14ac:dyDescent="0.45">
      <c r="A286" s="154">
        <v>2513000003</v>
      </c>
      <c r="B286" s="154">
        <v>130</v>
      </c>
      <c r="C286" s="154" t="s">
        <v>1401</v>
      </c>
      <c r="D286" s="154">
        <v>130</v>
      </c>
      <c r="E286" s="154" t="s">
        <v>1402</v>
      </c>
      <c r="F286" s="154" t="s">
        <v>3081</v>
      </c>
      <c r="G286" s="154" t="s">
        <v>3082</v>
      </c>
      <c r="H286" s="154">
        <v>1</v>
      </c>
      <c r="I286" s="154" t="s">
        <v>3083</v>
      </c>
      <c r="J286" s="154" t="s">
        <v>1403</v>
      </c>
      <c r="K286" s="154">
        <v>0</v>
      </c>
      <c r="L286" s="155">
        <v>2025</v>
      </c>
      <c r="M286" s="156">
        <v>45645</v>
      </c>
      <c r="N286" s="154" t="s">
        <v>36</v>
      </c>
      <c r="O286" s="154" t="s">
        <v>501</v>
      </c>
      <c r="P286" s="154">
        <v>1726</v>
      </c>
      <c r="Q286" s="154" t="s">
        <v>1430</v>
      </c>
      <c r="R286" s="154">
        <v>2</v>
      </c>
      <c r="S286" s="154">
        <v>34</v>
      </c>
      <c r="T286" s="154" t="s">
        <v>1431</v>
      </c>
      <c r="U286" s="154">
        <v>12</v>
      </c>
      <c r="V286" s="155">
        <v>2522042</v>
      </c>
      <c r="W286" s="155">
        <v>0</v>
      </c>
      <c r="X286" s="155" t="s">
        <v>1406</v>
      </c>
      <c r="Y286" s="154"/>
      <c r="Z286" s="154" t="s">
        <v>1407</v>
      </c>
      <c r="AA286" s="156">
        <v>45664</v>
      </c>
      <c r="AB286" s="154">
        <v>25</v>
      </c>
      <c r="AC286" s="154">
        <v>22042</v>
      </c>
      <c r="AD286" s="154">
        <v>130</v>
      </c>
      <c r="AE286" s="154" t="s">
        <v>1401</v>
      </c>
      <c r="AF286" s="154">
        <v>130</v>
      </c>
      <c r="AG286" s="154" t="s">
        <v>1402</v>
      </c>
      <c r="AH286" s="154" t="s">
        <v>36</v>
      </c>
      <c r="AI286" s="154" t="s">
        <v>501</v>
      </c>
      <c r="AJ286" s="154">
        <v>1726</v>
      </c>
      <c r="AK286" s="154" t="s">
        <v>1407</v>
      </c>
      <c r="AL286" s="154">
        <v>28232</v>
      </c>
      <c r="AM286" s="154" t="s">
        <v>1418</v>
      </c>
      <c r="AN286" s="154" t="s">
        <v>1548</v>
      </c>
      <c r="AO286" s="154">
        <v>28</v>
      </c>
      <c r="AP286" s="154" t="s">
        <v>1416</v>
      </c>
      <c r="AQ286" s="154">
        <v>0</v>
      </c>
      <c r="AR286" s="154" t="s">
        <v>1410</v>
      </c>
      <c r="AS286" s="154"/>
      <c r="AT286" s="154" t="s">
        <v>1411</v>
      </c>
      <c r="AU286" s="154" t="s">
        <v>1412</v>
      </c>
    </row>
    <row r="287" spans="1:47" x14ac:dyDescent="0.45">
      <c r="A287" s="154">
        <v>2513000004</v>
      </c>
      <c r="B287" s="154">
        <v>130</v>
      </c>
      <c r="C287" s="154" t="s">
        <v>1401</v>
      </c>
      <c r="D287" s="154">
        <v>130</v>
      </c>
      <c r="E287" s="154" t="s">
        <v>1402</v>
      </c>
      <c r="F287" s="154" t="s">
        <v>3084</v>
      </c>
      <c r="G287" s="154" t="s">
        <v>3085</v>
      </c>
      <c r="H287" s="154">
        <v>1</v>
      </c>
      <c r="I287" s="154" t="s">
        <v>1363</v>
      </c>
      <c r="J287" s="154" t="s">
        <v>1403</v>
      </c>
      <c r="K287" s="154">
        <v>2025</v>
      </c>
      <c r="L287" s="155">
        <v>2025</v>
      </c>
      <c r="M287" s="156">
        <v>45649</v>
      </c>
      <c r="N287" s="154" t="s">
        <v>36</v>
      </c>
      <c r="O287" s="154" t="s">
        <v>485</v>
      </c>
      <c r="P287" s="154">
        <v>1131</v>
      </c>
      <c r="Q287" s="154" t="s">
        <v>1413</v>
      </c>
      <c r="R287" s="154">
        <v>3</v>
      </c>
      <c r="S287" s="154">
        <v>6</v>
      </c>
      <c r="T287" s="154" t="s">
        <v>1405</v>
      </c>
      <c r="U287" s="154">
        <v>5</v>
      </c>
      <c r="V287" s="155">
        <v>2522054</v>
      </c>
      <c r="W287" s="155">
        <v>0</v>
      </c>
      <c r="X287" s="155" t="s">
        <v>1406</v>
      </c>
      <c r="Y287" s="154"/>
      <c r="Z287" s="154" t="s">
        <v>1407</v>
      </c>
      <c r="AA287" s="156">
        <v>45734</v>
      </c>
      <c r="AB287" s="154">
        <v>25</v>
      </c>
      <c r="AC287" s="154">
        <v>22054</v>
      </c>
      <c r="AD287" s="154">
        <v>130</v>
      </c>
      <c r="AE287" s="154" t="s">
        <v>1401</v>
      </c>
      <c r="AF287" s="154">
        <v>130</v>
      </c>
      <c r="AG287" s="154" t="s">
        <v>1402</v>
      </c>
      <c r="AH287" s="154" t="s">
        <v>36</v>
      </c>
      <c r="AI287" s="154" t="s">
        <v>485</v>
      </c>
      <c r="AJ287" s="154">
        <v>1131</v>
      </c>
      <c r="AK287" s="154" t="s">
        <v>1410</v>
      </c>
      <c r="AL287" s="154">
        <v>28193</v>
      </c>
      <c r="AM287" s="154" t="s">
        <v>1418</v>
      </c>
      <c r="AN287" s="154" t="s">
        <v>1439</v>
      </c>
      <c r="AO287" s="154">
        <v>28</v>
      </c>
      <c r="AP287" s="154" t="s">
        <v>1416</v>
      </c>
      <c r="AQ287" s="154">
        <v>0</v>
      </c>
      <c r="AR287" s="154" t="s">
        <v>1410</v>
      </c>
      <c r="AS287" s="154"/>
      <c r="AT287" s="154" t="s">
        <v>1417</v>
      </c>
      <c r="AU287" s="154" t="s">
        <v>1412</v>
      </c>
    </row>
    <row r="288" spans="1:47" x14ac:dyDescent="0.45">
      <c r="A288" s="154">
        <v>2513000005</v>
      </c>
      <c r="B288" s="154">
        <v>130</v>
      </c>
      <c r="C288" s="154" t="s">
        <v>1401</v>
      </c>
      <c r="D288" s="154">
        <v>130</v>
      </c>
      <c r="E288" s="154" t="s">
        <v>1402</v>
      </c>
      <c r="F288" s="154" t="s">
        <v>3086</v>
      </c>
      <c r="G288" s="154" t="s">
        <v>3087</v>
      </c>
      <c r="H288" s="154">
        <v>2</v>
      </c>
      <c r="I288" s="154" t="s">
        <v>1094</v>
      </c>
      <c r="J288" s="154" t="s">
        <v>1403</v>
      </c>
      <c r="K288" s="154">
        <v>2025</v>
      </c>
      <c r="L288" s="155">
        <v>2025</v>
      </c>
      <c r="M288" s="156">
        <v>45667</v>
      </c>
      <c r="N288" s="154" t="s">
        <v>36</v>
      </c>
      <c r="O288" s="154" t="s">
        <v>485</v>
      </c>
      <c r="P288" s="154">
        <v>1131</v>
      </c>
      <c r="Q288" s="154" t="s">
        <v>1413</v>
      </c>
      <c r="R288" s="154">
        <v>3</v>
      </c>
      <c r="S288" s="154">
        <v>6</v>
      </c>
      <c r="T288" s="154" t="s">
        <v>1405</v>
      </c>
      <c r="U288" s="154">
        <v>5</v>
      </c>
      <c r="V288" s="155">
        <v>2522047</v>
      </c>
      <c r="W288" s="155">
        <v>0</v>
      </c>
      <c r="X288" s="155" t="s">
        <v>1406</v>
      </c>
      <c r="Y288" s="154"/>
      <c r="Z288" s="154" t="s">
        <v>1424</v>
      </c>
      <c r="AA288" s="156">
        <v>45684</v>
      </c>
      <c r="AB288" s="154">
        <v>25</v>
      </c>
      <c r="AC288" s="154">
        <v>22047</v>
      </c>
      <c r="AD288" s="154">
        <v>130</v>
      </c>
      <c r="AE288" s="154" t="s">
        <v>1401</v>
      </c>
      <c r="AF288" s="154">
        <v>130</v>
      </c>
      <c r="AG288" s="154" t="s">
        <v>1402</v>
      </c>
      <c r="AH288" s="154" t="s">
        <v>36</v>
      </c>
      <c r="AI288" s="154" t="s">
        <v>485</v>
      </c>
      <c r="AJ288" s="154">
        <v>1131</v>
      </c>
      <c r="AK288" s="154" t="s">
        <v>1407</v>
      </c>
      <c r="AL288" s="154">
        <v>28168</v>
      </c>
      <c r="AM288" s="154" t="s">
        <v>1418</v>
      </c>
      <c r="AN288" s="154" t="s">
        <v>1475</v>
      </c>
      <c r="AO288" s="154">
        <v>28</v>
      </c>
      <c r="AP288" s="154" t="s">
        <v>1416</v>
      </c>
      <c r="AQ288" s="154">
        <v>0</v>
      </c>
      <c r="AR288" s="154" t="s">
        <v>1410</v>
      </c>
      <c r="AS288" s="154"/>
      <c r="AT288" s="154" t="s">
        <v>1417</v>
      </c>
      <c r="AU288" s="154" t="s">
        <v>1412</v>
      </c>
    </row>
    <row r="289" spans="1:47" x14ac:dyDescent="0.45">
      <c r="A289" s="154">
        <v>2513000006</v>
      </c>
      <c r="B289" s="154">
        <v>130</v>
      </c>
      <c r="C289" s="154" t="s">
        <v>1401</v>
      </c>
      <c r="D289" s="154">
        <v>130</v>
      </c>
      <c r="E289" s="154" t="s">
        <v>1402</v>
      </c>
      <c r="F289" s="154" t="s">
        <v>3088</v>
      </c>
      <c r="G289" s="154" t="s">
        <v>3089</v>
      </c>
      <c r="H289" s="154">
        <v>1</v>
      </c>
      <c r="I289" s="154" t="s">
        <v>3090</v>
      </c>
      <c r="J289" s="154" t="s">
        <v>1403</v>
      </c>
      <c r="K289" s="154">
        <v>2025</v>
      </c>
      <c r="L289" s="155">
        <v>2025</v>
      </c>
      <c r="M289" s="156">
        <v>45708</v>
      </c>
      <c r="N289" s="154" t="s">
        <v>36</v>
      </c>
      <c r="O289" s="154" t="s">
        <v>472</v>
      </c>
      <c r="P289" s="154">
        <v>1043</v>
      </c>
      <c r="Q289" s="154" t="s">
        <v>1404</v>
      </c>
      <c r="R289" s="154">
        <v>2</v>
      </c>
      <c r="S289" s="154">
        <v>6</v>
      </c>
      <c r="T289" s="154" t="s">
        <v>1405</v>
      </c>
      <c r="U289" s="154">
        <v>5</v>
      </c>
      <c r="V289" s="155">
        <v>0</v>
      </c>
      <c r="W289" s="155">
        <v>0</v>
      </c>
      <c r="X289" s="155" t="s">
        <v>1406</v>
      </c>
      <c r="Y289" s="156">
        <v>45730</v>
      </c>
      <c r="Z289" s="154" t="s">
        <v>1407</v>
      </c>
      <c r="AA289" s="154"/>
      <c r="AB289" s="154">
        <v>0</v>
      </c>
      <c r="AC289" s="154">
        <v>0</v>
      </c>
      <c r="AD289" s="154">
        <v>0</v>
      </c>
      <c r="AE289" s="154" t="s">
        <v>1446</v>
      </c>
      <c r="AF289" s="154"/>
      <c r="AG289" s="154" t="s">
        <v>1446</v>
      </c>
      <c r="AH289" s="154"/>
      <c r="AI289" s="154"/>
      <c r="AJ289" s="154">
        <v>0</v>
      </c>
      <c r="AK289" s="154" t="s">
        <v>1410</v>
      </c>
      <c r="AL289" s="154">
        <v>28075</v>
      </c>
      <c r="AM289" s="154" t="s">
        <v>1421</v>
      </c>
      <c r="AN289" s="154" t="s">
        <v>3091</v>
      </c>
      <c r="AO289" s="154">
        <v>28</v>
      </c>
      <c r="AP289" s="154" t="s">
        <v>1416</v>
      </c>
      <c r="AQ289" s="154">
        <v>0</v>
      </c>
      <c r="AR289" s="154" t="s">
        <v>1410</v>
      </c>
      <c r="AS289" s="154"/>
      <c r="AT289" s="154" t="s">
        <v>1417</v>
      </c>
      <c r="AU289" s="154" t="s">
        <v>1412</v>
      </c>
    </row>
    <row r="290" spans="1:47" x14ac:dyDescent="0.45">
      <c r="A290" s="154">
        <v>2513000007</v>
      </c>
      <c r="B290" s="154">
        <v>130</v>
      </c>
      <c r="C290" s="154" t="s">
        <v>1401</v>
      </c>
      <c r="D290" s="154">
        <v>130</v>
      </c>
      <c r="E290" s="154" t="s">
        <v>1402</v>
      </c>
      <c r="F290" s="154" t="s">
        <v>3092</v>
      </c>
      <c r="G290" s="154" t="s">
        <v>3093</v>
      </c>
      <c r="H290" s="154">
        <v>1</v>
      </c>
      <c r="I290" s="154" t="s">
        <v>3094</v>
      </c>
      <c r="J290" s="154" t="s">
        <v>1403</v>
      </c>
      <c r="K290" s="154">
        <v>0</v>
      </c>
      <c r="L290" s="155">
        <v>2025</v>
      </c>
      <c r="M290" s="156">
        <v>45740</v>
      </c>
      <c r="N290" s="154" t="s">
        <v>36</v>
      </c>
      <c r="O290" s="154" t="s">
        <v>501</v>
      </c>
      <c r="P290" s="154">
        <v>1726</v>
      </c>
      <c r="Q290" s="154" t="s">
        <v>1430</v>
      </c>
      <c r="R290" s="154">
        <v>2</v>
      </c>
      <c r="S290" s="154">
        <v>34</v>
      </c>
      <c r="T290" s="154" t="s">
        <v>1431</v>
      </c>
      <c r="U290" s="154">
        <v>12</v>
      </c>
      <c r="V290" s="155">
        <v>2522055</v>
      </c>
      <c r="W290" s="155">
        <v>0</v>
      </c>
      <c r="X290" s="155" t="s">
        <v>1406</v>
      </c>
      <c r="Y290" s="154"/>
      <c r="Z290" s="154" t="s">
        <v>1407</v>
      </c>
      <c r="AA290" s="156">
        <v>45747</v>
      </c>
      <c r="AB290" s="154">
        <v>25</v>
      </c>
      <c r="AC290" s="154">
        <v>22055</v>
      </c>
      <c r="AD290" s="154">
        <v>130</v>
      </c>
      <c r="AE290" s="154" t="s">
        <v>1401</v>
      </c>
      <c r="AF290" s="154">
        <v>130</v>
      </c>
      <c r="AG290" s="154" t="s">
        <v>1402</v>
      </c>
      <c r="AH290" s="154" t="s">
        <v>36</v>
      </c>
      <c r="AI290" s="154" t="s">
        <v>501</v>
      </c>
      <c r="AJ290" s="154">
        <v>1726</v>
      </c>
      <c r="AK290" s="154" t="s">
        <v>1407</v>
      </c>
      <c r="AL290" s="154">
        <v>28102</v>
      </c>
      <c r="AM290" s="154" t="s">
        <v>1418</v>
      </c>
      <c r="AN290" s="154" t="s">
        <v>3095</v>
      </c>
      <c r="AO290" s="154">
        <v>28</v>
      </c>
      <c r="AP290" s="154" t="s">
        <v>1416</v>
      </c>
      <c r="AQ290" s="154">
        <v>0</v>
      </c>
      <c r="AR290" s="154" t="s">
        <v>1410</v>
      </c>
      <c r="AS290" s="154"/>
      <c r="AT290" s="154" t="s">
        <v>1411</v>
      </c>
      <c r="AU290" s="154" t="s">
        <v>1412</v>
      </c>
    </row>
    <row r="291" spans="1:47" x14ac:dyDescent="0.45">
      <c r="A291" s="154">
        <v>2513000801</v>
      </c>
      <c r="B291" s="154">
        <v>130</v>
      </c>
      <c r="C291" s="154" t="s">
        <v>1401</v>
      </c>
      <c r="D291" s="154">
        <v>130</v>
      </c>
      <c r="E291" s="154" t="s">
        <v>1402</v>
      </c>
      <c r="F291" s="154" t="s">
        <v>3096</v>
      </c>
      <c r="G291" s="154" t="s">
        <v>3097</v>
      </c>
      <c r="H291" s="154">
        <v>2</v>
      </c>
      <c r="I291" s="154" t="s">
        <v>373</v>
      </c>
      <c r="J291" s="154" t="s">
        <v>1403</v>
      </c>
      <c r="K291" s="154">
        <v>0</v>
      </c>
      <c r="L291" s="155">
        <v>2025</v>
      </c>
      <c r="M291" s="156">
        <v>45546</v>
      </c>
      <c r="N291" s="154" t="s">
        <v>36</v>
      </c>
      <c r="O291" s="154" t="s">
        <v>472</v>
      </c>
      <c r="P291" s="154">
        <v>1043</v>
      </c>
      <c r="Q291" s="154" t="s">
        <v>1404</v>
      </c>
      <c r="R291" s="154">
        <v>2</v>
      </c>
      <c r="S291" s="154">
        <v>6</v>
      </c>
      <c r="T291" s="154" t="s">
        <v>1405</v>
      </c>
      <c r="U291" s="154">
        <v>5</v>
      </c>
      <c r="V291" s="155">
        <v>2522052</v>
      </c>
      <c r="W291" s="155">
        <v>0</v>
      </c>
      <c r="X291" s="155" t="s">
        <v>1406</v>
      </c>
      <c r="Y291" s="154"/>
      <c r="Z291" s="154" t="s">
        <v>3067</v>
      </c>
      <c r="AA291" s="156">
        <v>45687</v>
      </c>
      <c r="AB291" s="154">
        <v>25</v>
      </c>
      <c r="AC291" s="154">
        <v>22052</v>
      </c>
      <c r="AD291" s="154">
        <v>130</v>
      </c>
      <c r="AE291" s="154" t="s">
        <v>1401</v>
      </c>
      <c r="AF291" s="154">
        <v>130</v>
      </c>
      <c r="AG291" s="154" t="s">
        <v>1402</v>
      </c>
      <c r="AH291" s="154" t="s">
        <v>36</v>
      </c>
      <c r="AI291" s="154" t="s">
        <v>472</v>
      </c>
      <c r="AJ291" s="154">
        <v>1043</v>
      </c>
      <c r="AK291" s="154" t="s">
        <v>1407</v>
      </c>
      <c r="AL291" s="154">
        <v>99902</v>
      </c>
      <c r="AM291" s="154" t="s">
        <v>1408</v>
      </c>
      <c r="AN291" s="154" t="s">
        <v>3098</v>
      </c>
      <c r="AO291" s="154">
        <v>99</v>
      </c>
      <c r="AP291" s="154" t="s">
        <v>1409</v>
      </c>
      <c r="AQ291" s="154">
        <v>1</v>
      </c>
      <c r="AR291" s="154" t="s">
        <v>1410</v>
      </c>
      <c r="AS291" s="154"/>
      <c r="AT291" s="154" t="s">
        <v>1411</v>
      </c>
      <c r="AU291" s="154" t="s">
        <v>1412</v>
      </c>
    </row>
    <row r="292" spans="1:47" x14ac:dyDescent="0.45">
      <c r="A292" s="154">
        <v>2513000802</v>
      </c>
      <c r="B292" s="154">
        <v>130</v>
      </c>
      <c r="C292" s="154" t="s">
        <v>1401</v>
      </c>
      <c r="D292" s="154">
        <v>130</v>
      </c>
      <c r="E292" s="154" t="s">
        <v>1402</v>
      </c>
      <c r="F292" s="154" t="s">
        <v>3099</v>
      </c>
      <c r="G292" s="154" t="s">
        <v>3100</v>
      </c>
      <c r="H292" s="154">
        <v>1</v>
      </c>
      <c r="I292" s="154" t="s">
        <v>3028</v>
      </c>
      <c r="J292" s="154" t="s">
        <v>1403</v>
      </c>
      <c r="K292" s="154">
        <v>0</v>
      </c>
      <c r="L292" s="155">
        <v>2025</v>
      </c>
      <c r="M292" s="156">
        <v>45546</v>
      </c>
      <c r="N292" s="154" t="s">
        <v>36</v>
      </c>
      <c r="O292" s="154" t="s">
        <v>472</v>
      </c>
      <c r="P292" s="154">
        <v>1043</v>
      </c>
      <c r="Q292" s="154" t="s">
        <v>1404</v>
      </c>
      <c r="R292" s="154">
        <v>2</v>
      </c>
      <c r="S292" s="154">
        <v>6</v>
      </c>
      <c r="T292" s="154" t="s">
        <v>1405</v>
      </c>
      <c r="U292" s="154">
        <v>5</v>
      </c>
      <c r="V292" s="155">
        <v>2522051</v>
      </c>
      <c r="W292" s="155">
        <v>0</v>
      </c>
      <c r="X292" s="155" t="s">
        <v>1406</v>
      </c>
      <c r="Y292" s="154"/>
      <c r="Z292" s="154" t="s">
        <v>3067</v>
      </c>
      <c r="AA292" s="156">
        <v>45687</v>
      </c>
      <c r="AB292" s="154">
        <v>25</v>
      </c>
      <c r="AC292" s="154">
        <v>22051</v>
      </c>
      <c r="AD292" s="154">
        <v>130</v>
      </c>
      <c r="AE292" s="154" t="s">
        <v>1401</v>
      </c>
      <c r="AF292" s="154">
        <v>130</v>
      </c>
      <c r="AG292" s="154" t="s">
        <v>1402</v>
      </c>
      <c r="AH292" s="154" t="s">
        <v>36</v>
      </c>
      <c r="AI292" s="154" t="s">
        <v>472</v>
      </c>
      <c r="AJ292" s="154">
        <v>1043</v>
      </c>
      <c r="AK292" s="154" t="s">
        <v>1407</v>
      </c>
      <c r="AL292" s="154">
        <v>99902</v>
      </c>
      <c r="AM292" s="154" t="s">
        <v>1408</v>
      </c>
      <c r="AN292" s="154" t="s">
        <v>3098</v>
      </c>
      <c r="AO292" s="154">
        <v>99</v>
      </c>
      <c r="AP292" s="154" t="s">
        <v>1409</v>
      </c>
      <c r="AQ292" s="154">
        <v>1</v>
      </c>
      <c r="AR292" s="154" t="s">
        <v>1410</v>
      </c>
      <c r="AS292" s="154"/>
      <c r="AT292" s="154" t="s">
        <v>1411</v>
      </c>
      <c r="AU292" s="154" t="s">
        <v>1412</v>
      </c>
    </row>
    <row r="293" spans="1:47" x14ac:dyDescent="0.45">
      <c r="A293" s="154">
        <v>2513000803</v>
      </c>
      <c r="B293" s="154">
        <v>130</v>
      </c>
      <c r="C293" s="154" t="s">
        <v>1401</v>
      </c>
      <c r="D293" s="154">
        <v>130</v>
      </c>
      <c r="E293" s="154" t="s">
        <v>1402</v>
      </c>
      <c r="F293" s="154" t="s">
        <v>3101</v>
      </c>
      <c r="G293" s="154" t="s">
        <v>3102</v>
      </c>
      <c r="H293" s="154">
        <v>1</v>
      </c>
      <c r="I293" s="154" t="s">
        <v>3103</v>
      </c>
      <c r="J293" s="154" t="s">
        <v>1403</v>
      </c>
      <c r="K293" s="154">
        <v>0</v>
      </c>
      <c r="L293" s="155">
        <v>2025</v>
      </c>
      <c r="M293" s="156">
        <v>45546</v>
      </c>
      <c r="N293" s="154" t="s">
        <v>36</v>
      </c>
      <c r="O293" s="154" t="s">
        <v>472</v>
      </c>
      <c r="P293" s="154">
        <v>1043</v>
      </c>
      <c r="Q293" s="154" t="s">
        <v>1404</v>
      </c>
      <c r="R293" s="154">
        <v>2</v>
      </c>
      <c r="S293" s="154">
        <v>6</v>
      </c>
      <c r="T293" s="154" t="s">
        <v>1405</v>
      </c>
      <c r="U293" s="154">
        <v>5</v>
      </c>
      <c r="V293" s="155">
        <v>2522049</v>
      </c>
      <c r="W293" s="155">
        <v>0</v>
      </c>
      <c r="X293" s="155" t="s">
        <v>1406</v>
      </c>
      <c r="Y293" s="154"/>
      <c r="Z293" s="154" t="s">
        <v>3067</v>
      </c>
      <c r="AA293" s="156">
        <v>45686</v>
      </c>
      <c r="AB293" s="154">
        <v>25</v>
      </c>
      <c r="AC293" s="154">
        <v>22049</v>
      </c>
      <c r="AD293" s="154">
        <v>130</v>
      </c>
      <c r="AE293" s="154" t="s">
        <v>1401</v>
      </c>
      <c r="AF293" s="154">
        <v>130</v>
      </c>
      <c r="AG293" s="154" t="s">
        <v>1402</v>
      </c>
      <c r="AH293" s="154" t="s">
        <v>36</v>
      </c>
      <c r="AI293" s="154" t="s">
        <v>472</v>
      </c>
      <c r="AJ293" s="154">
        <v>1043</v>
      </c>
      <c r="AK293" s="154" t="s">
        <v>1407</v>
      </c>
      <c r="AL293" s="154">
        <v>99902</v>
      </c>
      <c r="AM293" s="154" t="s">
        <v>1408</v>
      </c>
      <c r="AN293" s="154" t="s">
        <v>3098</v>
      </c>
      <c r="AO293" s="154">
        <v>99</v>
      </c>
      <c r="AP293" s="154" t="s">
        <v>1409</v>
      </c>
      <c r="AQ293" s="154">
        <v>1</v>
      </c>
      <c r="AR293" s="154" t="s">
        <v>1410</v>
      </c>
      <c r="AS293" s="154"/>
      <c r="AT293" s="154" t="s">
        <v>1411</v>
      </c>
      <c r="AU293" s="154" t="s">
        <v>1412</v>
      </c>
    </row>
    <row r="294" spans="1:47" x14ac:dyDescent="0.45">
      <c r="A294" s="154">
        <v>2513000804</v>
      </c>
      <c r="B294" s="154">
        <v>130</v>
      </c>
      <c r="C294" s="154" t="s">
        <v>1401</v>
      </c>
      <c r="D294" s="154">
        <v>130</v>
      </c>
      <c r="E294" s="154" t="s">
        <v>1402</v>
      </c>
      <c r="F294" s="154" t="s">
        <v>3104</v>
      </c>
      <c r="G294" s="154" t="s">
        <v>3105</v>
      </c>
      <c r="H294" s="154">
        <v>1</v>
      </c>
      <c r="I294" s="154" t="s">
        <v>3106</v>
      </c>
      <c r="J294" s="154" t="s">
        <v>1403</v>
      </c>
      <c r="K294" s="154">
        <v>0</v>
      </c>
      <c r="L294" s="155">
        <v>2025</v>
      </c>
      <c r="M294" s="156">
        <v>45553</v>
      </c>
      <c r="N294" s="154" t="s">
        <v>36</v>
      </c>
      <c r="O294" s="154" t="s">
        <v>472</v>
      </c>
      <c r="P294" s="154">
        <v>1043</v>
      </c>
      <c r="Q294" s="154" t="s">
        <v>1404</v>
      </c>
      <c r="R294" s="154">
        <v>2</v>
      </c>
      <c r="S294" s="154">
        <v>6</v>
      </c>
      <c r="T294" s="154" t="s">
        <v>1405</v>
      </c>
      <c r="U294" s="154">
        <v>5</v>
      </c>
      <c r="V294" s="155">
        <v>2522045</v>
      </c>
      <c r="W294" s="155">
        <v>0</v>
      </c>
      <c r="X294" s="155" t="s">
        <v>1406</v>
      </c>
      <c r="Y294" s="154"/>
      <c r="Z294" s="154" t="s">
        <v>3067</v>
      </c>
      <c r="AA294" s="156">
        <v>45674</v>
      </c>
      <c r="AB294" s="154">
        <v>25</v>
      </c>
      <c r="AC294" s="154">
        <v>22045</v>
      </c>
      <c r="AD294" s="154">
        <v>130</v>
      </c>
      <c r="AE294" s="154" t="s">
        <v>1401</v>
      </c>
      <c r="AF294" s="154">
        <v>130</v>
      </c>
      <c r="AG294" s="154" t="s">
        <v>1402</v>
      </c>
      <c r="AH294" s="154" t="s">
        <v>36</v>
      </c>
      <c r="AI294" s="154" t="s">
        <v>472</v>
      </c>
      <c r="AJ294" s="154">
        <v>1043</v>
      </c>
      <c r="AK294" s="154" t="s">
        <v>1407</v>
      </c>
      <c r="AL294" s="154">
        <v>99902</v>
      </c>
      <c r="AM294" s="154" t="s">
        <v>1408</v>
      </c>
      <c r="AN294" s="154" t="s">
        <v>3098</v>
      </c>
      <c r="AO294" s="154">
        <v>99</v>
      </c>
      <c r="AP294" s="154" t="s">
        <v>1409</v>
      </c>
      <c r="AQ294" s="154">
        <v>1</v>
      </c>
      <c r="AR294" s="154" t="s">
        <v>1410</v>
      </c>
      <c r="AS294" s="154"/>
      <c r="AT294" s="154" t="s">
        <v>1411</v>
      </c>
      <c r="AU294" s="154" t="s">
        <v>1412</v>
      </c>
    </row>
    <row r="295" spans="1:47" x14ac:dyDescent="0.45">
      <c r="A295" s="154">
        <v>2513000805</v>
      </c>
      <c r="B295" s="154">
        <v>130</v>
      </c>
      <c r="C295" s="154" t="s">
        <v>1401</v>
      </c>
      <c r="D295" s="154">
        <v>130</v>
      </c>
      <c r="E295" s="154" t="s">
        <v>1402</v>
      </c>
      <c r="F295" s="154" t="s">
        <v>3107</v>
      </c>
      <c r="G295" s="154" t="s">
        <v>3108</v>
      </c>
      <c r="H295" s="154">
        <v>1</v>
      </c>
      <c r="I295" s="154" t="s">
        <v>3109</v>
      </c>
      <c r="J295" s="154" t="s">
        <v>1590</v>
      </c>
      <c r="K295" s="154">
        <v>2025</v>
      </c>
      <c r="L295" s="155">
        <v>2025</v>
      </c>
      <c r="M295" s="156">
        <v>45632</v>
      </c>
      <c r="N295" s="154" t="s">
        <v>36</v>
      </c>
      <c r="O295" s="154" t="s">
        <v>472</v>
      </c>
      <c r="P295" s="154">
        <v>1043</v>
      </c>
      <c r="Q295" s="154" t="s">
        <v>1404</v>
      </c>
      <c r="R295" s="154">
        <v>2</v>
      </c>
      <c r="S295" s="154">
        <v>6</v>
      </c>
      <c r="T295" s="154" t="s">
        <v>1405</v>
      </c>
      <c r="U295" s="154">
        <v>5</v>
      </c>
      <c r="V295" s="155">
        <v>2522041</v>
      </c>
      <c r="W295" s="155">
        <v>0</v>
      </c>
      <c r="X295" s="155" t="s">
        <v>1406</v>
      </c>
      <c r="Y295" s="154"/>
      <c r="Z295" s="154" t="s">
        <v>3067</v>
      </c>
      <c r="AA295" s="156">
        <v>45664</v>
      </c>
      <c r="AB295" s="154">
        <v>25</v>
      </c>
      <c r="AC295" s="154">
        <v>22041</v>
      </c>
      <c r="AD295" s="154">
        <v>130</v>
      </c>
      <c r="AE295" s="154" t="s">
        <v>1401</v>
      </c>
      <c r="AF295" s="154">
        <v>130</v>
      </c>
      <c r="AG295" s="154" t="s">
        <v>1402</v>
      </c>
      <c r="AH295" s="154" t="s">
        <v>36</v>
      </c>
      <c r="AI295" s="154" t="s">
        <v>472</v>
      </c>
      <c r="AJ295" s="154">
        <v>1043</v>
      </c>
      <c r="AK295" s="154" t="s">
        <v>1407</v>
      </c>
      <c r="AL295" s="154">
        <v>50776</v>
      </c>
      <c r="AM295" s="154" t="s">
        <v>1408</v>
      </c>
      <c r="AN295" s="154" t="s">
        <v>3110</v>
      </c>
      <c r="AO295" s="154">
        <v>27</v>
      </c>
      <c r="AP295" s="154" t="s">
        <v>1581</v>
      </c>
      <c r="AQ295" s="154">
        <v>1</v>
      </c>
      <c r="AR295" s="154" t="s">
        <v>1410</v>
      </c>
      <c r="AS295" s="154"/>
      <c r="AT295" s="154" t="s">
        <v>1417</v>
      </c>
      <c r="AU295" s="154" t="s">
        <v>1412</v>
      </c>
    </row>
    <row r="296" spans="1:47" x14ac:dyDescent="0.45">
      <c r="A296" s="154">
        <v>2513000806</v>
      </c>
      <c r="B296" s="154">
        <v>130</v>
      </c>
      <c r="C296" s="154" t="s">
        <v>1401</v>
      </c>
      <c r="D296" s="154">
        <v>130</v>
      </c>
      <c r="E296" s="154" t="s">
        <v>1402</v>
      </c>
      <c r="F296" s="154" t="s">
        <v>3111</v>
      </c>
      <c r="G296" s="154" t="s">
        <v>3112</v>
      </c>
      <c r="H296" s="154">
        <v>1</v>
      </c>
      <c r="I296" s="154" t="s">
        <v>3109</v>
      </c>
      <c r="J296" s="154" t="s">
        <v>1590</v>
      </c>
      <c r="K296" s="154">
        <v>2025</v>
      </c>
      <c r="L296" s="155">
        <v>2025</v>
      </c>
      <c r="M296" s="156">
        <v>45632</v>
      </c>
      <c r="N296" s="154" t="s">
        <v>36</v>
      </c>
      <c r="O296" s="154" t="s">
        <v>472</v>
      </c>
      <c r="P296" s="154">
        <v>1043</v>
      </c>
      <c r="Q296" s="154" t="s">
        <v>1404</v>
      </c>
      <c r="R296" s="154">
        <v>2</v>
      </c>
      <c r="S296" s="154">
        <v>6</v>
      </c>
      <c r="T296" s="154" t="s">
        <v>1405</v>
      </c>
      <c r="U296" s="154">
        <v>5</v>
      </c>
      <c r="V296" s="155">
        <v>2522040</v>
      </c>
      <c r="W296" s="155">
        <v>0</v>
      </c>
      <c r="X296" s="155" t="s">
        <v>1406</v>
      </c>
      <c r="Y296" s="154"/>
      <c r="Z296" s="154" t="s">
        <v>3067</v>
      </c>
      <c r="AA296" s="156">
        <v>45664</v>
      </c>
      <c r="AB296" s="154">
        <v>25</v>
      </c>
      <c r="AC296" s="154">
        <v>22040</v>
      </c>
      <c r="AD296" s="154">
        <v>130</v>
      </c>
      <c r="AE296" s="154" t="s">
        <v>1401</v>
      </c>
      <c r="AF296" s="154">
        <v>130</v>
      </c>
      <c r="AG296" s="154" t="s">
        <v>1402</v>
      </c>
      <c r="AH296" s="154" t="s">
        <v>36</v>
      </c>
      <c r="AI296" s="154" t="s">
        <v>472</v>
      </c>
      <c r="AJ296" s="154">
        <v>1043</v>
      </c>
      <c r="AK296" s="154" t="s">
        <v>1407</v>
      </c>
      <c r="AL296" s="154">
        <v>50776</v>
      </c>
      <c r="AM296" s="154" t="s">
        <v>1408</v>
      </c>
      <c r="AN296" s="154" t="s">
        <v>3110</v>
      </c>
      <c r="AO296" s="154">
        <v>27</v>
      </c>
      <c r="AP296" s="154" t="s">
        <v>1581</v>
      </c>
      <c r="AQ296" s="154">
        <v>1</v>
      </c>
      <c r="AR296" s="154" t="s">
        <v>1410</v>
      </c>
      <c r="AS296" s="154"/>
      <c r="AT296" s="154" t="s">
        <v>1417</v>
      </c>
      <c r="AU296" s="154" t="s">
        <v>1412</v>
      </c>
    </row>
    <row r="297" spans="1:47" x14ac:dyDescent="0.45">
      <c r="A297" s="154">
        <v>2513050001</v>
      </c>
      <c r="B297" s="154">
        <v>130</v>
      </c>
      <c r="C297" s="154" t="s">
        <v>1401</v>
      </c>
      <c r="D297" s="154">
        <v>130</v>
      </c>
      <c r="E297" s="154" t="s">
        <v>1402</v>
      </c>
      <c r="F297" s="154" t="s">
        <v>2135</v>
      </c>
      <c r="G297" s="154" t="s">
        <v>2136</v>
      </c>
      <c r="H297" s="154">
        <v>1</v>
      </c>
      <c r="I297" s="154" t="s">
        <v>1059</v>
      </c>
      <c r="J297" s="154" t="s">
        <v>1403</v>
      </c>
      <c r="K297" s="154">
        <v>2025</v>
      </c>
      <c r="L297" s="155">
        <v>2025</v>
      </c>
      <c r="M297" s="156">
        <v>45537</v>
      </c>
      <c r="N297" s="154" t="s">
        <v>36</v>
      </c>
      <c r="O297" s="154" t="s">
        <v>485</v>
      </c>
      <c r="P297" s="154">
        <v>1131</v>
      </c>
      <c r="Q297" s="154" t="s">
        <v>1413</v>
      </c>
      <c r="R297" s="154">
        <v>3</v>
      </c>
      <c r="S297" s="154">
        <v>6</v>
      </c>
      <c r="T297" s="154" t="s">
        <v>1405</v>
      </c>
      <c r="U297" s="154">
        <v>5</v>
      </c>
      <c r="V297" s="155">
        <v>2522036</v>
      </c>
      <c r="W297" s="155">
        <v>0</v>
      </c>
      <c r="X297" s="155" t="s">
        <v>1406</v>
      </c>
      <c r="Y297" s="154"/>
      <c r="Z297" s="154" t="s">
        <v>32</v>
      </c>
      <c r="AA297" s="156">
        <v>45623</v>
      </c>
      <c r="AB297" s="154">
        <v>25</v>
      </c>
      <c r="AC297" s="154">
        <v>22036</v>
      </c>
      <c r="AD297" s="154">
        <v>130</v>
      </c>
      <c r="AE297" s="154" t="s">
        <v>1401</v>
      </c>
      <c r="AF297" s="154">
        <v>130</v>
      </c>
      <c r="AG297" s="154" t="s">
        <v>1402</v>
      </c>
      <c r="AH297" s="154" t="s">
        <v>36</v>
      </c>
      <c r="AI297" s="154" t="s">
        <v>485</v>
      </c>
      <c r="AJ297" s="154">
        <v>1131</v>
      </c>
      <c r="AK297" s="154" t="s">
        <v>1407</v>
      </c>
      <c r="AL297" s="154">
        <v>28092</v>
      </c>
      <c r="AM297" s="154" t="s">
        <v>1421</v>
      </c>
      <c r="AN297" s="154" t="s">
        <v>2824</v>
      </c>
      <c r="AO297" s="154">
        <v>28</v>
      </c>
      <c r="AP297" s="154" t="s">
        <v>1416</v>
      </c>
      <c r="AQ297" s="154">
        <v>0</v>
      </c>
      <c r="AR297" s="154" t="s">
        <v>1410</v>
      </c>
      <c r="AS297" s="154"/>
      <c r="AT297" s="154" t="s">
        <v>1417</v>
      </c>
      <c r="AU297" s="154" t="s">
        <v>1412</v>
      </c>
    </row>
    <row r="298" spans="1:47" x14ac:dyDescent="0.45">
      <c r="A298" s="154">
        <v>2513050002</v>
      </c>
      <c r="B298" s="154">
        <v>130</v>
      </c>
      <c r="C298" s="154" t="s">
        <v>1401</v>
      </c>
      <c r="D298" s="154">
        <v>130</v>
      </c>
      <c r="E298" s="154" t="s">
        <v>1402</v>
      </c>
      <c r="F298" s="154" t="s">
        <v>2137</v>
      </c>
      <c r="G298" s="154" t="s">
        <v>2138</v>
      </c>
      <c r="H298" s="154">
        <v>1</v>
      </c>
      <c r="I298" s="154" t="s">
        <v>711</v>
      </c>
      <c r="J298" s="154" t="s">
        <v>1403</v>
      </c>
      <c r="K298" s="154">
        <v>2025</v>
      </c>
      <c r="L298" s="155">
        <v>2025</v>
      </c>
      <c r="M298" s="156">
        <v>45537</v>
      </c>
      <c r="N298" s="154" t="s">
        <v>36</v>
      </c>
      <c r="O298" s="154" t="s">
        <v>485</v>
      </c>
      <c r="P298" s="154">
        <v>1131</v>
      </c>
      <c r="Q298" s="154" t="s">
        <v>1413</v>
      </c>
      <c r="R298" s="154">
        <v>3</v>
      </c>
      <c r="S298" s="154">
        <v>6</v>
      </c>
      <c r="T298" s="154" t="s">
        <v>1405</v>
      </c>
      <c r="U298" s="154">
        <v>5</v>
      </c>
      <c r="V298" s="155">
        <v>2522024</v>
      </c>
      <c r="W298" s="155">
        <v>0</v>
      </c>
      <c r="X298" s="155" t="s">
        <v>1406</v>
      </c>
      <c r="Y298" s="154"/>
      <c r="Z298" s="154" t="s">
        <v>32</v>
      </c>
      <c r="AA298" s="156">
        <v>45581</v>
      </c>
      <c r="AB298" s="154">
        <v>25</v>
      </c>
      <c r="AC298" s="154">
        <v>22024</v>
      </c>
      <c r="AD298" s="154">
        <v>130</v>
      </c>
      <c r="AE298" s="154" t="s">
        <v>1401</v>
      </c>
      <c r="AF298" s="154">
        <v>130</v>
      </c>
      <c r="AG298" s="154" t="s">
        <v>1402</v>
      </c>
      <c r="AH298" s="154" t="s">
        <v>36</v>
      </c>
      <c r="AI298" s="154" t="s">
        <v>485</v>
      </c>
      <c r="AJ298" s="154">
        <v>1131</v>
      </c>
      <c r="AK298" s="154" t="s">
        <v>1407</v>
      </c>
      <c r="AL298" s="154">
        <v>28255</v>
      </c>
      <c r="AM298" s="154" t="s">
        <v>1421</v>
      </c>
      <c r="AN298" s="154" t="s">
        <v>2825</v>
      </c>
      <c r="AO298" s="154">
        <v>28</v>
      </c>
      <c r="AP298" s="154" t="s">
        <v>1416</v>
      </c>
      <c r="AQ298" s="154">
        <v>0</v>
      </c>
      <c r="AR298" s="154" t="s">
        <v>1410</v>
      </c>
      <c r="AS298" s="154"/>
      <c r="AT298" s="154" t="s">
        <v>1417</v>
      </c>
      <c r="AU298" s="154" t="s">
        <v>1412</v>
      </c>
    </row>
    <row r="299" spans="1:47" x14ac:dyDescent="0.45">
      <c r="A299" s="154">
        <v>2513050003</v>
      </c>
      <c r="B299" s="154">
        <v>130</v>
      </c>
      <c r="C299" s="154" t="s">
        <v>1401</v>
      </c>
      <c r="D299" s="154">
        <v>130</v>
      </c>
      <c r="E299" s="154" t="s">
        <v>1402</v>
      </c>
      <c r="F299" s="154" t="s">
        <v>2139</v>
      </c>
      <c r="G299" s="154" t="s">
        <v>2140</v>
      </c>
      <c r="H299" s="154">
        <v>2</v>
      </c>
      <c r="I299" s="154" t="s">
        <v>1094</v>
      </c>
      <c r="J299" s="154" t="s">
        <v>1403</v>
      </c>
      <c r="K299" s="154">
        <v>2025</v>
      </c>
      <c r="L299" s="155">
        <v>2025</v>
      </c>
      <c r="M299" s="156">
        <v>45537</v>
      </c>
      <c r="N299" s="154" t="s">
        <v>36</v>
      </c>
      <c r="O299" s="154" t="s">
        <v>472</v>
      </c>
      <c r="P299" s="154">
        <v>1043</v>
      </c>
      <c r="Q299" s="154" t="s">
        <v>1404</v>
      </c>
      <c r="R299" s="154">
        <v>2</v>
      </c>
      <c r="S299" s="154">
        <v>6</v>
      </c>
      <c r="T299" s="154" t="s">
        <v>1405</v>
      </c>
      <c r="U299" s="154">
        <v>5</v>
      </c>
      <c r="V299" s="155">
        <v>2522020</v>
      </c>
      <c r="W299" s="155">
        <v>0</v>
      </c>
      <c r="X299" s="155" t="s">
        <v>1406</v>
      </c>
      <c r="Y299" s="154"/>
      <c r="Z299" s="154" t="s">
        <v>32</v>
      </c>
      <c r="AA299" s="156">
        <v>45580</v>
      </c>
      <c r="AB299" s="154">
        <v>25</v>
      </c>
      <c r="AC299" s="154">
        <v>22020</v>
      </c>
      <c r="AD299" s="154">
        <v>130</v>
      </c>
      <c r="AE299" s="154" t="s">
        <v>1401</v>
      </c>
      <c r="AF299" s="154">
        <v>130</v>
      </c>
      <c r="AG299" s="154" t="s">
        <v>1402</v>
      </c>
      <c r="AH299" s="154" t="s">
        <v>36</v>
      </c>
      <c r="AI299" s="154" t="s">
        <v>472</v>
      </c>
      <c r="AJ299" s="154">
        <v>1043</v>
      </c>
      <c r="AK299" s="154" t="s">
        <v>1407</v>
      </c>
      <c r="AL299" s="154">
        <v>28098</v>
      </c>
      <c r="AM299" s="154" t="s">
        <v>1418</v>
      </c>
      <c r="AN299" s="154" t="s">
        <v>1448</v>
      </c>
      <c r="AO299" s="154">
        <v>28</v>
      </c>
      <c r="AP299" s="154" t="s">
        <v>1416</v>
      </c>
      <c r="AQ299" s="154">
        <v>0</v>
      </c>
      <c r="AR299" s="154" t="s">
        <v>1410</v>
      </c>
      <c r="AS299" s="154"/>
      <c r="AT299" s="154" t="s">
        <v>1417</v>
      </c>
      <c r="AU299" s="154" t="s">
        <v>1412</v>
      </c>
    </row>
    <row r="300" spans="1:47" x14ac:dyDescent="0.45">
      <c r="A300" s="154">
        <v>2513050004</v>
      </c>
      <c r="B300" s="154">
        <v>130</v>
      </c>
      <c r="C300" s="154" t="s">
        <v>1401</v>
      </c>
      <c r="D300" s="154">
        <v>130</v>
      </c>
      <c r="E300" s="154" t="s">
        <v>1402</v>
      </c>
      <c r="F300" s="154" t="s">
        <v>2141</v>
      </c>
      <c r="G300" s="154" t="s">
        <v>2142</v>
      </c>
      <c r="H300" s="154">
        <v>2</v>
      </c>
      <c r="I300" s="154" t="s">
        <v>2143</v>
      </c>
      <c r="J300" s="154" t="s">
        <v>1403</v>
      </c>
      <c r="K300" s="154">
        <v>2025</v>
      </c>
      <c r="L300" s="155">
        <v>2025</v>
      </c>
      <c r="M300" s="156">
        <v>45537</v>
      </c>
      <c r="N300" s="154" t="s">
        <v>36</v>
      </c>
      <c r="O300" s="154" t="s">
        <v>472</v>
      </c>
      <c r="P300" s="154">
        <v>1043</v>
      </c>
      <c r="Q300" s="154" t="s">
        <v>1404</v>
      </c>
      <c r="R300" s="154">
        <v>2</v>
      </c>
      <c r="S300" s="154">
        <v>6</v>
      </c>
      <c r="T300" s="154" t="s">
        <v>1405</v>
      </c>
      <c r="U300" s="154">
        <v>5</v>
      </c>
      <c r="V300" s="155">
        <v>2522009</v>
      </c>
      <c r="W300" s="155">
        <v>0</v>
      </c>
      <c r="X300" s="155" t="s">
        <v>1406</v>
      </c>
      <c r="Y300" s="154"/>
      <c r="Z300" s="154" t="s">
        <v>32</v>
      </c>
      <c r="AA300" s="156">
        <v>45574</v>
      </c>
      <c r="AB300" s="154">
        <v>25</v>
      </c>
      <c r="AC300" s="154">
        <v>22009</v>
      </c>
      <c r="AD300" s="154">
        <v>130</v>
      </c>
      <c r="AE300" s="154" t="s">
        <v>1401</v>
      </c>
      <c r="AF300" s="154">
        <v>130</v>
      </c>
      <c r="AG300" s="154" t="s">
        <v>1402</v>
      </c>
      <c r="AH300" s="154" t="s">
        <v>36</v>
      </c>
      <c r="AI300" s="154" t="s">
        <v>472</v>
      </c>
      <c r="AJ300" s="154">
        <v>1043</v>
      </c>
      <c r="AK300" s="154" t="s">
        <v>1407</v>
      </c>
      <c r="AL300" s="154">
        <v>28107</v>
      </c>
      <c r="AM300" s="154" t="s">
        <v>1418</v>
      </c>
      <c r="AN300" s="154" t="s">
        <v>1484</v>
      </c>
      <c r="AO300" s="154">
        <v>28</v>
      </c>
      <c r="AP300" s="154" t="s">
        <v>1416</v>
      </c>
      <c r="AQ300" s="154">
        <v>0</v>
      </c>
      <c r="AR300" s="154" t="s">
        <v>1410</v>
      </c>
      <c r="AS300" s="154"/>
      <c r="AT300" s="154" t="s">
        <v>1417</v>
      </c>
      <c r="AU300" s="154" t="s">
        <v>1412</v>
      </c>
    </row>
    <row r="301" spans="1:47" x14ac:dyDescent="0.45">
      <c r="A301" s="154">
        <v>2513050005</v>
      </c>
      <c r="B301" s="154">
        <v>130</v>
      </c>
      <c r="C301" s="154" t="s">
        <v>1401</v>
      </c>
      <c r="D301" s="154">
        <v>130</v>
      </c>
      <c r="E301" s="154" t="s">
        <v>1402</v>
      </c>
      <c r="F301" s="154" t="s">
        <v>2144</v>
      </c>
      <c r="G301" s="154" t="s">
        <v>2145</v>
      </c>
      <c r="H301" s="154">
        <v>1</v>
      </c>
      <c r="I301" s="154" t="s">
        <v>878</v>
      </c>
      <c r="J301" s="154" t="s">
        <v>1403</v>
      </c>
      <c r="K301" s="154">
        <v>2025</v>
      </c>
      <c r="L301" s="155">
        <v>2025</v>
      </c>
      <c r="M301" s="156">
        <v>45553</v>
      </c>
      <c r="N301" s="154" t="s">
        <v>36</v>
      </c>
      <c r="O301" s="154" t="s">
        <v>472</v>
      </c>
      <c r="P301" s="154">
        <v>1043</v>
      </c>
      <c r="Q301" s="154" t="s">
        <v>1404</v>
      </c>
      <c r="R301" s="154">
        <v>2</v>
      </c>
      <c r="S301" s="154">
        <v>6</v>
      </c>
      <c r="T301" s="154" t="s">
        <v>1405</v>
      </c>
      <c r="U301" s="154">
        <v>5</v>
      </c>
      <c r="V301" s="155">
        <v>2522048</v>
      </c>
      <c r="W301" s="155">
        <v>0</v>
      </c>
      <c r="X301" s="155" t="s">
        <v>1406</v>
      </c>
      <c r="Y301" s="154"/>
      <c r="Z301" s="154" t="s">
        <v>32</v>
      </c>
      <c r="AA301" s="156">
        <v>45685</v>
      </c>
      <c r="AB301" s="154">
        <v>25</v>
      </c>
      <c r="AC301" s="154">
        <v>22048</v>
      </c>
      <c r="AD301" s="154">
        <v>130</v>
      </c>
      <c r="AE301" s="154" t="s">
        <v>1401</v>
      </c>
      <c r="AF301" s="154">
        <v>130</v>
      </c>
      <c r="AG301" s="154" t="s">
        <v>1402</v>
      </c>
      <c r="AH301" s="154" t="s">
        <v>36</v>
      </c>
      <c r="AI301" s="154" t="s">
        <v>472</v>
      </c>
      <c r="AJ301" s="154">
        <v>1043</v>
      </c>
      <c r="AK301" s="154" t="s">
        <v>1407</v>
      </c>
      <c r="AL301" s="154">
        <v>28092</v>
      </c>
      <c r="AM301" s="154" t="s">
        <v>1421</v>
      </c>
      <c r="AN301" s="154" t="s">
        <v>2824</v>
      </c>
      <c r="AO301" s="154">
        <v>28</v>
      </c>
      <c r="AP301" s="154" t="s">
        <v>1416</v>
      </c>
      <c r="AQ301" s="154">
        <v>0</v>
      </c>
      <c r="AR301" s="154" t="s">
        <v>1410</v>
      </c>
      <c r="AS301" s="154"/>
      <c r="AT301" s="154" t="s">
        <v>1417</v>
      </c>
      <c r="AU301" s="154" t="s">
        <v>1412</v>
      </c>
    </row>
    <row r="302" spans="1:47" x14ac:dyDescent="0.45">
      <c r="A302" s="154">
        <v>2513050006</v>
      </c>
      <c r="B302" s="154">
        <v>130</v>
      </c>
      <c r="C302" s="154" t="s">
        <v>1401</v>
      </c>
      <c r="D302" s="154">
        <v>130</v>
      </c>
      <c r="E302" s="154" t="s">
        <v>1402</v>
      </c>
      <c r="F302" s="154" t="s">
        <v>2146</v>
      </c>
      <c r="G302" s="154" t="s">
        <v>2147</v>
      </c>
      <c r="H302" s="154">
        <v>1</v>
      </c>
      <c r="I302" s="154" t="s">
        <v>2148</v>
      </c>
      <c r="J302" s="154" t="s">
        <v>1403</v>
      </c>
      <c r="K302" s="154">
        <v>2025</v>
      </c>
      <c r="L302" s="155">
        <v>2025</v>
      </c>
      <c r="M302" s="156">
        <v>45546</v>
      </c>
      <c r="N302" s="154" t="s">
        <v>36</v>
      </c>
      <c r="O302" s="154" t="s">
        <v>472</v>
      </c>
      <c r="P302" s="154">
        <v>1043</v>
      </c>
      <c r="Q302" s="154" t="s">
        <v>1404</v>
      </c>
      <c r="R302" s="154">
        <v>2</v>
      </c>
      <c r="S302" s="154">
        <v>6</v>
      </c>
      <c r="T302" s="154" t="s">
        <v>1405</v>
      </c>
      <c r="U302" s="154">
        <v>5</v>
      </c>
      <c r="V302" s="155">
        <v>2522037</v>
      </c>
      <c r="W302" s="155">
        <v>0</v>
      </c>
      <c r="X302" s="155" t="s">
        <v>1406</v>
      </c>
      <c r="Y302" s="154"/>
      <c r="Z302" s="154" t="s">
        <v>32</v>
      </c>
      <c r="AA302" s="156">
        <v>45635</v>
      </c>
      <c r="AB302" s="154">
        <v>25</v>
      </c>
      <c r="AC302" s="154">
        <v>22037</v>
      </c>
      <c r="AD302" s="154">
        <v>130</v>
      </c>
      <c r="AE302" s="154" t="s">
        <v>1401</v>
      </c>
      <c r="AF302" s="154">
        <v>130</v>
      </c>
      <c r="AG302" s="154" t="s">
        <v>1402</v>
      </c>
      <c r="AH302" s="154" t="s">
        <v>36</v>
      </c>
      <c r="AI302" s="154" t="s">
        <v>472</v>
      </c>
      <c r="AJ302" s="154">
        <v>1043</v>
      </c>
      <c r="AK302" s="154" t="s">
        <v>1407</v>
      </c>
      <c r="AL302" s="154">
        <v>28247</v>
      </c>
      <c r="AM302" s="154" t="s">
        <v>1418</v>
      </c>
      <c r="AN302" s="154" t="s">
        <v>1419</v>
      </c>
      <c r="AO302" s="154">
        <v>28</v>
      </c>
      <c r="AP302" s="154" t="s">
        <v>1416</v>
      </c>
      <c r="AQ302" s="154">
        <v>0</v>
      </c>
      <c r="AR302" s="154" t="s">
        <v>1410</v>
      </c>
      <c r="AS302" s="154"/>
      <c r="AT302" s="154" t="s">
        <v>1417</v>
      </c>
      <c r="AU302" s="154" t="s">
        <v>1412</v>
      </c>
    </row>
    <row r="303" spans="1:47" x14ac:dyDescent="0.45">
      <c r="A303" s="154">
        <v>2513050007</v>
      </c>
      <c r="B303" s="154">
        <v>130</v>
      </c>
      <c r="C303" s="154" t="s">
        <v>1401</v>
      </c>
      <c r="D303" s="154">
        <v>130</v>
      </c>
      <c r="E303" s="154" t="s">
        <v>1402</v>
      </c>
      <c r="F303" s="154" t="s">
        <v>2149</v>
      </c>
      <c r="G303" s="154" t="s">
        <v>2150</v>
      </c>
      <c r="H303" s="154">
        <v>1</v>
      </c>
      <c r="I303" s="154" t="s">
        <v>972</v>
      </c>
      <c r="J303" s="154" t="s">
        <v>1403</v>
      </c>
      <c r="K303" s="154">
        <v>2025</v>
      </c>
      <c r="L303" s="155">
        <v>2025</v>
      </c>
      <c r="M303" s="156">
        <v>45537</v>
      </c>
      <c r="N303" s="154" t="s">
        <v>36</v>
      </c>
      <c r="O303" s="154" t="s">
        <v>501</v>
      </c>
      <c r="P303" s="154">
        <v>1726</v>
      </c>
      <c r="Q303" s="154" t="s">
        <v>1430</v>
      </c>
      <c r="R303" s="154">
        <v>2</v>
      </c>
      <c r="S303" s="154">
        <v>34</v>
      </c>
      <c r="T303" s="154" t="s">
        <v>1431</v>
      </c>
      <c r="U303" s="154">
        <v>12</v>
      </c>
      <c r="V303" s="155">
        <v>2522039</v>
      </c>
      <c r="W303" s="155">
        <v>0</v>
      </c>
      <c r="X303" s="155" t="s">
        <v>1406</v>
      </c>
      <c r="Y303" s="154"/>
      <c r="Z303" s="154" t="s">
        <v>32</v>
      </c>
      <c r="AA303" s="156">
        <v>45638</v>
      </c>
      <c r="AB303" s="154">
        <v>25</v>
      </c>
      <c r="AC303" s="154">
        <v>22039</v>
      </c>
      <c r="AD303" s="154">
        <v>130</v>
      </c>
      <c r="AE303" s="154" t="s">
        <v>1401</v>
      </c>
      <c r="AF303" s="154">
        <v>130</v>
      </c>
      <c r="AG303" s="154" t="s">
        <v>1402</v>
      </c>
      <c r="AH303" s="154" t="s">
        <v>36</v>
      </c>
      <c r="AI303" s="154" t="s">
        <v>501</v>
      </c>
      <c r="AJ303" s="154">
        <v>1726</v>
      </c>
      <c r="AK303" s="154" t="s">
        <v>1407</v>
      </c>
      <c r="AL303" s="154">
        <v>28247</v>
      </c>
      <c r="AM303" s="154" t="s">
        <v>1418</v>
      </c>
      <c r="AN303" s="154" t="s">
        <v>1419</v>
      </c>
      <c r="AO303" s="154">
        <v>28</v>
      </c>
      <c r="AP303" s="154" t="s">
        <v>1416</v>
      </c>
      <c r="AQ303" s="154">
        <v>0</v>
      </c>
      <c r="AR303" s="154" t="s">
        <v>1410</v>
      </c>
      <c r="AS303" s="154"/>
      <c r="AT303" s="154" t="s">
        <v>1417</v>
      </c>
      <c r="AU303" s="154" t="s">
        <v>1412</v>
      </c>
    </row>
    <row r="304" spans="1:47" x14ac:dyDescent="0.45">
      <c r="A304" s="154">
        <v>2513050008</v>
      </c>
      <c r="B304" s="154">
        <v>130</v>
      </c>
      <c r="C304" s="154" t="s">
        <v>1401</v>
      </c>
      <c r="D304" s="154">
        <v>130</v>
      </c>
      <c r="E304" s="154" t="s">
        <v>1402</v>
      </c>
      <c r="F304" s="154" t="s">
        <v>2151</v>
      </c>
      <c r="G304" s="154" t="s">
        <v>2152</v>
      </c>
      <c r="H304" s="154">
        <v>2</v>
      </c>
      <c r="I304" s="154" t="s">
        <v>2153</v>
      </c>
      <c r="J304" s="154" t="s">
        <v>1403</v>
      </c>
      <c r="K304" s="154">
        <v>2025</v>
      </c>
      <c r="L304" s="155">
        <v>2025</v>
      </c>
      <c r="M304" s="156">
        <v>45538</v>
      </c>
      <c r="N304" s="154" t="s">
        <v>36</v>
      </c>
      <c r="O304" s="154" t="s">
        <v>501</v>
      </c>
      <c r="P304" s="154">
        <v>1726</v>
      </c>
      <c r="Q304" s="154" t="s">
        <v>1430</v>
      </c>
      <c r="R304" s="154">
        <v>2</v>
      </c>
      <c r="S304" s="154">
        <v>34</v>
      </c>
      <c r="T304" s="154" t="s">
        <v>1431</v>
      </c>
      <c r="U304" s="154">
        <v>12</v>
      </c>
      <c r="V304" s="155">
        <v>2522053</v>
      </c>
      <c r="W304" s="155">
        <v>0</v>
      </c>
      <c r="X304" s="155" t="s">
        <v>1406</v>
      </c>
      <c r="Y304" s="154"/>
      <c r="Z304" s="154" t="s">
        <v>32</v>
      </c>
      <c r="AA304" s="156">
        <v>45715</v>
      </c>
      <c r="AB304" s="154">
        <v>25</v>
      </c>
      <c r="AC304" s="154">
        <v>22053</v>
      </c>
      <c r="AD304" s="154">
        <v>130</v>
      </c>
      <c r="AE304" s="154" t="s">
        <v>1401</v>
      </c>
      <c r="AF304" s="154">
        <v>130</v>
      </c>
      <c r="AG304" s="154" t="s">
        <v>1402</v>
      </c>
      <c r="AH304" s="154" t="s">
        <v>36</v>
      </c>
      <c r="AI304" s="154" t="s">
        <v>501</v>
      </c>
      <c r="AJ304" s="154">
        <v>1726</v>
      </c>
      <c r="AK304" s="154" t="s">
        <v>1407</v>
      </c>
      <c r="AL304" s="154">
        <v>28092</v>
      </c>
      <c r="AM304" s="154" t="s">
        <v>1421</v>
      </c>
      <c r="AN304" s="154" t="s">
        <v>2824</v>
      </c>
      <c r="AO304" s="154">
        <v>28</v>
      </c>
      <c r="AP304" s="154" t="s">
        <v>1416</v>
      </c>
      <c r="AQ304" s="154">
        <v>0</v>
      </c>
      <c r="AR304" s="154" t="s">
        <v>1410</v>
      </c>
      <c r="AS304" s="154"/>
      <c r="AT304" s="154" t="s">
        <v>1417</v>
      </c>
      <c r="AU304" s="154" t="s">
        <v>1412</v>
      </c>
    </row>
    <row r="305" spans="1:47" x14ac:dyDescent="0.45">
      <c r="A305" s="154">
        <v>2513050009</v>
      </c>
      <c r="B305" s="154">
        <v>130</v>
      </c>
      <c r="C305" s="154" t="s">
        <v>1401</v>
      </c>
      <c r="D305" s="154">
        <v>130</v>
      </c>
      <c r="E305" s="154" t="s">
        <v>1402</v>
      </c>
      <c r="F305" s="154" t="s">
        <v>2154</v>
      </c>
      <c r="G305" s="154" t="s">
        <v>2155</v>
      </c>
      <c r="H305" s="154">
        <v>2</v>
      </c>
      <c r="I305" s="154" t="s">
        <v>2156</v>
      </c>
      <c r="J305" s="154" t="s">
        <v>1403</v>
      </c>
      <c r="K305" s="154">
        <v>2025</v>
      </c>
      <c r="L305" s="155">
        <v>2025</v>
      </c>
      <c r="M305" s="156">
        <v>45554</v>
      </c>
      <c r="N305" s="154" t="s">
        <v>36</v>
      </c>
      <c r="O305" s="154" t="s">
        <v>472</v>
      </c>
      <c r="P305" s="154">
        <v>1043</v>
      </c>
      <c r="Q305" s="154" t="s">
        <v>1404</v>
      </c>
      <c r="R305" s="154">
        <v>2</v>
      </c>
      <c r="S305" s="154">
        <v>6</v>
      </c>
      <c r="T305" s="154" t="s">
        <v>1405</v>
      </c>
      <c r="U305" s="154">
        <v>5</v>
      </c>
      <c r="V305" s="155">
        <v>2522019</v>
      </c>
      <c r="W305" s="155">
        <v>0</v>
      </c>
      <c r="X305" s="155" t="s">
        <v>1406</v>
      </c>
      <c r="Y305" s="154"/>
      <c r="Z305" s="154" t="s">
        <v>32</v>
      </c>
      <c r="AA305" s="156">
        <v>45580</v>
      </c>
      <c r="AB305" s="154">
        <v>25</v>
      </c>
      <c r="AC305" s="154">
        <v>22019</v>
      </c>
      <c r="AD305" s="154">
        <v>130</v>
      </c>
      <c r="AE305" s="154" t="s">
        <v>1401</v>
      </c>
      <c r="AF305" s="154">
        <v>130</v>
      </c>
      <c r="AG305" s="154" t="s">
        <v>1402</v>
      </c>
      <c r="AH305" s="154" t="s">
        <v>36</v>
      </c>
      <c r="AI305" s="154" t="s">
        <v>472</v>
      </c>
      <c r="AJ305" s="154">
        <v>1043</v>
      </c>
      <c r="AK305" s="154" t="s">
        <v>1407</v>
      </c>
      <c r="AL305" s="154">
        <v>28139</v>
      </c>
      <c r="AM305" s="154" t="s">
        <v>1418</v>
      </c>
      <c r="AN305" s="154" t="s">
        <v>1478</v>
      </c>
      <c r="AO305" s="154">
        <v>28</v>
      </c>
      <c r="AP305" s="154" t="s">
        <v>1416</v>
      </c>
      <c r="AQ305" s="154">
        <v>0</v>
      </c>
      <c r="AR305" s="154" t="s">
        <v>1410</v>
      </c>
      <c r="AS305" s="154"/>
      <c r="AT305" s="154" t="s">
        <v>1417</v>
      </c>
      <c r="AU305" s="154" t="s">
        <v>1412</v>
      </c>
    </row>
    <row r="306" spans="1:47" x14ac:dyDescent="0.45">
      <c r="A306" s="154">
        <v>2513050010</v>
      </c>
      <c r="B306" s="154">
        <v>130</v>
      </c>
      <c r="C306" s="154" t="s">
        <v>1401</v>
      </c>
      <c r="D306" s="154">
        <v>130</v>
      </c>
      <c r="E306" s="154" t="s">
        <v>1402</v>
      </c>
      <c r="F306" s="154" t="s">
        <v>2157</v>
      </c>
      <c r="G306" s="154" t="s">
        <v>2158</v>
      </c>
      <c r="H306" s="154">
        <v>1</v>
      </c>
      <c r="I306" s="154" t="s">
        <v>510</v>
      </c>
      <c r="J306" s="154" t="s">
        <v>1403</v>
      </c>
      <c r="K306" s="154">
        <v>2025</v>
      </c>
      <c r="L306" s="155">
        <v>2025</v>
      </c>
      <c r="M306" s="156">
        <v>45586</v>
      </c>
      <c r="N306" s="154" t="s">
        <v>36</v>
      </c>
      <c r="O306" s="154" t="s">
        <v>501</v>
      </c>
      <c r="P306" s="154">
        <v>1726</v>
      </c>
      <c r="Q306" s="154" t="s">
        <v>1430</v>
      </c>
      <c r="R306" s="154">
        <v>2</v>
      </c>
      <c r="S306" s="154">
        <v>34</v>
      </c>
      <c r="T306" s="154" t="s">
        <v>1431</v>
      </c>
      <c r="U306" s="154">
        <v>12</v>
      </c>
      <c r="V306" s="155">
        <v>2522033</v>
      </c>
      <c r="W306" s="155">
        <v>0</v>
      </c>
      <c r="X306" s="155" t="s">
        <v>1406</v>
      </c>
      <c r="Y306" s="154"/>
      <c r="Z306" s="154" t="s">
        <v>32</v>
      </c>
      <c r="AA306" s="156">
        <v>45602</v>
      </c>
      <c r="AB306" s="154">
        <v>25</v>
      </c>
      <c r="AC306" s="154">
        <v>22033</v>
      </c>
      <c r="AD306" s="154">
        <v>130</v>
      </c>
      <c r="AE306" s="154" t="s">
        <v>1401</v>
      </c>
      <c r="AF306" s="154">
        <v>130</v>
      </c>
      <c r="AG306" s="154" t="s">
        <v>1402</v>
      </c>
      <c r="AH306" s="154" t="s">
        <v>36</v>
      </c>
      <c r="AI306" s="154" t="s">
        <v>501</v>
      </c>
      <c r="AJ306" s="154">
        <v>1726</v>
      </c>
      <c r="AK306" s="154" t="s">
        <v>1407</v>
      </c>
      <c r="AL306" s="154">
        <v>28247</v>
      </c>
      <c r="AM306" s="154" t="s">
        <v>1418</v>
      </c>
      <c r="AN306" s="154" t="s">
        <v>1419</v>
      </c>
      <c r="AO306" s="154">
        <v>28</v>
      </c>
      <c r="AP306" s="154" t="s">
        <v>1416</v>
      </c>
      <c r="AQ306" s="154">
        <v>0</v>
      </c>
      <c r="AR306" s="154" t="s">
        <v>1410</v>
      </c>
      <c r="AS306" s="154"/>
      <c r="AT306" s="154" t="s">
        <v>1417</v>
      </c>
      <c r="AU306" s="154" t="s">
        <v>1412</v>
      </c>
    </row>
    <row r="307" spans="1:47" x14ac:dyDescent="0.45">
      <c r="A307" s="154">
        <v>2513050011</v>
      </c>
      <c r="B307" s="154">
        <v>130</v>
      </c>
      <c r="C307" s="154" t="s">
        <v>1401</v>
      </c>
      <c r="D307" s="154">
        <v>130</v>
      </c>
      <c r="E307" s="154" t="s">
        <v>1402</v>
      </c>
      <c r="F307" s="154" t="s">
        <v>2159</v>
      </c>
      <c r="G307" s="154" t="s">
        <v>2160</v>
      </c>
      <c r="H307" s="154">
        <v>1</v>
      </c>
      <c r="I307" s="154" t="s">
        <v>2161</v>
      </c>
      <c r="J307" s="154" t="s">
        <v>1403</v>
      </c>
      <c r="K307" s="154">
        <v>2025</v>
      </c>
      <c r="L307" s="155">
        <v>2025</v>
      </c>
      <c r="M307" s="156">
        <v>45596</v>
      </c>
      <c r="N307" s="154" t="s">
        <v>36</v>
      </c>
      <c r="O307" s="154" t="s">
        <v>472</v>
      </c>
      <c r="P307" s="154">
        <v>1043</v>
      </c>
      <c r="Q307" s="154" t="s">
        <v>1404</v>
      </c>
      <c r="R307" s="154">
        <v>2</v>
      </c>
      <c r="S307" s="154">
        <v>6</v>
      </c>
      <c r="T307" s="154" t="s">
        <v>1405</v>
      </c>
      <c r="U307" s="154">
        <v>5</v>
      </c>
      <c r="V307" s="155">
        <v>0</v>
      </c>
      <c r="W307" s="155">
        <v>0</v>
      </c>
      <c r="X307" s="155" t="s">
        <v>1406</v>
      </c>
      <c r="Y307" s="156">
        <v>45747</v>
      </c>
      <c r="Z307" s="154" t="s">
        <v>32</v>
      </c>
      <c r="AA307" s="154"/>
      <c r="AB307" s="154">
        <v>0</v>
      </c>
      <c r="AC307" s="154">
        <v>0</v>
      </c>
      <c r="AD307" s="154">
        <v>0</v>
      </c>
      <c r="AE307" s="154" t="s">
        <v>1446</v>
      </c>
      <c r="AF307" s="154"/>
      <c r="AG307" s="154" t="s">
        <v>1446</v>
      </c>
      <c r="AH307" s="154"/>
      <c r="AI307" s="154"/>
      <c r="AJ307" s="154">
        <v>0</v>
      </c>
      <c r="AK307" s="154" t="s">
        <v>1410</v>
      </c>
      <c r="AL307" s="154">
        <v>28097</v>
      </c>
      <c r="AM307" s="154" t="s">
        <v>1418</v>
      </c>
      <c r="AN307" s="154" t="s">
        <v>1531</v>
      </c>
      <c r="AO307" s="154">
        <v>28</v>
      </c>
      <c r="AP307" s="154" t="s">
        <v>1416</v>
      </c>
      <c r="AQ307" s="154">
        <v>0</v>
      </c>
      <c r="AR307" s="154" t="s">
        <v>1410</v>
      </c>
      <c r="AS307" s="154"/>
      <c r="AT307" s="154" t="s">
        <v>1417</v>
      </c>
      <c r="AU307" s="154" t="s">
        <v>1412</v>
      </c>
    </row>
    <row r="308" spans="1:47" x14ac:dyDescent="0.45">
      <c r="A308" s="154">
        <v>2513050014</v>
      </c>
      <c r="B308" s="154">
        <v>130</v>
      </c>
      <c r="C308" s="154" t="s">
        <v>1401</v>
      </c>
      <c r="D308" s="154">
        <v>130</v>
      </c>
      <c r="E308" s="154" t="s">
        <v>1402</v>
      </c>
      <c r="F308" s="154" t="s">
        <v>2167</v>
      </c>
      <c r="G308" s="154" t="s">
        <v>2168</v>
      </c>
      <c r="H308" s="154">
        <v>1</v>
      </c>
      <c r="I308" s="154" t="s">
        <v>2169</v>
      </c>
      <c r="J308" s="154" t="s">
        <v>1403</v>
      </c>
      <c r="K308" s="154">
        <v>2025</v>
      </c>
      <c r="L308" s="155">
        <v>2025</v>
      </c>
      <c r="M308" s="156">
        <v>45568</v>
      </c>
      <c r="N308" s="154" t="s">
        <v>36</v>
      </c>
      <c r="O308" s="154" t="s">
        <v>501</v>
      </c>
      <c r="P308" s="154">
        <v>1726</v>
      </c>
      <c r="Q308" s="154" t="s">
        <v>1430</v>
      </c>
      <c r="R308" s="154">
        <v>2</v>
      </c>
      <c r="S308" s="154">
        <v>34</v>
      </c>
      <c r="T308" s="154" t="s">
        <v>1431</v>
      </c>
      <c r="U308" s="154">
        <v>12</v>
      </c>
      <c r="V308" s="155">
        <v>2522026</v>
      </c>
      <c r="W308" s="155">
        <v>0</v>
      </c>
      <c r="X308" s="155" t="s">
        <v>1406</v>
      </c>
      <c r="Y308" s="154"/>
      <c r="Z308" s="154" t="s">
        <v>32</v>
      </c>
      <c r="AA308" s="156">
        <v>45586</v>
      </c>
      <c r="AB308" s="154">
        <v>25</v>
      </c>
      <c r="AC308" s="154">
        <v>22026</v>
      </c>
      <c r="AD308" s="154">
        <v>130</v>
      </c>
      <c r="AE308" s="154" t="s">
        <v>1401</v>
      </c>
      <c r="AF308" s="154">
        <v>130</v>
      </c>
      <c r="AG308" s="154" t="s">
        <v>1402</v>
      </c>
      <c r="AH308" s="154" t="s">
        <v>36</v>
      </c>
      <c r="AI308" s="154" t="s">
        <v>501</v>
      </c>
      <c r="AJ308" s="154">
        <v>1726</v>
      </c>
      <c r="AK308" s="154" t="s">
        <v>1407</v>
      </c>
      <c r="AL308" s="154">
        <v>8170</v>
      </c>
      <c r="AM308" s="154" t="s">
        <v>1421</v>
      </c>
      <c r="AN308" s="154" t="s">
        <v>2826</v>
      </c>
      <c r="AO308" s="154">
        <v>8</v>
      </c>
      <c r="AP308" s="154" t="s">
        <v>1529</v>
      </c>
      <c r="AQ308" s="154">
        <v>0</v>
      </c>
      <c r="AR308" s="154" t="s">
        <v>1410</v>
      </c>
      <c r="AS308" s="154"/>
      <c r="AT308" s="154" t="s">
        <v>1417</v>
      </c>
      <c r="AU308" s="154" t="s">
        <v>1412</v>
      </c>
    </row>
    <row r="309" spans="1:47" x14ac:dyDescent="0.45">
      <c r="A309" s="154">
        <v>2513050015</v>
      </c>
      <c r="B309" s="154">
        <v>130</v>
      </c>
      <c r="C309" s="154" t="s">
        <v>1401</v>
      </c>
      <c r="D309" s="154">
        <v>130</v>
      </c>
      <c r="E309" s="154" t="s">
        <v>1402</v>
      </c>
      <c r="F309" s="154" t="s">
        <v>2170</v>
      </c>
      <c r="G309" s="154" t="s">
        <v>2171</v>
      </c>
      <c r="H309" s="154">
        <v>1</v>
      </c>
      <c r="I309" s="154" t="s">
        <v>2172</v>
      </c>
      <c r="J309" s="154" t="s">
        <v>1403</v>
      </c>
      <c r="K309" s="154">
        <v>2025</v>
      </c>
      <c r="L309" s="155">
        <v>2025</v>
      </c>
      <c r="M309" s="156">
        <v>45586</v>
      </c>
      <c r="N309" s="154" t="s">
        <v>36</v>
      </c>
      <c r="O309" s="154" t="s">
        <v>485</v>
      </c>
      <c r="P309" s="154">
        <v>1131</v>
      </c>
      <c r="Q309" s="154" t="s">
        <v>1413</v>
      </c>
      <c r="R309" s="154">
        <v>3</v>
      </c>
      <c r="S309" s="154">
        <v>6</v>
      </c>
      <c r="T309" s="154" t="s">
        <v>1405</v>
      </c>
      <c r="U309" s="154">
        <v>5</v>
      </c>
      <c r="V309" s="155">
        <v>2522034</v>
      </c>
      <c r="W309" s="155">
        <v>0</v>
      </c>
      <c r="X309" s="155" t="s">
        <v>1406</v>
      </c>
      <c r="Y309" s="154"/>
      <c r="Z309" s="154" t="s">
        <v>32</v>
      </c>
      <c r="AA309" s="156">
        <v>45607</v>
      </c>
      <c r="AB309" s="154">
        <v>25</v>
      </c>
      <c r="AC309" s="154">
        <v>22034</v>
      </c>
      <c r="AD309" s="154">
        <v>130</v>
      </c>
      <c r="AE309" s="154" t="s">
        <v>1401</v>
      </c>
      <c r="AF309" s="154">
        <v>130</v>
      </c>
      <c r="AG309" s="154" t="s">
        <v>1402</v>
      </c>
      <c r="AH309" s="154" t="s">
        <v>36</v>
      </c>
      <c r="AI309" s="154" t="s">
        <v>485</v>
      </c>
      <c r="AJ309" s="154">
        <v>1131</v>
      </c>
      <c r="AK309" s="154" t="s">
        <v>1407</v>
      </c>
      <c r="AL309" s="154">
        <v>28098</v>
      </c>
      <c r="AM309" s="154" t="s">
        <v>1418</v>
      </c>
      <c r="AN309" s="154" t="s">
        <v>1448</v>
      </c>
      <c r="AO309" s="154">
        <v>28</v>
      </c>
      <c r="AP309" s="154" t="s">
        <v>1416</v>
      </c>
      <c r="AQ309" s="154">
        <v>0</v>
      </c>
      <c r="AR309" s="154" t="s">
        <v>1410</v>
      </c>
      <c r="AS309" s="154"/>
      <c r="AT309" s="154" t="s">
        <v>1417</v>
      </c>
      <c r="AU309" s="154" t="s">
        <v>1412</v>
      </c>
    </row>
    <row r="310" spans="1:47" x14ac:dyDescent="0.45">
      <c r="A310" s="154">
        <v>2513050016</v>
      </c>
      <c r="B310" s="154">
        <v>130</v>
      </c>
      <c r="C310" s="154" t="s">
        <v>1401</v>
      </c>
      <c r="D310" s="154">
        <v>130</v>
      </c>
      <c r="E310" s="154" t="s">
        <v>1402</v>
      </c>
      <c r="F310" s="154" t="s">
        <v>2173</v>
      </c>
      <c r="G310" s="154" t="s">
        <v>2174</v>
      </c>
      <c r="H310" s="154">
        <v>1</v>
      </c>
      <c r="I310" s="154" t="s">
        <v>2175</v>
      </c>
      <c r="J310" s="154" t="s">
        <v>1403</v>
      </c>
      <c r="K310" s="154">
        <v>2025</v>
      </c>
      <c r="L310" s="155">
        <v>2025</v>
      </c>
      <c r="M310" s="156">
        <v>45537</v>
      </c>
      <c r="N310" s="154" t="s">
        <v>36</v>
      </c>
      <c r="O310" s="154" t="s">
        <v>472</v>
      </c>
      <c r="P310" s="154">
        <v>1043</v>
      </c>
      <c r="Q310" s="154" t="s">
        <v>1404</v>
      </c>
      <c r="R310" s="154">
        <v>2</v>
      </c>
      <c r="S310" s="154">
        <v>6</v>
      </c>
      <c r="T310" s="154" t="s">
        <v>1405</v>
      </c>
      <c r="U310" s="154">
        <v>5</v>
      </c>
      <c r="V310" s="155">
        <v>2522010</v>
      </c>
      <c r="W310" s="155">
        <v>0</v>
      </c>
      <c r="X310" s="155" t="s">
        <v>1406</v>
      </c>
      <c r="Y310" s="154"/>
      <c r="Z310" s="154" t="s">
        <v>32</v>
      </c>
      <c r="AA310" s="156">
        <v>45574</v>
      </c>
      <c r="AB310" s="154">
        <v>25</v>
      </c>
      <c r="AC310" s="154">
        <v>22010</v>
      </c>
      <c r="AD310" s="154">
        <v>130</v>
      </c>
      <c r="AE310" s="154" t="s">
        <v>1401</v>
      </c>
      <c r="AF310" s="154">
        <v>130</v>
      </c>
      <c r="AG310" s="154" t="s">
        <v>1402</v>
      </c>
      <c r="AH310" s="154" t="s">
        <v>36</v>
      </c>
      <c r="AI310" s="154" t="s">
        <v>472</v>
      </c>
      <c r="AJ310" s="154">
        <v>1043</v>
      </c>
      <c r="AK310" s="154" t="s">
        <v>1407</v>
      </c>
      <c r="AL310" s="154">
        <v>28141</v>
      </c>
      <c r="AM310" s="154" t="s">
        <v>1418</v>
      </c>
      <c r="AN310" s="154" t="s">
        <v>1546</v>
      </c>
      <c r="AO310" s="154">
        <v>28</v>
      </c>
      <c r="AP310" s="154" t="s">
        <v>1416</v>
      </c>
      <c r="AQ310" s="154">
        <v>0</v>
      </c>
      <c r="AR310" s="154" t="s">
        <v>1410</v>
      </c>
      <c r="AS310" s="154"/>
      <c r="AT310" s="154" t="s">
        <v>1417</v>
      </c>
      <c r="AU310" s="154" t="s">
        <v>1412</v>
      </c>
    </row>
    <row r="311" spans="1:47" x14ac:dyDescent="0.45">
      <c r="A311" s="154">
        <v>2513050017</v>
      </c>
      <c r="B311" s="154">
        <v>130</v>
      </c>
      <c r="C311" s="154" t="s">
        <v>1401</v>
      </c>
      <c r="D311" s="154">
        <v>130</v>
      </c>
      <c r="E311" s="154" t="s">
        <v>1402</v>
      </c>
      <c r="F311" s="154" t="s">
        <v>2176</v>
      </c>
      <c r="G311" s="154" t="s">
        <v>2177</v>
      </c>
      <c r="H311" s="154">
        <v>1</v>
      </c>
      <c r="I311" s="154" t="s">
        <v>2178</v>
      </c>
      <c r="J311" s="154" t="s">
        <v>1403</v>
      </c>
      <c r="K311" s="154">
        <v>2025</v>
      </c>
      <c r="L311" s="155">
        <v>2025</v>
      </c>
      <c r="M311" s="156">
        <v>45537</v>
      </c>
      <c r="N311" s="154" t="s">
        <v>36</v>
      </c>
      <c r="O311" s="154" t="s">
        <v>472</v>
      </c>
      <c r="P311" s="154">
        <v>1043</v>
      </c>
      <c r="Q311" s="154" t="s">
        <v>1404</v>
      </c>
      <c r="R311" s="154">
        <v>2</v>
      </c>
      <c r="S311" s="154">
        <v>6</v>
      </c>
      <c r="T311" s="154" t="s">
        <v>1405</v>
      </c>
      <c r="U311" s="154">
        <v>5</v>
      </c>
      <c r="V311" s="155">
        <v>2522023</v>
      </c>
      <c r="W311" s="155">
        <v>0</v>
      </c>
      <c r="X311" s="155" t="s">
        <v>1406</v>
      </c>
      <c r="Y311" s="154"/>
      <c r="Z311" s="154" t="s">
        <v>32</v>
      </c>
      <c r="AA311" s="156">
        <v>45581</v>
      </c>
      <c r="AB311" s="154">
        <v>25</v>
      </c>
      <c r="AC311" s="154">
        <v>22023</v>
      </c>
      <c r="AD311" s="154">
        <v>130</v>
      </c>
      <c r="AE311" s="154" t="s">
        <v>1401</v>
      </c>
      <c r="AF311" s="154">
        <v>130</v>
      </c>
      <c r="AG311" s="154" t="s">
        <v>1402</v>
      </c>
      <c r="AH311" s="154" t="s">
        <v>36</v>
      </c>
      <c r="AI311" s="154" t="s">
        <v>472</v>
      </c>
      <c r="AJ311" s="154">
        <v>1043</v>
      </c>
      <c r="AK311" s="154" t="s">
        <v>1407</v>
      </c>
      <c r="AL311" s="154">
        <v>28126</v>
      </c>
      <c r="AM311" s="154" t="s">
        <v>1418</v>
      </c>
      <c r="AN311" s="154" t="s">
        <v>1458</v>
      </c>
      <c r="AO311" s="154">
        <v>28</v>
      </c>
      <c r="AP311" s="154" t="s">
        <v>1416</v>
      </c>
      <c r="AQ311" s="154">
        <v>0</v>
      </c>
      <c r="AR311" s="154" t="s">
        <v>1410</v>
      </c>
      <c r="AS311" s="154"/>
      <c r="AT311" s="154" t="s">
        <v>1417</v>
      </c>
      <c r="AU311" s="154" t="s">
        <v>1412</v>
      </c>
    </row>
    <row r="312" spans="1:47" x14ac:dyDescent="0.45">
      <c r="A312" s="154">
        <v>2513050018</v>
      </c>
      <c r="B312" s="154">
        <v>130</v>
      </c>
      <c r="C312" s="154" t="s">
        <v>1401</v>
      </c>
      <c r="D312" s="154">
        <v>130</v>
      </c>
      <c r="E312" s="154" t="s">
        <v>1402</v>
      </c>
      <c r="F312" s="154" t="s">
        <v>2180</v>
      </c>
      <c r="G312" s="154" t="s">
        <v>2181</v>
      </c>
      <c r="H312" s="154">
        <v>1</v>
      </c>
      <c r="I312" s="154" t="s">
        <v>2182</v>
      </c>
      <c r="J312" s="154" t="s">
        <v>1403</v>
      </c>
      <c r="K312" s="154">
        <v>2025</v>
      </c>
      <c r="L312" s="155">
        <v>2025</v>
      </c>
      <c r="M312" s="156">
        <v>45548</v>
      </c>
      <c r="N312" s="154" t="s">
        <v>36</v>
      </c>
      <c r="O312" s="154" t="s">
        <v>501</v>
      </c>
      <c r="P312" s="154">
        <v>1726</v>
      </c>
      <c r="Q312" s="154" t="s">
        <v>1430</v>
      </c>
      <c r="R312" s="154">
        <v>2</v>
      </c>
      <c r="S312" s="154">
        <v>34</v>
      </c>
      <c r="T312" s="154" t="s">
        <v>1431</v>
      </c>
      <c r="U312" s="154">
        <v>12</v>
      </c>
      <c r="V312" s="155">
        <v>2522014</v>
      </c>
      <c r="W312" s="155">
        <v>0</v>
      </c>
      <c r="X312" s="155" t="s">
        <v>1406</v>
      </c>
      <c r="Y312" s="154"/>
      <c r="Z312" s="154" t="s">
        <v>32</v>
      </c>
      <c r="AA312" s="156">
        <v>45576</v>
      </c>
      <c r="AB312" s="154">
        <v>25</v>
      </c>
      <c r="AC312" s="154">
        <v>22014</v>
      </c>
      <c r="AD312" s="154">
        <v>130</v>
      </c>
      <c r="AE312" s="154" t="s">
        <v>1401</v>
      </c>
      <c r="AF312" s="154">
        <v>130</v>
      </c>
      <c r="AG312" s="154" t="s">
        <v>1402</v>
      </c>
      <c r="AH312" s="154" t="s">
        <v>36</v>
      </c>
      <c r="AI312" s="154" t="s">
        <v>501</v>
      </c>
      <c r="AJ312" s="154">
        <v>1726</v>
      </c>
      <c r="AK312" s="154" t="s">
        <v>1407</v>
      </c>
      <c r="AL312" s="154">
        <v>28163</v>
      </c>
      <c r="AM312" s="154" t="s">
        <v>1418</v>
      </c>
      <c r="AN312" s="154" t="s">
        <v>2827</v>
      </c>
      <c r="AO312" s="154">
        <v>28</v>
      </c>
      <c r="AP312" s="154" t="s">
        <v>1416</v>
      </c>
      <c r="AQ312" s="154">
        <v>0</v>
      </c>
      <c r="AR312" s="154" t="s">
        <v>1410</v>
      </c>
      <c r="AS312" s="154"/>
      <c r="AT312" s="154" t="s">
        <v>1417</v>
      </c>
      <c r="AU312" s="154" t="s">
        <v>1412</v>
      </c>
    </row>
    <row r="313" spans="1:47" x14ac:dyDescent="0.45">
      <c r="A313" s="154">
        <v>2513050020</v>
      </c>
      <c r="B313" s="154">
        <v>130</v>
      </c>
      <c r="C313" s="154" t="s">
        <v>1401</v>
      </c>
      <c r="D313" s="154">
        <v>130</v>
      </c>
      <c r="E313" s="154" t="s">
        <v>1402</v>
      </c>
      <c r="F313" s="154" t="s">
        <v>2187</v>
      </c>
      <c r="G313" s="154" t="s">
        <v>2188</v>
      </c>
      <c r="H313" s="154">
        <v>1</v>
      </c>
      <c r="I313" s="154" t="s">
        <v>2189</v>
      </c>
      <c r="J313" s="154" t="s">
        <v>1403</v>
      </c>
      <c r="K313" s="154">
        <v>2025</v>
      </c>
      <c r="L313" s="155">
        <v>2025</v>
      </c>
      <c r="M313" s="156">
        <v>45552</v>
      </c>
      <c r="N313" s="154" t="s">
        <v>36</v>
      </c>
      <c r="O313" s="154" t="s">
        <v>501</v>
      </c>
      <c r="P313" s="154">
        <v>1726</v>
      </c>
      <c r="Q313" s="154" t="s">
        <v>1430</v>
      </c>
      <c r="R313" s="154">
        <v>2</v>
      </c>
      <c r="S313" s="154">
        <v>34</v>
      </c>
      <c r="T313" s="154" t="s">
        <v>1431</v>
      </c>
      <c r="U313" s="154">
        <v>12</v>
      </c>
      <c r="V313" s="155">
        <v>2522028</v>
      </c>
      <c r="W313" s="155">
        <v>0</v>
      </c>
      <c r="X313" s="155" t="s">
        <v>1406</v>
      </c>
      <c r="Y313" s="154"/>
      <c r="Z313" s="154" t="s">
        <v>32</v>
      </c>
      <c r="AA313" s="156">
        <v>45586</v>
      </c>
      <c r="AB313" s="154">
        <v>25</v>
      </c>
      <c r="AC313" s="154">
        <v>22028</v>
      </c>
      <c r="AD313" s="154">
        <v>130</v>
      </c>
      <c r="AE313" s="154" t="s">
        <v>1401</v>
      </c>
      <c r="AF313" s="154">
        <v>130</v>
      </c>
      <c r="AG313" s="154" t="s">
        <v>1402</v>
      </c>
      <c r="AH313" s="154" t="s">
        <v>36</v>
      </c>
      <c r="AI313" s="154" t="s">
        <v>501</v>
      </c>
      <c r="AJ313" s="154">
        <v>1726</v>
      </c>
      <c r="AK313" s="154" t="s">
        <v>1407</v>
      </c>
      <c r="AL313" s="154">
        <v>28329</v>
      </c>
      <c r="AM313" s="154" t="s">
        <v>1421</v>
      </c>
      <c r="AN313" s="154" t="s">
        <v>2828</v>
      </c>
      <c r="AO313" s="154">
        <v>28</v>
      </c>
      <c r="AP313" s="154" t="s">
        <v>1416</v>
      </c>
      <c r="AQ313" s="154">
        <v>0</v>
      </c>
      <c r="AR313" s="154" t="s">
        <v>1410</v>
      </c>
      <c r="AS313" s="154"/>
      <c r="AT313" s="154" t="s">
        <v>1417</v>
      </c>
      <c r="AU313" s="154" t="s">
        <v>1412</v>
      </c>
    </row>
    <row r="314" spans="1:47" x14ac:dyDescent="0.45">
      <c r="A314" s="154">
        <v>2513050021</v>
      </c>
      <c r="B314" s="154">
        <v>130</v>
      </c>
      <c r="C314" s="154" t="s">
        <v>1401</v>
      </c>
      <c r="D314" s="154">
        <v>130</v>
      </c>
      <c r="E314" s="154" t="s">
        <v>1402</v>
      </c>
      <c r="F314" s="154" t="s">
        <v>2190</v>
      </c>
      <c r="G314" s="154" t="s">
        <v>2191</v>
      </c>
      <c r="H314" s="154">
        <v>1</v>
      </c>
      <c r="I314" s="154" t="s">
        <v>2192</v>
      </c>
      <c r="J314" s="154" t="s">
        <v>1403</v>
      </c>
      <c r="K314" s="154">
        <v>2025</v>
      </c>
      <c r="L314" s="155">
        <v>2025</v>
      </c>
      <c r="M314" s="156">
        <v>45537</v>
      </c>
      <c r="N314" s="154" t="s">
        <v>36</v>
      </c>
      <c r="O314" s="154" t="s">
        <v>472</v>
      </c>
      <c r="P314" s="154">
        <v>1043</v>
      </c>
      <c r="Q314" s="154" t="s">
        <v>1404</v>
      </c>
      <c r="R314" s="154">
        <v>2</v>
      </c>
      <c r="S314" s="154">
        <v>6</v>
      </c>
      <c r="T314" s="154" t="s">
        <v>1405</v>
      </c>
      <c r="U314" s="154">
        <v>5</v>
      </c>
      <c r="V314" s="155">
        <v>2522025</v>
      </c>
      <c r="W314" s="155">
        <v>0</v>
      </c>
      <c r="X314" s="155" t="s">
        <v>1406</v>
      </c>
      <c r="Y314" s="154"/>
      <c r="Z314" s="154" t="s">
        <v>32</v>
      </c>
      <c r="AA314" s="156">
        <v>45583</v>
      </c>
      <c r="AB314" s="154">
        <v>25</v>
      </c>
      <c r="AC314" s="154">
        <v>22025</v>
      </c>
      <c r="AD314" s="154">
        <v>130</v>
      </c>
      <c r="AE314" s="154" t="s">
        <v>1401</v>
      </c>
      <c r="AF314" s="154">
        <v>130</v>
      </c>
      <c r="AG314" s="154" t="s">
        <v>1402</v>
      </c>
      <c r="AH314" s="154" t="s">
        <v>36</v>
      </c>
      <c r="AI314" s="154" t="s">
        <v>472</v>
      </c>
      <c r="AJ314" s="154">
        <v>1043</v>
      </c>
      <c r="AK314" s="154" t="s">
        <v>1407</v>
      </c>
      <c r="AL314" s="154">
        <v>28126</v>
      </c>
      <c r="AM314" s="154" t="s">
        <v>1418</v>
      </c>
      <c r="AN314" s="154" t="s">
        <v>1458</v>
      </c>
      <c r="AO314" s="154">
        <v>28</v>
      </c>
      <c r="AP314" s="154" t="s">
        <v>1416</v>
      </c>
      <c r="AQ314" s="154">
        <v>0</v>
      </c>
      <c r="AR314" s="154" t="s">
        <v>1410</v>
      </c>
      <c r="AS314" s="154"/>
      <c r="AT314" s="154" t="s">
        <v>1417</v>
      </c>
      <c r="AU314" s="154" t="s">
        <v>1412</v>
      </c>
    </row>
    <row r="315" spans="1:47" x14ac:dyDescent="0.45">
      <c r="A315" s="154">
        <v>2513050022</v>
      </c>
      <c r="B315" s="154">
        <v>130</v>
      </c>
      <c r="C315" s="154" t="s">
        <v>1401</v>
      </c>
      <c r="D315" s="154">
        <v>130</v>
      </c>
      <c r="E315" s="154" t="s">
        <v>1402</v>
      </c>
      <c r="F315" s="154" t="s">
        <v>2193</v>
      </c>
      <c r="G315" s="154" t="s">
        <v>2194</v>
      </c>
      <c r="H315" s="154">
        <v>1</v>
      </c>
      <c r="I315" s="154" t="s">
        <v>2195</v>
      </c>
      <c r="J315" s="154" t="s">
        <v>1403</v>
      </c>
      <c r="K315" s="154">
        <v>2025</v>
      </c>
      <c r="L315" s="155">
        <v>2025</v>
      </c>
      <c r="M315" s="156">
        <v>45552</v>
      </c>
      <c r="N315" s="154" t="s">
        <v>36</v>
      </c>
      <c r="O315" s="154" t="s">
        <v>472</v>
      </c>
      <c r="P315" s="154">
        <v>1043</v>
      </c>
      <c r="Q315" s="154" t="s">
        <v>1404</v>
      </c>
      <c r="R315" s="154">
        <v>2</v>
      </c>
      <c r="S315" s="154">
        <v>6</v>
      </c>
      <c r="T315" s="154" t="s">
        <v>1405</v>
      </c>
      <c r="U315" s="154">
        <v>5</v>
      </c>
      <c r="V315" s="155">
        <v>2522013</v>
      </c>
      <c r="W315" s="155">
        <v>0</v>
      </c>
      <c r="X315" s="155" t="s">
        <v>1406</v>
      </c>
      <c r="Y315" s="154"/>
      <c r="Z315" s="154" t="s">
        <v>32</v>
      </c>
      <c r="AA315" s="156">
        <v>45576</v>
      </c>
      <c r="AB315" s="154">
        <v>25</v>
      </c>
      <c r="AC315" s="154">
        <v>22013</v>
      </c>
      <c r="AD315" s="154">
        <v>130</v>
      </c>
      <c r="AE315" s="154" t="s">
        <v>1401</v>
      </c>
      <c r="AF315" s="154">
        <v>130</v>
      </c>
      <c r="AG315" s="154" t="s">
        <v>1402</v>
      </c>
      <c r="AH315" s="154" t="s">
        <v>36</v>
      </c>
      <c r="AI315" s="154" t="s">
        <v>472</v>
      </c>
      <c r="AJ315" s="154">
        <v>1043</v>
      </c>
      <c r="AK315" s="154" t="s">
        <v>1407</v>
      </c>
      <c r="AL315" s="154">
        <v>28127</v>
      </c>
      <c r="AM315" s="154" t="s">
        <v>1418</v>
      </c>
      <c r="AN315" s="154" t="s">
        <v>1539</v>
      </c>
      <c r="AO315" s="154">
        <v>28</v>
      </c>
      <c r="AP315" s="154" t="s">
        <v>1416</v>
      </c>
      <c r="AQ315" s="154">
        <v>0</v>
      </c>
      <c r="AR315" s="154" t="s">
        <v>1410</v>
      </c>
      <c r="AS315" s="154"/>
      <c r="AT315" s="154" t="s">
        <v>1417</v>
      </c>
      <c r="AU315" s="154" t="s">
        <v>1412</v>
      </c>
    </row>
    <row r="316" spans="1:47" x14ac:dyDescent="0.45">
      <c r="A316" s="154">
        <v>2513050023</v>
      </c>
      <c r="B316" s="154">
        <v>130</v>
      </c>
      <c r="C316" s="154" t="s">
        <v>1401</v>
      </c>
      <c r="D316" s="154">
        <v>130</v>
      </c>
      <c r="E316" s="154" t="s">
        <v>1402</v>
      </c>
      <c r="F316" s="154" t="s">
        <v>2196</v>
      </c>
      <c r="G316" s="154" t="s">
        <v>2197</v>
      </c>
      <c r="H316" s="154">
        <v>1</v>
      </c>
      <c r="I316" s="154" t="s">
        <v>2198</v>
      </c>
      <c r="J316" s="154" t="s">
        <v>1403</v>
      </c>
      <c r="K316" s="154">
        <v>2025</v>
      </c>
      <c r="L316" s="155">
        <v>2025</v>
      </c>
      <c r="M316" s="156">
        <v>45546</v>
      </c>
      <c r="N316" s="154" t="s">
        <v>36</v>
      </c>
      <c r="O316" s="154" t="s">
        <v>472</v>
      </c>
      <c r="P316" s="154">
        <v>1043</v>
      </c>
      <c r="Q316" s="154" t="s">
        <v>1404</v>
      </c>
      <c r="R316" s="154">
        <v>2</v>
      </c>
      <c r="S316" s="154">
        <v>6</v>
      </c>
      <c r="T316" s="154" t="s">
        <v>1405</v>
      </c>
      <c r="U316" s="154">
        <v>5</v>
      </c>
      <c r="V316" s="155">
        <v>2522003</v>
      </c>
      <c r="W316" s="155">
        <v>0</v>
      </c>
      <c r="X316" s="155" t="s">
        <v>1406</v>
      </c>
      <c r="Y316" s="154"/>
      <c r="Z316" s="154" t="s">
        <v>32</v>
      </c>
      <c r="AA316" s="156">
        <v>45565</v>
      </c>
      <c r="AB316" s="154">
        <v>25</v>
      </c>
      <c r="AC316" s="154">
        <v>22003</v>
      </c>
      <c r="AD316" s="154">
        <v>130</v>
      </c>
      <c r="AE316" s="154" t="s">
        <v>1401</v>
      </c>
      <c r="AF316" s="154">
        <v>130</v>
      </c>
      <c r="AG316" s="154" t="s">
        <v>1402</v>
      </c>
      <c r="AH316" s="154" t="s">
        <v>36</v>
      </c>
      <c r="AI316" s="154" t="s">
        <v>472</v>
      </c>
      <c r="AJ316" s="154">
        <v>1043</v>
      </c>
      <c r="AK316" s="154" t="s">
        <v>1407</v>
      </c>
      <c r="AL316" s="154">
        <v>28167</v>
      </c>
      <c r="AM316" s="154" t="s">
        <v>1418</v>
      </c>
      <c r="AN316" s="154" t="s">
        <v>2810</v>
      </c>
      <c r="AO316" s="154">
        <v>28</v>
      </c>
      <c r="AP316" s="154" t="s">
        <v>1416</v>
      </c>
      <c r="AQ316" s="154">
        <v>0</v>
      </c>
      <c r="AR316" s="154" t="s">
        <v>1410</v>
      </c>
      <c r="AS316" s="154"/>
      <c r="AT316" s="154" t="s">
        <v>1417</v>
      </c>
      <c r="AU316" s="154" t="s">
        <v>1412</v>
      </c>
    </row>
    <row r="317" spans="1:47" x14ac:dyDescent="0.45">
      <c r="A317" s="154">
        <v>2513050024</v>
      </c>
      <c r="B317" s="154">
        <v>130</v>
      </c>
      <c r="C317" s="154" t="s">
        <v>1401</v>
      </c>
      <c r="D317" s="154">
        <v>130</v>
      </c>
      <c r="E317" s="154" t="s">
        <v>1402</v>
      </c>
      <c r="F317" s="154" t="s">
        <v>2199</v>
      </c>
      <c r="G317" s="154" t="s">
        <v>2200</v>
      </c>
      <c r="H317" s="154">
        <v>1</v>
      </c>
      <c r="I317" s="154" t="s">
        <v>2201</v>
      </c>
      <c r="J317" s="154" t="s">
        <v>1403</v>
      </c>
      <c r="K317" s="154">
        <v>2025</v>
      </c>
      <c r="L317" s="155">
        <v>2025</v>
      </c>
      <c r="M317" s="156">
        <v>45544</v>
      </c>
      <c r="N317" s="154" t="s">
        <v>36</v>
      </c>
      <c r="O317" s="154" t="s">
        <v>485</v>
      </c>
      <c r="P317" s="154">
        <v>1131</v>
      </c>
      <c r="Q317" s="154" t="s">
        <v>1413</v>
      </c>
      <c r="R317" s="154">
        <v>3</v>
      </c>
      <c r="S317" s="154">
        <v>6</v>
      </c>
      <c r="T317" s="154" t="s">
        <v>1405</v>
      </c>
      <c r="U317" s="154">
        <v>5</v>
      </c>
      <c r="V317" s="155">
        <v>2522016</v>
      </c>
      <c r="W317" s="155">
        <v>0</v>
      </c>
      <c r="X317" s="155" t="s">
        <v>1406</v>
      </c>
      <c r="Y317" s="154"/>
      <c r="Z317" s="154" t="s">
        <v>32</v>
      </c>
      <c r="AA317" s="156">
        <v>45576</v>
      </c>
      <c r="AB317" s="154">
        <v>25</v>
      </c>
      <c r="AC317" s="154">
        <v>22016</v>
      </c>
      <c r="AD317" s="154">
        <v>130</v>
      </c>
      <c r="AE317" s="154" t="s">
        <v>1401</v>
      </c>
      <c r="AF317" s="154">
        <v>130</v>
      </c>
      <c r="AG317" s="154" t="s">
        <v>1402</v>
      </c>
      <c r="AH317" s="154" t="s">
        <v>36</v>
      </c>
      <c r="AI317" s="154" t="s">
        <v>485</v>
      </c>
      <c r="AJ317" s="154">
        <v>1131</v>
      </c>
      <c r="AK317" s="154" t="s">
        <v>1407</v>
      </c>
      <c r="AL317" s="154">
        <v>28205</v>
      </c>
      <c r="AM317" s="154" t="s">
        <v>1418</v>
      </c>
      <c r="AN317" s="154" t="s">
        <v>1436</v>
      </c>
      <c r="AO317" s="154">
        <v>28</v>
      </c>
      <c r="AP317" s="154" t="s">
        <v>1416</v>
      </c>
      <c r="AQ317" s="154">
        <v>0</v>
      </c>
      <c r="AR317" s="154" t="s">
        <v>1410</v>
      </c>
      <c r="AS317" s="154"/>
      <c r="AT317" s="154" t="s">
        <v>1417</v>
      </c>
      <c r="AU317" s="154" t="s">
        <v>1412</v>
      </c>
    </row>
    <row r="318" spans="1:47" x14ac:dyDescent="0.45">
      <c r="A318" s="154">
        <v>2513050025</v>
      </c>
      <c r="B318" s="154">
        <v>130</v>
      </c>
      <c r="C318" s="154" t="s">
        <v>1401</v>
      </c>
      <c r="D318" s="154">
        <v>130</v>
      </c>
      <c r="E318" s="154" t="s">
        <v>1402</v>
      </c>
      <c r="F318" s="154" t="s">
        <v>2202</v>
      </c>
      <c r="G318" s="154" t="s">
        <v>2203</v>
      </c>
      <c r="H318" s="154">
        <v>1</v>
      </c>
      <c r="I318" s="154" t="s">
        <v>2204</v>
      </c>
      <c r="J318" s="154" t="s">
        <v>1403</v>
      </c>
      <c r="K318" s="154">
        <v>2025</v>
      </c>
      <c r="L318" s="155">
        <v>2025</v>
      </c>
      <c r="M318" s="156">
        <v>45555</v>
      </c>
      <c r="N318" s="154" t="s">
        <v>36</v>
      </c>
      <c r="O318" s="154" t="s">
        <v>485</v>
      </c>
      <c r="P318" s="154">
        <v>1131</v>
      </c>
      <c r="Q318" s="154" t="s">
        <v>1413</v>
      </c>
      <c r="R318" s="154">
        <v>3</v>
      </c>
      <c r="S318" s="154">
        <v>6</v>
      </c>
      <c r="T318" s="154" t="s">
        <v>1405</v>
      </c>
      <c r="U318" s="154">
        <v>5</v>
      </c>
      <c r="V318" s="155">
        <v>2522006</v>
      </c>
      <c r="W318" s="155">
        <v>0</v>
      </c>
      <c r="X318" s="155" t="s">
        <v>1406</v>
      </c>
      <c r="Y318" s="154"/>
      <c r="Z318" s="154" t="s">
        <v>32</v>
      </c>
      <c r="AA318" s="156">
        <v>45572</v>
      </c>
      <c r="AB318" s="154">
        <v>25</v>
      </c>
      <c r="AC318" s="154">
        <v>22006</v>
      </c>
      <c r="AD318" s="154">
        <v>130</v>
      </c>
      <c r="AE318" s="154" t="s">
        <v>1401</v>
      </c>
      <c r="AF318" s="154">
        <v>130</v>
      </c>
      <c r="AG318" s="154" t="s">
        <v>1402</v>
      </c>
      <c r="AH318" s="154" t="s">
        <v>36</v>
      </c>
      <c r="AI318" s="154" t="s">
        <v>485</v>
      </c>
      <c r="AJ318" s="154">
        <v>1131</v>
      </c>
      <c r="AK318" s="154" t="s">
        <v>1407</v>
      </c>
      <c r="AL318" s="154">
        <v>28088</v>
      </c>
      <c r="AM318" s="154" t="s">
        <v>1418</v>
      </c>
      <c r="AN318" s="154" t="s">
        <v>1497</v>
      </c>
      <c r="AO318" s="154">
        <v>28</v>
      </c>
      <c r="AP318" s="154" t="s">
        <v>1416</v>
      </c>
      <c r="AQ318" s="154">
        <v>0</v>
      </c>
      <c r="AR318" s="154" t="s">
        <v>1410</v>
      </c>
      <c r="AS318" s="154"/>
      <c r="AT318" s="154" t="s">
        <v>1417</v>
      </c>
      <c r="AU318" s="154" t="s">
        <v>1412</v>
      </c>
    </row>
    <row r="319" spans="1:47" x14ac:dyDescent="0.45">
      <c r="A319" s="154">
        <v>2513050026</v>
      </c>
      <c r="B319" s="154">
        <v>130</v>
      </c>
      <c r="C319" s="154" t="s">
        <v>1401</v>
      </c>
      <c r="D319" s="154">
        <v>130</v>
      </c>
      <c r="E319" s="154" t="s">
        <v>1402</v>
      </c>
      <c r="F319" s="154" t="s">
        <v>2205</v>
      </c>
      <c r="G319" s="154" t="s">
        <v>2206</v>
      </c>
      <c r="H319" s="154">
        <v>1</v>
      </c>
      <c r="I319" s="154" t="s">
        <v>2207</v>
      </c>
      <c r="J319" s="154" t="s">
        <v>1403</v>
      </c>
      <c r="K319" s="154">
        <v>2025</v>
      </c>
      <c r="L319" s="155">
        <v>2025</v>
      </c>
      <c r="M319" s="156">
        <v>45537</v>
      </c>
      <c r="N319" s="154" t="s">
        <v>36</v>
      </c>
      <c r="O319" s="154" t="s">
        <v>485</v>
      </c>
      <c r="P319" s="154">
        <v>1131</v>
      </c>
      <c r="Q319" s="154" t="s">
        <v>1413</v>
      </c>
      <c r="R319" s="154">
        <v>3</v>
      </c>
      <c r="S319" s="154">
        <v>6</v>
      </c>
      <c r="T319" s="154" t="s">
        <v>1405</v>
      </c>
      <c r="U319" s="154">
        <v>5</v>
      </c>
      <c r="V319" s="155">
        <v>2522021</v>
      </c>
      <c r="W319" s="155">
        <v>0</v>
      </c>
      <c r="X319" s="155" t="s">
        <v>1406</v>
      </c>
      <c r="Y319" s="154"/>
      <c r="Z319" s="154" t="s">
        <v>32</v>
      </c>
      <c r="AA319" s="156">
        <v>45580</v>
      </c>
      <c r="AB319" s="154">
        <v>25</v>
      </c>
      <c r="AC319" s="154">
        <v>22021</v>
      </c>
      <c r="AD319" s="154">
        <v>130</v>
      </c>
      <c r="AE319" s="154" t="s">
        <v>1401</v>
      </c>
      <c r="AF319" s="154">
        <v>130</v>
      </c>
      <c r="AG319" s="154" t="s">
        <v>1402</v>
      </c>
      <c r="AH319" s="154" t="s">
        <v>36</v>
      </c>
      <c r="AI319" s="154" t="s">
        <v>485</v>
      </c>
      <c r="AJ319" s="154">
        <v>1131</v>
      </c>
      <c r="AK319" s="154" t="s">
        <v>1407</v>
      </c>
      <c r="AL319" s="154">
        <v>28970</v>
      </c>
      <c r="AM319" s="154" t="s">
        <v>1421</v>
      </c>
      <c r="AN319" s="154" t="s">
        <v>1521</v>
      </c>
      <c r="AO319" s="154">
        <v>28</v>
      </c>
      <c r="AP319" s="154" t="s">
        <v>1416</v>
      </c>
      <c r="AQ319" s="154">
        <v>0</v>
      </c>
      <c r="AR319" s="154" t="s">
        <v>1410</v>
      </c>
      <c r="AS319" s="154"/>
      <c r="AT319" s="154" t="s">
        <v>1417</v>
      </c>
      <c r="AU319" s="154" t="s">
        <v>1412</v>
      </c>
    </row>
    <row r="320" spans="1:47" x14ac:dyDescent="0.45">
      <c r="A320" s="154">
        <v>2513050027</v>
      </c>
      <c r="B320" s="154">
        <v>130</v>
      </c>
      <c r="C320" s="154" t="s">
        <v>1401</v>
      </c>
      <c r="D320" s="154">
        <v>130</v>
      </c>
      <c r="E320" s="154" t="s">
        <v>1402</v>
      </c>
      <c r="F320" s="154" t="s">
        <v>2208</v>
      </c>
      <c r="G320" s="154" t="s">
        <v>2209</v>
      </c>
      <c r="H320" s="154">
        <v>1</v>
      </c>
      <c r="I320" s="154" t="s">
        <v>2210</v>
      </c>
      <c r="J320" s="154" t="s">
        <v>1403</v>
      </c>
      <c r="K320" s="154">
        <v>2025</v>
      </c>
      <c r="L320" s="155">
        <v>2025</v>
      </c>
      <c r="M320" s="156">
        <v>45552</v>
      </c>
      <c r="N320" s="154" t="s">
        <v>36</v>
      </c>
      <c r="O320" s="154" t="s">
        <v>472</v>
      </c>
      <c r="P320" s="154">
        <v>1043</v>
      </c>
      <c r="Q320" s="154" t="s">
        <v>1404</v>
      </c>
      <c r="R320" s="154">
        <v>2</v>
      </c>
      <c r="S320" s="154">
        <v>6</v>
      </c>
      <c r="T320" s="154" t="s">
        <v>1405</v>
      </c>
      <c r="U320" s="154">
        <v>5</v>
      </c>
      <c r="V320" s="155">
        <v>2522027</v>
      </c>
      <c r="W320" s="155">
        <v>0</v>
      </c>
      <c r="X320" s="155" t="s">
        <v>1406</v>
      </c>
      <c r="Y320" s="154"/>
      <c r="Z320" s="154" t="s">
        <v>32</v>
      </c>
      <c r="AA320" s="156">
        <v>45586</v>
      </c>
      <c r="AB320" s="154">
        <v>25</v>
      </c>
      <c r="AC320" s="154">
        <v>22027</v>
      </c>
      <c r="AD320" s="154">
        <v>130</v>
      </c>
      <c r="AE320" s="154" t="s">
        <v>1401</v>
      </c>
      <c r="AF320" s="154">
        <v>130</v>
      </c>
      <c r="AG320" s="154" t="s">
        <v>1402</v>
      </c>
      <c r="AH320" s="154" t="s">
        <v>36</v>
      </c>
      <c r="AI320" s="154" t="s">
        <v>472</v>
      </c>
      <c r="AJ320" s="154">
        <v>1043</v>
      </c>
      <c r="AK320" s="154" t="s">
        <v>1407</v>
      </c>
      <c r="AL320" s="154">
        <v>28141</v>
      </c>
      <c r="AM320" s="154" t="s">
        <v>1418</v>
      </c>
      <c r="AN320" s="154" t="s">
        <v>1546</v>
      </c>
      <c r="AO320" s="154">
        <v>28</v>
      </c>
      <c r="AP320" s="154" t="s">
        <v>1416</v>
      </c>
      <c r="AQ320" s="154">
        <v>0</v>
      </c>
      <c r="AR320" s="154" t="s">
        <v>1410</v>
      </c>
      <c r="AS320" s="154"/>
      <c r="AT320" s="154" t="s">
        <v>1417</v>
      </c>
      <c r="AU320" s="154" t="s">
        <v>1412</v>
      </c>
    </row>
    <row r="321" spans="1:47" x14ac:dyDescent="0.45">
      <c r="A321" s="154">
        <v>2513050028</v>
      </c>
      <c r="B321" s="154">
        <v>130</v>
      </c>
      <c r="C321" s="154" t="s">
        <v>1401</v>
      </c>
      <c r="D321" s="154">
        <v>130</v>
      </c>
      <c r="E321" s="154" t="s">
        <v>1402</v>
      </c>
      <c r="F321" s="154" t="s">
        <v>2211</v>
      </c>
      <c r="G321" s="154" t="s">
        <v>2212</v>
      </c>
      <c r="H321" s="154">
        <v>1</v>
      </c>
      <c r="I321" s="154" t="s">
        <v>2213</v>
      </c>
      <c r="J321" s="154" t="s">
        <v>1403</v>
      </c>
      <c r="K321" s="154">
        <v>2025</v>
      </c>
      <c r="L321" s="155">
        <v>2025</v>
      </c>
      <c r="M321" s="156">
        <v>45565</v>
      </c>
      <c r="N321" s="154" t="s">
        <v>36</v>
      </c>
      <c r="O321" s="154" t="s">
        <v>501</v>
      </c>
      <c r="P321" s="154">
        <v>1726</v>
      </c>
      <c r="Q321" s="154" t="s">
        <v>1430</v>
      </c>
      <c r="R321" s="154">
        <v>2</v>
      </c>
      <c r="S321" s="154">
        <v>34</v>
      </c>
      <c r="T321" s="154" t="s">
        <v>1431</v>
      </c>
      <c r="U321" s="154">
        <v>12</v>
      </c>
      <c r="V321" s="155">
        <v>2522029</v>
      </c>
      <c r="W321" s="155">
        <v>0</v>
      </c>
      <c r="X321" s="155" t="s">
        <v>1406</v>
      </c>
      <c r="Y321" s="154"/>
      <c r="Z321" s="154" t="s">
        <v>32</v>
      </c>
      <c r="AA321" s="156">
        <v>45588</v>
      </c>
      <c r="AB321" s="154">
        <v>25</v>
      </c>
      <c r="AC321" s="154">
        <v>22029</v>
      </c>
      <c r="AD321" s="154">
        <v>130</v>
      </c>
      <c r="AE321" s="154" t="s">
        <v>1401</v>
      </c>
      <c r="AF321" s="154">
        <v>130</v>
      </c>
      <c r="AG321" s="154" t="s">
        <v>1402</v>
      </c>
      <c r="AH321" s="154" t="s">
        <v>36</v>
      </c>
      <c r="AI321" s="154" t="s">
        <v>501</v>
      </c>
      <c r="AJ321" s="154">
        <v>1726</v>
      </c>
      <c r="AK321" s="154" t="s">
        <v>1407</v>
      </c>
      <c r="AL321" s="154">
        <v>28174</v>
      </c>
      <c r="AM321" s="154" t="s">
        <v>1418</v>
      </c>
      <c r="AN321" s="154" t="s">
        <v>1543</v>
      </c>
      <c r="AO321" s="154">
        <v>28</v>
      </c>
      <c r="AP321" s="154" t="s">
        <v>1416</v>
      </c>
      <c r="AQ321" s="154">
        <v>0</v>
      </c>
      <c r="AR321" s="154" t="s">
        <v>1410</v>
      </c>
      <c r="AS321" s="154"/>
      <c r="AT321" s="154" t="s">
        <v>1417</v>
      </c>
      <c r="AU321" s="154" t="s">
        <v>1412</v>
      </c>
    </row>
    <row r="322" spans="1:47" x14ac:dyDescent="0.45">
      <c r="A322" s="154">
        <v>2513050029</v>
      </c>
      <c r="B322" s="154">
        <v>130</v>
      </c>
      <c r="C322" s="154" t="s">
        <v>1401</v>
      </c>
      <c r="D322" s="154">
        <v>130</v>
      </c>
      <c r="E322" s="154" t="s">
        <v>1402</v>
      </c>
      <c r="F322" s="154" t="s">
        <v>2214</v>
      </c>
      <c r="G322" s="154" t="s">
        <v>2215</v>
      </c>
      <c r="H322" s="154">
        <v>1</v>
      </c>
      <c r="I322" s="154" t="s">
        <v>2216</v>
      </c>
      <c r="J322" s="154" t="s">
        <v>1403</v>
      </c>
      <c r="K322" s="154">
        <v>2025</v>
      </c>
      <c r="L322" s="155">
        <v>2025</v>
      </c>
      <c r="M322" s="156">
        <v>45552</v>
      </c>
      <c r="N322" s="154" t="s">
        <v>36</v>
      </c>
      <c r="O322" s="154" t="s">
        <v>501</v>
      </c>
      <c r="P322" s="154">
        <v>1726</v>
      </c>
      <c r="Q322" s="154" t="s">
        <v>1430</v>
      </c>
      <c r="R322" s="154">
        <v>2</v>
      </c>
      <c r="S322" s="154">
        <v>34</v>
      </c>
      <c r="T322" s="154" t="s">
        <v>1431</v>
      </c>
      <c r="U322" s="154">
        <v>12</v>
      </c>
      <c r="V322" s="155">
        <v>2522043</v>
      </c>
      <c r="W322" s="155">
        <v>0</v>
      </c>
      <c r="X322" s="155" t="s">
        <v>1406</v>
      </c>
      <c r="Y322" s="154"/>
      <c r="Z322" s="154" t="s">
        <v>32</v>
      </c>
      <c r="AA322" s="156">
        <v>45667</v>
      </c>
      <c r="AB322" s="154">
        <v>25</v>
      </c>
      <c r="AC322" s="154">
        <v>22043</v>
      </c>
      <c r="AD322" s="154">
        <v>130</v>
      </c>
      <c r="AE322" s="154" t="s">
        <v>1401</v>
      </c>
      <c r="AF322" s="154">
        <v>130</v>
      </c>
      <c r="AG322" s="154" t="s">
        <v>1402</v>
      </c>
      <c r="AH322" s="154" t="s">
        <v>36</v>
      </c>
      <c r="AI322" s="154" t="s">
        <v>501</v>
      </c>
      <c r="AJ322" s="154">
        <v>1726</v>
      </c>
      <c r="AK322" s="154" t="s">
        <v>1407</v>
      </c>
      <c r="AL322" s="154">
        <v>28120</v>
      </c>
      <c r="AM322" s="154" t="s">
        <v>1418</v>
      </c>
      <c r="AN322" s="154" t="s">
        <v>1593</v>
      </c>
      <c r="AO322" s="154">
        <v>28</v>
      </c>
      <c r="AP322" s="154" t="s">
        <v>1416</v>
      </c>
      <c r="AQ322" s="154">
        <v>0</v>
      </c>
      <c r="AR322" s="154" t="s">
        <v>1410</v>
      </c>
      <c r="AS322" s="154"/>
      <c r="AT322" s="154" t="s">
        <v>1417</v>
      </c>
      <c r="AU322" s="154" t="s">
        <v>1412</v>
      </c>
    </row>
    <row r="323" spans="1:47" x14ac:dyDescent="0.45">
      <c r="A323" s="154">
        <v>2513050030</v>
      </c>
      <c r="B323" s="154">
        <v>130</v>
      </c>
      <c r="C323" s="154" t="s">
        <v>1401</v>
      </c>
      <c r="D323" s="154">
        <v>130</v>
      </c>
      <c r="E323" s="154" t="s">
        <v>1402</v>
      </c>
      <c r="F323" s="154" t="s">
        <v>2217</v>
      </c>
      <c r="G323" s="154" t="s">
        <v>2218</v>
      </c>
      <c r="H323" s="154">
        <v>1</v>
      </c>
      <c r="I323" s="154" t="s">
        <v>516</v>
      </c>
      <c r="J323" s="154" t="s">
        <v>1403</v>
      </c>
      <c r="K323" s="154">
        <v>2025</v>
      </c>
      <c r="L323" s="155">
        <v>2025</v>
      </c>
      <c r="M323" s="156">
        <v>45565</v>
      </c>
      <c r="N323" s="154" t="s">
        <v>36</v>
      </c>
      <c r="O323" s="154" t="s">
        <v>472</v>
      </c>
      <c r="P323" s="154">
        <v>1043</v>
      </c>
      <c r="Q323" s="154" t="s">
        <v>1404</v>
      </c>
      <c r="R323" s="154">
        <v>2</v>
      </c>
      <c r="S323" s="154">
        <v>6</v>
      </c>
      <c r="T323" s="154" t="s">
        <v>1405</v>
      </c>
      <c r="U323" s="154">
        <v>5</v>
      </c>
      <c r="V323" s="155">
        <v>2522031</v>
      </c>
      <c r="W323" s="155">
        <v>0</v>
      </c>
      <c r="X323" s="155" t="s">
        <v>1406</v>
      </c>
      <c r="Y323" s="154"/>
      <c r="Z323" s="154" t="s">
        <v>32</v>
      </c>
      <c r="AA323" s="156">
        <v>45595</v>
      </c>
      <c r="AB323" s="154">
        <v>25</v>
      </c>
      <c r="AC323" s="154">
        <v>22031</v>
      </c>
      <c r="AD323" s="154">
        <v>130</v>
      </c>
      <c r="AE323" s="154" t="s">
        <v>1401</v>
      </c>
      <c r="AF323" s="154">
        <v>130</v>
      </c>
      <c r="AG323" s="154" t="s">
        <v>1402</v>
      </c>
      <c r="AH323" s="154" t="s">
        <v>36</v>
      </c>
      <c r="AI323" s="154" t="s">
        <v>472</v>
      </c>
      <c r="AJ323" s="154">
        <v>1043</v>
      </c>
      <c r="AK323" s="154" t="s">
        <v>1407</v>
      </c>
      <c r="AL323" s="154">
        <v>28095</v>
      </c>
      <c r="AM323" s="154" t="s">
        <v>1421</v>
      </c>
      <c r="AN323" s="154" t="s">
        <v>1435</v>
      </c>
      <c r="AO323" s="154">
        <v>28</v>
      </c>
      <c r="AP323" s="154" t="s">
        <v>1416</v>
      </c>
      <c r="AQ323" s="154">
        <v>0</v>
      </c>
      <c r="AR323" s="154" t="s">
        <v>1410</v>
      </c>
      <c r="AS323" s="154"/>
      <c r="AT323" s="154" t="s">
        <v>1417</v>
      </c>
      <c r="AU323" s="154" t="s">
        <v>1412</v>
      </c>
    </row>
    <row r="324" spans="1:47" x14ac:dyDescent="0.45">
      <c r="A324" s="154">
        <v>2513050031</v>
      </c>
      <c r="B324" s="154">
        <v>130</v>
      </c>
      <c r="C324" s="154" t="s">
        <v>1401</v>
      </c>
      <c r="D324" s="154">
        <v>130</v>
      </c>
      <c r="E324" s="154" t="s">
        <v>1402</v>
      </c>
      <c r="F324" s="154" t="s">
        <v>2219</v>
      </c>
      <c r="G324" s="154" t="s">
        <v>2220</v>
      </c>
      <c r="H324" s="154">
        <v>1</v>
      </c>
      <c r="I324" s="154" t="s">
        <v>2221</v>
      </c>
      <c r="J324" s="154" t="s">
        <v>1403</v>
      </c>
      <c r="K324" s="154">
        <v>2025</v>
      </c>
      <c r="L324" s="155">
        <v>2025</v>
      </c>
      <c r="M324" s="156">
        <v>45539</v>
      </c>
      <c r="N324" s="154" t="s">
        <v>36</v>
      </c>
      <c r="O324" s="154" t="s">
        <v>472</v>
      </c>
      <c r="P324" s="154">
        <v>1043</v>
      </c>
      <c r="Q324" s="154" t="s">
        <v>1404</v>
      </c>
      <c r="R324" s="154">
        <v>2</v>
      </c>
      <c r="S324" s="154">
        <v>6</v>
      </c>
      <c r="T324" s="154" t="s">
        <v>1405</v>
      </c>
      <c r="U324" s="154">
        <v>5</v>
      </c>
      <c r="V324" s="155">
        <v>2522004</v>
      </c>
      <c r="W324" s="155">
        <v>0</v>
      </c>
      <c r="X324" s="155" t="s">
        <v>1406</v>
      </c>
      <c r="Y324" s="154"/>
      <c r="Z324" s="154" t="s">
        <v>32</v>
      </c>
      <c r="AA324" s="156">
        <v>45568</v>
      </c>
      <c r="AB324" s="154">
        <v>25</v>
      </c>
      <c r="AC324" s="154">
        <v>22004</v>
      </c>
      <c r="AD324" s="154">
        <v>130</v>
      </c>
      <c r="AE324" s="154" t="s">
        <v>1401</v>
      </c>
      <c r="AF324" s="154">
        <v>130</v>
      </c>
      <c r="AG324" s="154" t="s">
        <v>1402</v>
      </c>
      <c r="AH324" s="154" t="s">
        <v>36</v>
      </c>
      <c r="AI324" s="154" t="s">
        <v>472</v>
      </c>
      <c r="AJ324" s="154">
        <v>1043</v>
      </c>
      <c r="AK324" s="154" t="s">
        <v>1407</v>
      </c>
      <c r="AL324" s="154">
        <v>28173</v>
      </c>
      <c r="AM324" s="154" t="s">
        <v>1418</v>
      </c>
      <c r="AN324" s="154" t="s">
        <v>1456</v>
      </c>
      <c r="AO324" s="154">
        <v>28</v>
      </c>
      <c r="AP324" s="154" t="s">
        <v>1416</v>
      </c>
      <c r="AQ324" s="154">
        <v>0</v>
      </c>
      <c r="AR324" s="154" t="s">
        <v>1410</v>
      </c>
      <c r="AS324" s="154"/>
      <c r="AT324" s="154" t="s">
        <v>1417</v>
      </c>
      <c r="AU324" s="154" t="s">
        <v>1412</v>
      </c>
    </row>
    <row r="325" spans="1:47" x14ac:dyDescent="0.45">
      <c r="A325" s="154">
        <v>2513050032</v>
      </c>
      <c r="B325" s="154">
        <v>130</v>
      </c>
      <c r="C325" s="154" t="s">
        <v>1401</v>
      </c>
      <c r="D325" s="154">
        <v>130</v>
      </c>
      <c r="E325" s="154" t="s">
        <v>1402</v>
      </c>
      <c r="F325" s="154" t="s">
        <v>2223</v>
      </c>
      <c r="G325" s="154" t="s">
        <v>2224</v>
      </c>
      <c r="H325" s="154">
        <v>1</v>
      </c>
      <c r="I325" s="154" t="s">
        <v>2225</v>
      </c>
      <c r="J325" s="154" t="s">
        <v>1403</v>
      </c>
      <c r="K325" s="154">
        <v>2025</v>
      </c>
      <c r="L325" s="155">
        <v>2025</v>
      </c>
      <c r="M325" s="156">
        <v>45588</v>
      </c>
      <c r="N325" s="154" t="s">
        <v>36</v>
      </c>
      <c r="O325" s="154" t="s">
        <v>472</v>
      </c>
      <c r="P325" s="154">
        <v>1043</v>
      </c>
      <c r="Q325" s="154" t="s">
        <v>1404</v>
      </c>
      <c r="R325" s="154">
        <v>2</v>
      </c>
      <c r="S325" s="154">
        <v>6</v>
      </c>
      <c r="T325" s="154" t="s">
        <v>1405</v>
      </c>
      <c r="U325" s="154">
        <v>5</v>
      </c>
      <c r="V325" s="155">
        <v>2522032</v>
      </c>
      <c r="W325" s="155">
        <v>0</v>
      </c>
      <c r="X325" s="155" t="s">
        <v>1406</v>
      </c>
      <c r="Y325" s="154"/>
      <c r="Z325" s="154" t="s">
        <v>32</v>
      </c>
      <c r="AA325" s="156">
        <v>45602</v>
      </c>
      <c r="AB325" s="154">
        <v>25</v>
      </c>
      <c r="AC325" s="154">
        <v>22032</v>
      </c>
      <c r="AD325" s="154">
        <v>130</v>
      </c>
      <c r="AE325" s="154" t="s">
        <v>1401</v>
      </c>
      <c r="AF325" s="154">
        <v>130</v>
      </c>
      <c r="AG325" s="154" t="s">
        <v>1402</v>
      </c>
      <c r="AH325" s="154" t="s">
        <v>36</v>
      </c>
      <c r="AI325" s="154" t="s">
        <v>472</v>
      </c>
      <c r="AJ325" s="154">
        <v>1043</v>
      </c>
      <c r="AK325" s="154" t="s">
        <v>1407</v>
      </c>
      <c r="AL325" s="154">
        <v>33136</v>
      </c>
      <c r="AM325" s="154" t="s">
        <v>1421</v>
      </c>
      <c r="AN325" s="154" t="s">
        <v>2829</v>
      </c>
      <c r="AO325" s="154">
        <v>33</v>
      </c>
      <c r="AP325" s="154" t="s">
        <v>1427</v>
      </c>
      <c r="AQ325" s="154">
        <v>0</v>
      </c>
      <c r="AR325" s="154" t="s">
        <v>1410</v>
      </c>
      <c r="AS325" s="154"/>
      <c r="AT325" s="154" t="s">
        <v>1417</v>
      </c>
      <c r="AU325" s="154" t="s">
        <v>1412</v>
      </c>
    </row>
    <row r="326" spans="1:47" x14ac:dyDescent="0.45">
      <c r="A326" s="154">
        <v>2513050034</v>
      </c>
      <c r="B326" s="154">
        <v>130</v>
      </c>
      <c r="C326" s="154" t="s">
        <v>1401</v>
      </c>
      <c r="D326" s="154">
        <v>130</v>
      </c>
      <c r="E326" s="154" t="s">
        <v>1402</v>
      </c>
      <c r="F326" s="154" t="s">
        <v>2229</v>
      </c>
      <c r="G326" s="154" t="s">
        <v>2230</v>
      </c>
      <c r="H326" s="154">
        <v>1</v>
      </c>
      <c r="I326" s="154" t="s">
        <v>1713</v>
      </c>
      <c r="J326" s="154" t="s">
        <v>1403</v>
      </c>
      <c r="K326" s="154">
        <v>2025</v>
      </c>
      <c r="L326" s="155">
        <v>2025</v>
      </c>
      <c r="M326" s="156">
        <v>45537</v>
      </c>
      <c r="N326" s="154" t="s">
        <v>36</v>
      </c>
      <c r="O326" s="154" t="s">
        <v>472</v>
      </c>
      <c r="P326" s="154">
        <v>1043</v>
      </c>
      <c r="Q326" s="154" t="s">
        <v>1404</v>
      </c>
      <c r="R326" s="154">
        <v>2</v>
      </c>
      <c r="S326" s="154">
        <v>6</v>
      </c>
      <c r="T326" s="154" t="s">
        <v>1405</v>
      </c>
      <c r="U326" s="154">
        <v>5</v>
      </c>
      <c r="V326" s="155">
        <v>2522005</v>
      </c>
      <c r="W326" s="155">
        <v>0</v>
      </c>
      <c r="X326" s="155" t="s">
        <v>1406</v>
      </c>
      <c r="Y326" s="154"/>
      <c r="Z326" s="154" t="s">
        <v>32</v>
      </c>
      <c r="AA326" s="156">
        <v>45568</v>
      </c>
      <c r="AB326" s="154">
        <v>25</v>
      </c>
      <c r="AC326" s="154">
        <v>22005</v>
      </c>
      <c r="AD326" s="154">
        <v>130</v>
      </c>
      <c r="AE326" s="154" t="s">
        <v>1401</v>
      </c>
      <c r="AF326" s="154">
        <v>130</v>
      </c>
      <c r="AG326" s="154" t="s">
        <v>1402</v>
      </c>
      <c r="AH326" s="154" t="s">
        <v>36</v>
      </c>
      <c r="AI326" s="154" t="s">
        <v>472</v>
      </c>
      <c r="AJ326" s="154">
        <v>1043</v>
      </c>
      <c r="AK326" s="154" t="s">
        <v>1407</v>
      </c>
      <c r="AL326" s="154">
        <v>28107</v>
      </c>
      <c r="AM326" s="154" t="s">
        <v>1418</v>
      </c>
      <c r="AN326" s="154" t="s">
        <v>1484</v>
      </c>
      <c r="AO326" s="154">
        <v>28</v>
      </c>
      <c r="AP326" s="154" t="s">
        <v>1416</v>
      </c>
      <c r="AQ326" s="154">
        <v>0</v>
      </c>
      <c r="AR326" s="154" t="s">
        <v>1410</v>
      </c>
      <c r="AS326" s="154"/>
      <c r="AT326" s="154" t="s">
        <v>1417</v>
      </c>
      <c r="AU326" s="154" t="s">
        <v>1412</v>
      </c>
    </row>
    <row r="327" spans="1:47" x14ac:dyDescent="0.45">
      <c r="A327" s="154">
        <v>2513050035</v>
      </c>
      <c r="B327" s="154">
        <v>130</v>
      </c>
      <c r="C327" s="154" t="s">
        <v>1401</v>
      </c>
      <c r="D327" s="154">
        <v>130</v>
      </c>
      <c r="E327" s="154" t="s">
        <v>1402</v>
      </c>
      <c r="F327" s="154" t="s">
        <v>2232</v>
      </c>
      <c r="G327" s="154" t="s">
        <v>2233</v>
      </c>
      <c r="H327" s="154">
        <v>1</v>
      </c>
      <c r="I327" s="154" t="s">
        <v>2234</v>
      </c>
      <c r="J327" s="154" t="s">
        <v>1403</v>
      </c>
      <c r="K327" s="154">
        <v>2025</v>
      </c>
      <c r="L327" s="155">
        <v>2025</v>
      </c>
      <c r="M327" s="156">
        <v>45559</v>
      </c>
      <c r="N327" s="154" t="s">
        <v>36</v>
      </c>
      <c r="O327" s="154" t="s">
        <v>472</v>
      </c>
      <c r="P327" s="154">
        <v>1043</v>
      </c>
      <c r="Q327" s="154" t="s">
        <v>1404</v>
      </c>
      <c r="R327" s="154">
        <v>2</v>
      </c>
      <c r="S327" s="154">
        <v>6</v>
      </c>
      <c r="T327" s="154" t="s">
        <v>1405</v>
      </c>
      <c r="U327" s="154">
        <v>5</v>
      </c>
      <c r="V327" s="155">
        <v>2522017</v>
      </c>
      <c r="W327" s="155">
        <v>0</v>
      </c>
      <c r="X327" s="155" t="s">
        <v>1406</v>
      </c>
      <c r="Y327" s="154"/>
      <c r="Z327" s="154" t="s">
        <v>32</v>
      </c>
      <c r="AA327" s="156">
        <v>45576</v>
      </c>
      <c r="AB327" s="154">
        <v>25</v>
      </c>
      <c r="AC327" s="154">
        <v>22017</v>
      </c>
      <c r="AD327" s="154">
        <v>130</v>
      </c>
      <c r="AE327" s="154" t="s">
        <v>1401</v>
      </c>
      <c r="AF327" s="154">
        <v>130</v>
      </c>
      <c r="AG327" s="154" t="s">
        <v>1402</v>
      </c>
      <c r="AH327" s="154" t="s">
        <v>36</v>
      </c>
      <c r="AI327" s="154" t="s">
        <v>472</v>
      </c>
      <c r="AJ327" s="154">
        <v>1043</v>
      </c>
      <c r="AK327" s="154" t="s">
        <v>1407</v>
      </c>
      <c r="AL327" s="154">
        <v>28221</v>
      </c>
      <c r="AM327" s="154" t="s">
        <v>1418</v>
      </c>
      <c r="AN327" s="154" t="s">
        <v>2830</v>
      </c>
      <c r="AO327" s="154">
        <v>28</v>
      </c>
      <c r="AP327" s="154" t="s">
        <v>1416</v>
      </c>
      <c r="AQ327" s="154">
        <v>0</v>
      </c>
      <c r="AR327" s="154" t="s">
        <v>1410</v>
      </c>
      <c r="AS327" s="154"/>
      <c r="AT327" s="154" t="s">
        <v>1417</v>
      </c>
      <c r="AU327" s="154" t="s">
        <v>1412</v>
      </c>
    </row>
    <row r="328" spans="1:47" x14ac:dyDescent="0.45">
      <c r="A328" s="154">
        <v>2513050036</v>
      </c>
      <c r="B328" s="154">
        <v>130</v>
      </c>
      <c r="C328" s="154" t="s">
        <v>1401</v>
      </c>
      <c r="D328" s="154">
        <v>130</v>
      </c>
      <c r="E328" s="154" t="s">
        <v>1402</v>
      </c>
      <c r="F328" s="154" t="s">
        <v>2235</v>
      </c>
      <c r="G328" s="154" t="s">
        <v>2236</v>
      </c>
      <c r="H328" s="154">
        <v>1</v>
      </c>
      <c r="I328" s="154" t="s">
        <v>2237</v>
      </c>
      <c r="J328" s="154" t="s">
        <v>1403</v>
      </c>
      <c r="K328" s="154">
        <v>2025</v>
      </c>
      <c r="L328" s="155">
        <v>2025</v>
      </c>
      <c r="M328" s="156">
        <v>45544</v>
      </c>
      <c r="N328" s="154" t="s">
        <v>36</v>
      </c>
      <c r="O328" s="154" t="s">
        <v>501</v>
      </c>
      <c r="P328" s="154">
        <v>1726</v>
      </c>
      <c r="Q328" s="154" t="s">
        <v>1430</v>
      </c>
      <c r="R328" s="154">
        <v>2</v>
      </c>
      <c r="S328" s="154">
        <v>34</v>
      </c>
      <c r="T328" s="154" t="s">
        <v>1431</v>
      </c>
      <c r="U328" s="154">
        <v>12</v>
      </c>
      <c r="V328" s="155">
        <v>2522007</v>
      </c>
      <c r="W328" s="155">
        <v>0</v>
      </c>
      <c r="X328" s="155" t="s">
        <v>1406</v>
      </c>
      <c r="Y328" s="154"/>
      <c r="Z328" s="154" t="s">
        <v>32</v>
      </c>
      <c r="AA328" s="156">
        <v>45574</v>
      </c>
      <c r="AB328" s="154">
        <v>25</v>
      </c>
      <c r="AC328" s="154">
        <v>22007</v>
      </c>
      <c r="AD328" s="154">
        <v>130</v>
      </c>
      <c r="AE328" s="154" t="s">
        <v>1401</v>
      </c>
      <c r="AF328" s="154">
        <v>130</v>
      </c>
      <c r="AG328" s="154" t="s">
        <v>1402</v>
      </c>
      <c r="AH328" s="154" t="s">
        <v>36</v>
      </c>
      <c r="AI328" s="154" t="s">
        <v>501</v>
      </c>
      <c r="AJ328" s="154">
        <v>1726</v>
      </c>
      <c r="AK328" s="154" t="s">
        <v>1407</v>
      </c>
      <c r="AL328" s="154">
        <v>28029</v>
      </c>
      <c r="AM328" s="154" t="s">
        <v>1421</v>
      </c>
      <c r="AN328" s="154" t="s">
        <v>1441</v>
      </c>
      <c r="AO328" s="154">
        <v>28</v>
      </c>
      <c r="AP328" s="154" t="s">
        <v>1416</v>
      </c>
      <c r="AQ328" s="154">
        <v>0</v>
      </c>
      <c r="AR328" s="154" t="s">
        <v>1410</v>
      </c>
      <c r="AS328" s="154"/>
      <c r="AT328" s="154" t="s">
        <v>1417</v>
      </c>
      <c r="AU328" s="154" t="s">
        <v>1412</v>
      </c>
    </row>
    <row r="329" spans="1:47" x14ac:dyDescent="0.45">
      <c r="A329" s="154">
        <v>2513050037</v>
      </c>
      <c r="B329" s="154">
        <v>130</v>
      </c>
      <c r="C329" s="154" t="s">
        <v>1401</v>
      </c>
      <c r="D329" s="154">
        <v>130</v>
      </c>
      <c r="E329" s="154" t="s">
        <v>1402</v>
      </c>
      <c r="F329" s="154" t="s">
        <v>2238</v>
      </c>
      <c r="G329" s="154" t="s">
        <v>2239</v>
      </c>
      <c r="H329" s="154">
        <v>1</v>
      </c>
      <c r="I329" s="154" t="s">
        <v>1362</v>
      </c>
      <c r="J329" s="154" t="s">
        <v>1403</v>
      </c>
      <c r="K329" s="154">
        <v>2025</v>
      </c>
      <c r="L329" s="155">
        <v>2025</v>
      </c>
      <c r="M329" s="156">
        <v>45537</v>
      </c>
      <c r="N329" s="154" t="s">
        <v>36</v>
      </c>
      <c r="O329" s="154" t="s">
        <v>472</v>
      </c>
      <c r="P329" s="154">
        <v>1043</v>
      </c>
      <c r="Q329" s="154" t="s">
        <v>1404</v>
      </c>
      <c r="R329" s="154">
        <v>2</v>
      </c>
      <c r="S329" s="154">
        <v>6</v>
      </c>
      <c r="T329" s="154" t="s">
        <v>1405</v>
      </c>
      <c r="U329" s="154">
        <v>5</v>
      </c>
      <c r="V329" s="155">
        <v>2522008</v>
      </c>
      <c r="W329" s="155">
        <v>0</v>
      </c>
      <c r="X329" s="155" t="s">
        <v>1406</v>
      </c>
      <c r="Y329" s="154"/>
      <c r="Z329" s="154" t="s">
        <v>32</v>
      </c>
      <c r="AA329" s="156">
        <v>45574</v>
      </c>
      <c r="AB329" s="154">
        <v>25</v>
      </c>
      <c r="AC329" s="154">
        <v>22008</v>
      </c>
      <c r="AD329" s="154">
        <v>130</v>
      </c>
      <c r="AE329" s="154" t="s">
        <v>1401</v>
      </c>
      <c r="AF329" s="154">
        <v>130</v>
      </c>
      <c r="AG329" s="154" t="s">
        <v>1402</v>
      </c>
      <c r="AH329" s="154" t="s">
        <v>36</v>
      </c>
      <c r="AI329" s="154" t="s">
        <v>472</v>
      </c>
      <c r="AJ329" s="154">
        <v>1043</v>
      </c>
      <c r="AK329" s="154" t="s">
        <v>1407</v>
      </c>
      <c r="AL329" s="154">
        <v>28168</v>
      </c>
      <c r="AM329" s="154" t="s">
        <v>1418</v>
      </c>
      <c r="AN329" s="154" t="s">
        <v>1475</v>
      </c>
      <c r="AO329" s="154">
        <v>28</v>
      </c>
      <c r="AP329" s="154" t="s">
        <v>1416</v>
      </c>
      <c r="AQ329" s="154">
        <v>0</v>
      </c>
      <c r="AR329" s="154" t="s">
        <v>1410</v>
      </c>
      <c r="AS329" s="154"/>
      <c r="AT329" s="154" t="s">
        <v>1417</v>
      </c>
      <c r="AU329" s="154" t="s">
        <v>1412</v>
      </c>
    </row>
    <row r="330" spans="1:47" x14ac:dyDescent="0.45">
      <c r="A330" s="154">
        <v>2513050038</v>
      </c>
      <c r="B330" s="154">
        <v>130</v>
      </c>
      <c r="C330" s="154" t="s">
        <v>1401</v>
      </c>
      <c r="D330" s="154">
        <v>130</v>
      </c>
      <c r="E330" s="154" t="s">
        <v>1402</v>
      </c>
      <c r="F330" s="154" t="s">
        <v>2240</v>
      </c>
      <c r="G330" s="154" t="s">
        <v>2241</v>
      </c>
      <c r="H330" s="154">
        <v>1</v>
      </c>
      <c r="I330" s="154" t="s">
        <v>2242</v>
      </c>
      <c r="J330" s="154" t="s">
        <v>1403</v>
      </c>
      <c r="K330" s="154">
        <v>2025</v>
      </c>
      <c r="L330" s="155">
        <v>2025</v>
      </c>
      <c r="M330" s="156">
        <v>45537</v>
      </c>
      <c r="N330" s="154" t="s">
        <v>36</v>
      </c>
      <c r="O330" s="154" t="s">
        <v>472</v>
      </c>
      <c r="P330" s="154">
        <v>1043</v>
      </c>
      <c r="Q330" s="154" t="s">
        <v>1404</v>
      </c>
      <c r="R330" s="154">
        <v>2</v>
      </c>
      <c r="S330" s="154">
        <v>6</v>
      </c>
      <c r="T330" s="154" t="s">
        <v>1405</v>
      </c>
      <c r="U330" s="154">
        <v>5</v>
      </c>
      <c r="V330" s="155">
        <v>2522030</v>
      </c>
      <c r="W330" s="155">
        <v>0</v>
      </c>
      <c r="X330" s="155" t="s">
        <v>1406</v>
      </c>
      <c r="Y330" s="154"/>
      <c r="Z330" s="154" t="s">
        <v>32</v>
      </c>
      <c r="AA330" s="156">
        <v>45594</v>
      </c>
      <c r="AB330" s="154">
        <v>25</v>
      </c>
      <c r="AC330" s="154">
        <v>22030</v>
      </c>
      <c r="AD330" s="154">
        <v>130</v>
      </c>
      <c r="AE330" s="154" t="s">
        <v>1401</v>
      </c>
      <c r="AF330" s="154">
        <v>130</v>
      </c>
      <c r="AG330" s="154" t="s">
        <v>1402</v>
      </c>
      <c r="AH330" s="154" t="s">
        <v>36</v>
      </c>
      <c r="AI330" s="154" t="s">
        <v>472</v>
      </c>
      <c r="AJ330" s="154">
        <v>1043</v>
      </c>
      <c r="AK330" s="154" t="s">
        <v>1407</v>
      </c>
      <c r="AL330" s="154">
        <v>28168</v>
      </c>
      <c r="AM330" s="154" t="s">
        <v>1418</v>
      </c>
      <c r="AN330" s="154" t="s">
        <v>1475</v>
      </c>
      <c r="AO330" s="154">
        <v>28</v>
      </c>
      <c r="AP330" s="154" t="s">
        <v>1416</v>
      </c>
      <c r="AQ330" s="154">
        <v>0</v>
      </c>
      <c r="AR330" s="154" t="s">
        <v>1410</v>
      </c>
      <c r="AS330" s="154"/>
      <c r="AT330" s="154" t="s">
        <v>1417</v>
      </c>
      <c r="AU330" s="154" t="s">
        <v>1412</v>
      </c>
    </row>
    <row r="331" spans="1:47" x14ac:dyDescent="0.45">
      <c r="A331" s="154">
        <v>2513050039</v>
      </c>
      <c r="B331" s="154">
        <v>130</v>
      </c>
      <c r="C331" s="154" t="s">
        <v>1401</v>
      </c>
      <c r="D331" s="154">
        <v>130</v>
      </c>
      <c r="E331" s="154" t="s">
        <v>1402</v>
      </c>
      <c r="F331" s="154" t="s">
        <v>2243</v>
      </c>
      <c r="G331" s="154" t="s">
        <v>2244</v>
      </c>
      <c r="H331" s="154">
        <v>2</v>
      </c>
      <c r="I331" s="154" t="s">
        <v>2245</v>
      </c>
      <c r="J331" s="154" t="s">
        <v>1403</v>
      </c>
      <c r="K331" s="154">
        <v>2025</v>
      </c>
      <c r="L331" s="155">
        <v>2025</v>
      </c>
      <c r="M331" s="156">
        <v>45552</v>
      </c>
      <c r="N331" s="154" t="s">
        <v>36</v>
      </c>
      <c r="O331" s="154" t="s">
        <v>472</v>
      </c>
      <c r="P331" s="154">
        <v>1043</v>
      </c>
      <c r="Q331" s="154" t="s">
        <v>1404</v>
      </c>
      <c r="R331" s="154">
        <v>2</v>
      </c>
      <c r="S331" s="154">
        <v>6</v>
      </c>
      <c r="T331" s="154" t="s">
        <v>1405</v>
      </c>
      <c r="U331" s="154">
        <v>5</v>
      </c>
      <c r="V331" s="155">
        <v>0</v>
      </c>
      <c r="W331" s="155">
        <v>0</v>
      </c>
      <c r="X331" s="155" t="s">
        <v>1406</v>
      </c>
      <c r="Y331" s="156">
        <v>45671</v>
      </c>
      <c r="Z331" s="154" t="s">
        <v>32</v>
      </c>
      <c r="AA331" s="154"/>
      <c r="AB331" s="154">
        <v>0</v>
      </c>
      <c r="AC331" s="154">
        <v>0</v>
      </c>
      <c r="AD331" s="154">
        <v>0</v>
      </c>
      <c r="AE331" s="154" t="s">
        <v>1446</v>
      </c>
      <c r="AF331" s="154"/>
      <c r="AG331" s="154" t="s">
        <v>1446</v>
      </c>
      <c r="AH331" s="154"/>
      <c r="AI331" s="154"/>
      <c r="AJ331" s="154">
        <v>0</v>
      </c>
      <c r="AK331" s="154" t="s">
        <v>1410</v>
      </c>
      <c r="AL331" s="154">
        <v>28126</v>
      </c>
      <c r="AM331" s="154" t="s">
        <v>1418</v>
      </c>
      <c r="AN331" s="154" t="s">
        <v>1458</v>
      </c>
      <c r="AO331" s="154">
        <v>28</v>
      </c>
      <c r="AP331" s="154" t="s">
        <v>1416</v>
      </c>
      <c r="AQ331" s="154">
        <v>0</v>
      </c>
      <c r="AR331" s="154" t="s">
        <v>1410</v>
      </c>
      <c r="AS331" s="154"/>
      <c r="AT331" s="154" t="s">
        <v>1417</v>
      </c>
      <c r="AU331" s="154" t="s">
        <v>1412</v>
      </c>
    </row>
    <row r="332" spans="1:47" x14ac:dyDescent="0.45">
      <c r="A332" s="154">
        <v>2513050040</v>
      </c>
      <c r="B332" s="154">
        <v>130</v>
      </c>
      <c r="C332" s="154" t="s">
        <v>1401</v>
      </c>
      <c r="D332" s="154">
        <v>130</v>
      </c>
      <c r="E332" s="154" t="s">
        <v>1402</v>
      </c>
      <c r="F332" s="154" t="s">
        <v>2246</v>
      </c>
      <c r="G332" s="154" t="s">
        <v>2247</v>
      </c>
      <c r="H332" s="154">
        <v>1</v>
      </c>
      <c r="I332" s="154" t="s">
        <v>2213</v>
      </c>
      <c r="J332" s="154" t="s">
        <v>1403</v>
      </c>
      <c r="K332" s="154">
        <v>2025</v>
      </c>
      <c r="L332" s="155">
        <v>2025</v>
      </c>
      <c r="M332" s="156">
        <v>45565</v>
      </c>
      <c r="N332" s="154" t="s">
        <v>36</v>
      </c>
      <c r="O332" s="154" t="s">
        <v>501</v>
      </c>
      <c r="P332" s="154">
        <v>1726</v>
      </c>
      <c r="Q332" s="154" t="s">
        <v>1430</v>
      </c>
      <c r="R332" s="154">
        <v>2</v>
      </c>
      <c r="S332" s="154">
        <v>34</v>
      </c>
      <c r="T332" s="154" t="s">
        <v>1431</v>
      </c>
      <c r="U332" s="154">
        <v>12</v>
      </c>
      <c r="V332" s="155">
        <v>2522050</v>
      </c>
      <c r="W332" s="155">
        <v>0</v>
      </c>
      <c r="X332" s="155" t="s">
        <v>1406</v>
      </c>
      <c r="Y332" s="154"/>
      <c r="Z332" s="154" t="s">
        <v>32</v>
      </c>
      <c r="AA332" s="156">
        <v>45686</v>
      </c>
      <c r="AB332" s="154">
        <v>25</v>
      </c>
      <c r="AC332" s="154">
        <v>22050</v>
      </c>
      <c r="AD332" s="154">
        <v>130</v>
      </c>
      <c r="AE332" s="154" t="s">
        <v>1401</v>
      </c>
      <c r="AF332" s="154">
        <v>130</v>
      </c>
      <c r="AG332" s="154" t="s">
        <v>1402</v>
      </c>
      <c r="AH332" s="154" t="s">
        <v>36</v>
      </c>
      <c r="AI332" s="154" t="s">
        <v>501</v>
      </c>
      <c r="AJ332" s="154">
        <v>1726</v>
      </c>
      <c r="AK332" s="154" t="s">
        <v>1407</v>
      </c>
      <c r="AL332" s="154">
        <v>28174</v>
      </c>
      <c r="AM332" s="154" t="s">
        <v>1418</v>
      </c>
      <c r="AN332" s="154" t="s">
        <v>1543</v>
      </c>
      <c r="AO332" s="154">
        <v>28</v>
      </c>
      <c r="AP332" s="154" t="s">
        <v>1416</v>
      </c>
      <c r="AQ332" s="154">
        <v>0</v>
      </c>
      <c r="AR332" s="154" t="s">
        <v>1410</v>
      </c>
      <c r="AS332" s="154"/>
      <c r="AT332" s="154" t="s">
        <v>1417</v>
      </c>
      <c r="AU332" s="154" t="s">
        <v>1412</v>
      </c>
    </row>
    <row r="333" spans="1:47" x14ac:dyDescent="0.45">
      <c r="A333" s="154">
        <v>2513050041</v>
      </c>
      <c r="B333" s="154">
        <v>130</v>
      </c>
      <c r="C333" s="154" t="s">
        <v>1401</v>
      </c>
      <c r="D333" s="154">
        <v>130</v>
      </c>
      <c r="E333" s="154" t="s">
        <v>1402</v>
      </c>
      <c r="F333" s="154" t="s">
        <v>2248</v>
      </c>
      <c r="G333" s="154" t="s">
        <v>2249</v>
      </c>
      <c r="H333" s="154">
        <v>2</v>
      </c>
      <c r="I333" s="154" t="s">
        <v>179</v>
      </c>
      <c r="J333" s="154" t="s">
        <v>1403</v>
      </c>
      <c r="K333" s="154">
        <v>2025</v>
      </c>
      <c r="L333" s="155">
        <v>2025</v>
      </c>
      <c r="M333" s="156">
        <v>45586</v>
      </c>
      <c r="N333" s="154" t="s">
        <v>36</v>
      </c>
      <c r="O333" s="154" t="s">
        <v>472</v>
      </c>
      <c r="P333" s="154">
        <v>1043</v>
      </c>
      <c r="Q333" s="154" t="s">
        <v>1404</v>
      </c>
      <c r="R333" s="154">
        <v>2</v>
      </c>
      <c r="S333" s="154">
        <v>6</v>
      </c>
      <c r="T333" s="154" t="s">
        <v>1405</v>
      </c>
      <c r="U333" s="154">
        <v>5</v>
      </c>
      <c r="V333" s="155">
        <v>0</v>
      </c>
      <c r="W333" s="155">
        <v>0</v>
      </c>
      <c r="X333" s="155" t="s">
        <v>1406</v>
      </c>
      <c r="Y333" s="156">
        <v>45742</v>
      </c>
      <c r="Z333" s="154" t="s">
        <v>32</v>
      </c>
      <c r="AA333" s="154"/>
      <c r="AB333" s="154">
        <v>0</v>
      </c>
      <c r="AC333" s="154">
        <v>0</v>
      </c>
      <c r="AD333" s="154">
        <v>0</v>
      </c>
      <c r="AE333" s="154" t="s">
        <v>1446</v>
      </c>
      <c r="AF333" s="154"/>
      <c r="AG333" s="154" t="s">
        <v>1446</v>
      </c>
      <c r="AH333" s="154"/>
      <c r="AI333" s="154"/>
      <c r="AJ333" s="154">
        <v>0</v>
      </c>
      <c r="AK333" s="154" t="s">
        <v>1410</v>
      </c>
      <c r="AL333" s="154">
        <v>28193</v>
      </c>
      <c r="AM333" s="154" t="s">
        <v>1418</v>
      </c>
      <c r="AN333" s="154" t="s">
        <v>1439</v>
      </c>
      <c r="AO333" s="154">
        <v>28</v>
      </c>
      <c r="AP333" s="154" t="s">
        <v>1416</v>
      </c>
      <c r="AQ333" s="154">
        <v>0</v>
      </c>
      <c r="AR333" s="154" t="s">
        <v>1410</v>
      </c>
      <c r="AS333" s="154"/>
      <c r="AT333" s="154" t="s">
        <v>1417</v>
      </c>
      <c r="AU333" s="154" t="s">
        <v>1412</v>
      </c>
    </row>
    <row r="334" spans="1:47" x14ac:dyDescent="0.45">
      <c r="A334" s="154">
        <v>2513050042</v>
      </c>
      <c r="B334" s="154">
        <v>130</v>
      </c>
      <c r="C334" s="154" t="s">
        <v>1401</v>
      </c>
      <c r="D334" s="154">
        <v>130</v>
      </c>
      <c r="E334" s="154" t="s">
        <v>1402</v>
      </c>
      <c r="F334" s="154" t="s">
        <v>2251</v>
      </c>
      <c r="G334" s="154" t="s">
        <v>2252</v>
      </c>
      <c r="H334" s="154">
        <v>1</v>
      </c>
      <c r="I334" s="154" t="s">
        <v>1558</v>
      </c>
      <c r="J334" s="154" t="s">
        <v>1403</v>
      </c>
      <c r="K334" s="154">
        <v>2025</v>
      </c>
      <c r="L334" s="155">
        <v>2025</v>
      </c>
      <c r="M334" s="156">
        <v>45544</v>
      </c>
      <c r="N334" s="154" t="s">
        <v>36</v>
      </c>
      <c r="O334" s="154" t="s">
        <v>472</v>
      </c>
      <c r="P334" s="154">
        <v>1043</v>
      </c>
      <c r="Q334" s="154" t="s">
        <v>1404</v>
      </c>
      <c r="R334" s="154">
        <v>2</v>
      </c>
      <c r="S334" s="154">
        <v>6</v>
      </c>
      <c r="T334" s="154" t="s">
        <v>1405</v>
      </c>
      <c r="U334" s="154">
        <v>5</v>
      </c>
      <c r="V334" s="155">
        <v>2522015</v>
      </c>
      <c r="W334" s="155">
        <v>0</v>
      </c>
      <c r="X334" s="155" t="s">
        <v>1406</v>
      </c>
      <c r="Y334" s="154"/>
      <c r="Z334" s="154" t="s">
        <v>32</v>
      </c>
      <c r="AA334" s="156">
        <v>45576</v>
      </c>
      <c r="AB334" s="154">
        <v>25</v>
      </c>
      <c r="AC334" s="154">
        <v>22015</v>
      </c>
      <c r="AD334" s="154">
        <v>130</v>
      </c>
      <c r="AE334" s="154" t="s">
        <v>1401</v>
      </c>
      <c r="AF334" s="154">
        <v>130</v>
      </c>
      <c r="AG334" s="154" t="s">
        <v>1402</v>
      </c>
      <c r="AH334" s="154" t="s">
        <v>36</v>
      </c>
      <c r="AI334" s="154" t="s">
        <v>472</v>
      </c>
      <c r="AJ334" s="154">
        <v>1043</v>
      </c>
      <c r="AK334" s="154" t="s">
        <v>1407</v>
      </c>
      <c r="AL334" s="154">
        <v>28026</v>
      </c>
      <c r="AM334" s="154" t="s">
        <v>1421</v>
      </c>
      <c r="AN334" s="154" t="s">
        <v>2831</v>
      </c>
      <c r="AO334" s="154">
        <v>28</v>
      </c>
      <c r="AP334" s="154" t="s">
        <v>1416</v>
      </c>
      <c r="AQ334" s="154">
        <v>0</v>
      </c>
      <c r="AR334" s="154" t="s">
        <v>1410</v>
      </c>
      <c r="AS334" s="154"/>
      <c r="AT334" s="154" t="s">
        <v>1417</v>
      </c>
      <c r="AU334" s="154" t="s">
        <v>1412</v>
      </c>
    </row>
    <row r="335" spans="1:47" x14ac:dyDescent="0.45">
      <c r="A335" s="154">
        <v>2513050043</v>
      </c>
      <c r="B335" s="154">
        <v>130</v>
      </c>
      <c r="C335" s="154" t="s">
        <v>1401</v>
      </c>
      <c r="D335" s="154">
        <v>130</v>
      </c>
      <c r="E335" s="154" t="s">
        <v>1402</v>
      </c>
      <c r="F335" s="154" t="s">
        <v>2253</v>
      </c>
      <c r="G335" s="154" t="s">
        <v>2254</v>
      </c>
      <c r="H335" s="154">
        <v>1</v>
      </c>
      <c r="I335" s="154" t="s">
        <v>669</v>
      </c>
      <c r="J335" s="154" t="s">
        <v>1403</v>
      </c>
      <c r="K335" s="154">
        <v>2025</v>
      </c>
      <c r="L335" s="155">
        <v>2025</v>
      </c>
      <c r="M335" s="156">
        <v>45537</v>
      </c>
      <c r="N335" s="154" t="s">
        <v>36</v>
      </c>
      <c r="O335" s="154" t="s">
        <v>501</v>
      </c>
      <c r="P335" s="154">
        <v>1726</v>
      </c>
      <c r="Q335" s="154" t="s">
        <v>1430</v>
      </c>
      <c r="R335" s="154">
        <v>2</v>
      </c>
      <c r="S335" s="154">
        <v>34</v>
      </c>
      <c r="T335" s="154" t="s">
        <v>1431</v>
      </c>
      <c r="U335" s="154">
        <v>12</v>
      </c>
      <c r="V335" s="155">
        <v>2522022</v>
      </c>
      <c r="W335" s="155">
        <v>0</v>
      </c>
      <c r="X335" s="155" t="s">
        <v>1406</v>
      </c>
      <c r="Y335" s="154"/>
      <c r="Z335" s="154" t="s">
        <v>32</v>
      </c>
      <c r="AA335" s="156">
        <v>45580</v>
      </c>
      <c r="AB335" s="154">
        <v>25</v>
      </c>
      <c r="AC335" s="154">
        <v>22022</v>
      </c>
      <c r="AD335" s="154">
        <v>130</v>
      </c>
      <c r="AE335" s="154" t="s">
        <v>1401</v>
      </c>
      <c r="AF335" s="154">
        <v>130</v>
      </c>
      <c r="AG335" s="154" t="s">
        <v>1402</v>
      </c>
      <c r="AH335" s="154" t="s">
        <v>36</v>
      </c>
      <c r="AI335" s="154" t="s">
        <v>501</v>
      </c>
      <c r="AJ335" s="154">
        <v>1726</v>
      </c>
      <c r="AK335" s="154" t="s">
        <v>1407</v>
      </c>
      <c r="AL335" s="154">
        <v>28247</v>
      </c>
      <c r="AM335" s="154" t="s">
        <v>1418</v>
      </c>
      <c r="AN335" s="154" t="s">
        <v>1419</v>
      </c>
      <c r="AO335" s="154">
        <v>28</v>
      </c>
      <c r="AP335" s="154" t="s">
        <v>1416</v>
      </c>
      <c r="AQ335" s="154">
        <v>0</v>
      </c>
      <c r="AR335" s="154" t="s">
        <v>1410</v>
      </c>
      <c r="AS335" s="154"/>
      <c r="AT335" s="154" t="s">
        <v>1417</v>
      </c>
      <c r="AU335" s="154" t="s">
        <v>1412</v>
      </c>
    </row>
    <row r="336" spans="1:47" x14ac:dyDescent="0.45">
      <c r="A336" s="154">
        <v>2513050044</v>
      </c>
      <c r="B336" s="154">
        <v>130</v>
      </c>
      <c r="C336" s="154" t="s">
        <v>1401</v>
      </c>
      <c r="D336" s="154">
        <v>130</v>
      </c>
      <c r="E336" s="154" t="s">
        <v>1402</v>
      </c>
      <c r="F336" s="154" t="s">
        <v>2255</v>
      </c>
      <c r="G336" s="154" t="s">
        <v>2256</v>
      </c>
      <c r="H336" s="154">
        <v>1</v>
      </c>
      <c r="I336" s="154" t="s">
        <v>870</v>
      </c>
      <c r="J336" s="154" t="s">
        <v>1403</v>
      </c>
      <c r="K336" s="154">
        <v>2025</v>
      </c>
      <c r="L336" s="155">
        <v>2025</v>
      </c>
      <c r="M336" s="156">
        <v>45544</v>
      </c>
      <c r="N336" s="154" t="s">
        <v>36</v>
      </c>
      <c r="O336" s="154" t="s">
        <v>501</v>
      </c>
      <c r="P336" s="154">
        <v>1726</v>
      </c>
      <c r="Q336" s="154" t="s">
        <v>1430</v>
      </c>
      <c r="R336" s="154">
        <v>2</v>
      </c>
      <c r="S336" s="154">
        <v>34</v>
      </c>
      <c r="T336" s="154" t="s">
        <v>1431</v>
      </c>
      <c r="U336" s="154">
        <v>12</v>
      </c>
      <c r="V336" s="155">
        <v>2522002</v>
      </c>
      <c r="W336" s="155">
        <v>0</v>
      </c>
      <c r="X336" s="155" t="s">
        <v>1406</v>
      </c>
      <c r="Y336" s="154"/>
      <c r="Z336" s="154" t="s">
        <v>32</v>
      </c>
      <c r="AA336" s="156">
        <v>45565</v>
      </c>
      <c r="AB336" s="154">
        <v>25</v>
      </c>
      <c r="AC336" s="154">
        <v>22002</v>
      </c>
      <c r="AD336" s="154">
        <v>130</v>
      </c>
      <c r="AE336" s="154" t="s">
        <v>1401</v>
      </c>
      <c r="AF336" s="154">
        <v>130</v>
      </c>
      <c r="AG336" s="154" t="s">
        <v>1402</v>
      </c>
      <c r="AH336" s="154" t="s">
        <v>36</v>
      </c>
      <c r="AI336" s="154" t="s">
        <v>501</v>
      </c>
      <c r="AJ336" s="154">
        <v>1726</v>
      </c>
      <c r="AK336" s="154" t="s">
        <v>1407</v>
      </c>
      <c r="AL336" s="154">
        <v>28271</v>
      </c>
      <c r="AM336" s="154" t="s">
        <v>1421</v>
      </c>
      <c r="AN336" s="154" t="s">
        <v>2832</v>
      </c>
      <c r="AO336" s="154">
        <v>28</v>
      </c>
      <c r="AP336" s="154" t="s">
        <v>1416</v>
      </c>
      <c r="AQ336" s="154">
        <v>0</v>
      </c>
      <c r="AR336" s="154" t="s">
        <v>1410</v>
      </c>
      <c r="AS336" s="154"/>
      <c r="AT336" s="154" t="s">
        <v>1417</v>
      </c>
      <c r="AU336" s="154" t="s">
        <v>1412</v>
      </c>
    </row>
    <row r="337" spans="1:47" x14ac:dyDescent="0.45">
      <c r="A337" s="154">
        <v>2513050045</v>
      </c>
      <c r="B337" s="154">
        <v>130</v>
      </c>
      <c r="C337" s="154" t="s">
        <v>1401</v>
      </c>
      <c r="D337" s="154">
        <v>130</v>
      </c>
      <c r="E337" s="154" t="s">
        <v>1402</v>
      </c>
      <c r="F337" s="154" t="s">
        <v>2257</v>
      </c>
      <c r="G337" s="154" t="s">
        <v>2258</v>
      </c>
      <c r="H337" s="154">
        <v>1</v>
      </c>
      <c r="I337" s="154" t="s">
        <v>2259</v>
      </c>
      <c r="J337" s="154" t="s">
        <v>1403</v>
      </c>
      <c r="K337" s="154">
        <v>2025</v>
      </c>
      <c r="L337" s="155">
        <v>2025</v>
      </c>
      <c r="M337" s="156">
        <v>45537</v>
      </c>
      <c r="N337" s="154" t="s">
        <v>36</v>
      </c>
      <c r="O337" s="154" t="s">
        <v>485</v>
      </c>
      <c r="P337" s="154">
        <v>1131</v>
      </c>
      <c r="Q337" s="154" t="s">
        <v>1413</v>
      </c>
      <c r="R337" s="154">
        <v>3</v>
      </c>
      <c r="S337" s="154">
        <v>6</v>
      </c>
      <c r="T337" s="154" t="s">
        <v>1405</v>
      </c>
      <c r="U337" s="154">
        <v>5</v>
      </c>
      <c r="V337" s="155">
        <v>2522001</v>
      </c>
      <c r="W337" s="155">
        <v>0</v>
      </c>
      <c r="X337" s="155" t="s">
        <v>1406</v>
      </c>
      <c r="Y337" s="154"/>
      <c r="Z337" s="154" t="s">
        <v>32</v>
      </c>
      <c r="AA337" s="156">
        <v>45565</v>
      </c>
      <c r="AB337" s="154">
        <v>25</v>
      </c>
      <c r="AC337" s="154">
        <v>22001</v>
      </c>
      <c r="AD337" s="154">
        <v>130</v>
      </c>
      <c r="AE337" s="154" t="s">
        <v>1401</v>
      </c>
      <c r="AF337" s="154">
        <v>130</v>
      </c>
      <c r="AG337" s="154" t="s">
        <v>1402</v>
      </c>
      <c r="AH337" s="154" t="s">
        <v>36</v>
      </c>
      <c r="AI337" s="154" t="s">
        <v>485</v>
      </c>
      <c r="AJ337" s="154">
        <v>1131</v>
      </c>
      <c r="AK337" s="154" t="s">
        <v>1407</v>
      </c>
      <c r="AL337" s="154">
        <v>43091</v>
      </c>
      <c r="AM337" s="154" t="s">
        <v>1421</v>
      </c>
      <c r="AN337" s="154" t="s">
        <v>2833</v>
      </c>
      <c r="AO337" s="154">
        <v>43</v>
      </c>
      <c r="AP337" s="154" t="s">
        <v>2834</v>
      </c>
      <c r="AQ337" s="154">
        <v>0</v>
      </c>
      <c r="AR337" s="154" t="s">
        <v>1410</v>
      </c>
      <c r="AS337" s="154"/>
      <c r="AT337" s="154" t="s">
        <v>1417</v>
      </c>
      <c r="AU337" s="154" t="s">
        <v>1412</v>
      </c>
    </row>
    <row r="338" spans="1:47" x14ac:dyDescent="0.45">
      <c r="A338" s="154">
        <v>2513050048</v>
      </c>
      <c r="B338" s="154">
        <v>130</v>
      </c>
      <c r="C338" s="154" t="s">
        <v>1401</v>
      </c>
      <c r="D338" s="154">
        <v>130</v>
      </c>
      <c r="E338" s="154" t="s">
        <v>1402</v>
      </c>
      <c r="F338" s="154" t="s">
        <v>2269</v>
      </c>
      <c r="G338" s="154" t="s">
        <v>2270</v>
      </c>
      <c r="H338" s="154">
        <v>2</v>
      </c>
      <c r="I338" s="154" t="s">
        <v>972</v>
      </c>
      <c r="J338" s="154" t="s">
        <v>1403</v>
      </c>
      <c r="K338" s="154">
        <v>0</v>
      </c>
      <c r="L338" s="155">
        <v>2025</v>
      </c>
      <c r="M338" s="156">
        <v>45552</v>
      </c>
      <c r="N338" s="154" t="s">
        <v>36</v>
      </c>
      <c r="O338" s="154" t="s">
        <v>501</v>
      </c>
      <c r="P338" s="154">
        <v>1726</v>
      </c>
      <c r="Q338" s="154" t="s">
        <v>1430</v>
      </c>
      <c r="R338" s="154">
        <v>2</v>
      </c>
      <c r="S338" s="154">
        <v>34</v>
      </c>
      <c r="T338" s="154" t="s">
        <v>1431</v>
      </c>
      <c r="U338" s="154">
        <v>12</v>
      </c>
      <c r="V338" s="155">
        <v>2522018</v>
      </c>
      <c r="W338" s="155">
        <v>0</v>
      </c>
      <c r="X338" s="155" t="s">
        <v>1406</v>
      </c>
      <c r="Y338" s="154"/>
      <c r="Z338" s="154" t="s">
        <v>32</v>
      </c>
      <c r="AA338" s="156">
        <v>45576</v>
      </c>
      <c r="AB338" s="154">
        <v>25</v>
      </c>
      <c r="AC338" s="154">
        <v>22018</v>
      </c>
      <c r="AD338" s="154">
        <v>130</v>
      </c>
      <c r="AE338" s="154" t="s">
        <v>1401</v>
      </c>
      <c r="AF338" s="154">
        <v>130</v>
      </c>
      <c r="AG338" s="154" t="s">
        <v>1402</v>
      </c>
      <c r="AH338" s="154" t="s">
        <v>36</v>
      </c>
      <c r="AI338" s="154" t="s">
        <v>501</v>
      </c>
      <c r="AJ338" s="154">
        <v>1726</v>
      </c>
      <c r="AK338" s="154" t="s">
        <v>1407</v>
      </c>
      <c r="AL338" s="154">
        <v>28232</v>
      </c>
      <c r="AM338" s="154" t="s">
        <v>1418</v>
      </c>
      <c r="AN338" s="154" t="s">
        <v>1548</v>
      </c>
      <c r="AO338" s="154">
        <v>28</v>
      </c>
      <c r="AP338" s="154" t="s">
        <v>1416</v>
      </c>
      <c r="AQ338" s="154">
        <v>0</v>
      </c>
      <c r="AR338" s="154" t="s">
        <v>1410</v>
      </c>
      <c r="AS338" s="154"/>
      <c r="AT338" s="154" t="s">
        <v>1411</v>
      </c>
      <c r="AU338" s="154" t="s">
        <v>1412</v>
      </c>
    </row>
    <row r="339" spans="1:47" x14ac:dyDescent="0.45">
      <c r="A339" s="154">
        <v>2513050049</v>
      </c>
      <c r="B339" s="154">
        <v>130</v>
      </c>
      <c r="C339" s="154" t="s">
        <v>1401</v>
      </c>
      <c r="D339" s="154">
        <v>130</v>
      </c>
      <c r="E339" s="154" t="s">
        <v>1402</v>
      </c>
      <c r="F339" s="154" t="s">
        <v>2684</v>
      </c>
      <c r="G339" s="154" t="s">
        <v>2685</v>
      </c>
      <c r="H339" s="154">
        <v>1</v>
      </c>
      <c r="I339" s="154" t="s">
        <v>2686</v>
      </c>
      <c r="J339" s="154" t="s">
        <v>1403</v>
      </c>
      <c r="K339" s="154">
        <v>2025</v>
      </c>
      <c r="L339" s="155">
        <v>2025</v>
      </c>
      <c r="M339" s="156">
        <v>45565</v>
      </c>
      <c r="N339" s="154" t="s">
        <v>36</v>
      </c>
      <c r="O339" s="154" t="s">
        <v>472</v>
      </c>
      <c r="P339" s="154">
        <v>1043</v>
      </c>
      <c r="Q339" s="154" t="s">
        <v>1404</v>
      </c>
      <c r="R339" s="154">
        <v>2</v>
      </c>
      <c r="S339" s="154">
        <v>6</v>
      </c>
      <c r="T339" s="154" t="s">
        <v>1405</v>
      </c>
      <c r="U339" s="154">
        <v>5</v>
      </c>
      <c r="V339" s="155">
        <v>2522012</v>
      </c>
      <c r="W339" s="155">
        <v>0</v>
      </c>
      <c r="X339" s="155" t="s">
        <v>1406</v>
      </c>
      <c r="Y339" s="154"/>
      <c r="Z339" s="154" t="s">
        <v>32</v>
      </c>
      <c r="AA339" s="156">
        <v>45574</v>
      </c>
      <c r="AB339" s="154">
        <v>25</v>
      </c>
      <c r="AC339" s="154">
        <v>22012</v>
      </c>
      <c r="AD339" s="154">
        <v>130</v>
      </c>
      <c r="AE339" s="154" t="s">
        <v>1401</v>
      </c>
      <c r="AF339" s="154">
        <v>130</v>
      </c>
      <c r="AG339" s="154" t="s">
        <v>1402</v>
      </c>
      <c r="AH339" s="154" t="s">
        <v>36</v>
      </c>
      <c r="AI339" s="154" t="s">
        <v>472</v>
      </c>
      <c r="AJ339" s="154">
        <v>1043</v>
      </c>
      <c r="AK339" s="154" t="s">
        <v>1407</v>
      </c>
      <c r="AL339" s="154">
        <v>28175</v>
      </c>
      <c r="AM339" s="154" t="s">
        <v>1418</v>
      </c>
      <c r="AN339" s="154" t="s">
        <v>1459</v>
      </c>
      <c r="AO339" s="154">
        <v>28</v>
      </c>
      <c r="AP339" s="154" t="s">
        <v>1416</v>
      </c>
      <c r="AQ339" s="154">
        <v>0</v>
      </c>
      <c r="AR339" s="154" t="s">
        <v>1410</v>
      </c>
      <c r="AS339" s="154"/>
      <c r="AT339" s="154" t="s">
        <v>1417</v>
      </c>
      <c r="AU339" s="154" t="s">
        <v>1412</v>
      </c>
    </row>
    <row r="340" spans="1:47" x14ac:dyDescent="0.45">
      <c r="A340" s="154">
        <v>2513050050</v>
      </c>
      <c r="B340" s="154">
        <v>130</v>
      </c>
      <c r="C340" s="154" t="s">
        <v>1401</v>
      </c>
      <c r="D340" s="154">
        <v>130</v>
      </c>
      <c r="E340" s="154" t="s">
        <v>1402</v>
      </c>
      <c r="F340" s="154" t="s">
        <v>2698</v>
      </c>
      <c r="G340" s="154" t="s">
        <v>2699</v>
      </c>
      <c r="H340" s="154">
        <v>1</v>
      </c>
      <c r="I340" s="154" t="s">
        <v>2700</v>
      </c>
      <c r="J340" s="154" t="s">
        <v>1403</v>
      </c>
      <c r="K340" s="154">
        <v>2025</v>
      </c>
      <c r="L340" s="155">
        <v>2025</v>
      </c>
      <c r="M340" s="156">
        <v>45559</v>
      </c>
      <c r="N340" s="154" t="s">
        <v>36</v>
      </c>
      <c r="O340" s="154" t="s">
        <v>501</v>
      </c>
      <c r="P340" s="154">
        <v>1726</v>
      </c>
      <c r="Q340" s="154" t="s">
        <v>1430</v>
      </c>
      <c r="R340" s="154">
        <v>2</v>
      </c>
      <c r="S340" s="154">
        <v>34</v>
      </c>
      <c r="T340" s="154" t="s">
        <v>1431</v>
      </c>
      <c r="U340" s="154">
        <v>12</v>
      </c>
      <c r="V340" s="155">
        <v>2522011</v>
      </c>
      <c r="W340" s="155">
        <v>0</v>
      </c>
      <c r="X340" s="155" t="s">
        <v>1406</v>
      </c>
      <c r="Y340" s="154"/>
      <c r="Z340" s="154" t="s">
        <v>32</v>
      </c>
      <c r="AA340" s="156">
        <v>45574</v>
      </c>
      <c r="AB340" s="154">
        <v>25</v>
      </c>
      <c r="AC340" s="154">
        <v>22011</v>
      </c>
      <c r="AD340" s="154">
        <v>130</v>
      </c>
      <c r="AE340" s="154" t="s">
        <v>1401</v>
      </c>
      <c r="AF340" s="154">
        <v>130</v>
      </c>
      <c r="AG340" s="154" t="s">
        <v>1402</v>
      </c>
      <c r="AH340" s="154" t="s">
        <v>36</v>
      </c>
      <c r="AI340" s="154" t="s">
        <v>501</v>
      </c>
      <c r="AJ340" s="154">
        <v>1726</v>
      </c>
      <c r="AK340" s="154" t="s">
        <v>1407</v>
      </c>
      <c r="AL340" s="154">
        <v>43091</v>
      </c>
      <c r="AM340" s="154" t="s">
        <v>1421</v>
      </c>
      <c r="AN340" s="154" t="s">
        <v>2833</v>
      </c>
      <c r="AO340" s="154">
        <v>43</v>
      </c>
      <c r="AP340" s="154" t="s">
        <v>2834</v>
      </c>
      <c r="AQ340" s="154">
        <v>0</v>
      </c>
      <c r="AR340" s="154" t="s">
        <v>1410</v>
      </c>
      <c r="AS340" s="154"/>
      <c r="AT340" s="154" t="s">
        <v>1417</v>
      </c>
      <c r="AU340" s="154" t="s">
        <v>1412</v>
      </c>
    </row>
    <row r="341" spans="1:47" x14ac:dyDescent="0.45">
      <c r="A341" s="154">
        <v>2513050051</v>
      </c>
      <c r="B341" s="154">
        <v>130</v>
      </c>
      <c r="C341" s="154" t="s">
        <v>1401</v>
      </c>
      <c r="D341" s="154">
        <v>130</v>
      </c>
      <c r="E341" s="154" t="s">
        <v>1402</v>
      </c>
      <c r="F341" s="154" t="s">
        <v>2717</v>
      </c>
      <c r="G341" s="154" t="s">
        <v>2718</v>
      </c>
      <c r="H341" s="154">
        <v>1</v>
      </c>
      <c r="I341" s="154" t="s">
        <v>66</v>
      </c>
      <c r="J341" s="154" t="s">
        <v>1403</v>
      </c>
      <c r="K341" s="154">
        <v>2025</v>
      </c>
      <c r="L341" s="155">
        <v>2025</v>
      </c>
      <c r="M341" s="156">
        <v>45565</v>
      </c>
      <c r="N341" s="154" t="s">
        <v>36</v>
      </c>
      <c r="O341" s="154" t="s">
        <v>501</v>
      </c>
      <c r="P341" s="154">
        <v>1726</v>
      </c>
      <c r="Q341" s="154" t="s">
        <v>1430</v>
      </c>
      <c r="R341" s="154">
        <v>2</v>
      </c>
      <c r="S341" s="154">
        <v>34</v>
      </c>
      <c r="T341" s="154" t="s">
        <v>1431</v>
      </c>
      <c r="U341" s="154">
        <v>12</v>
      </c>
      <c r="V341" s="155">
        <v>2522035</v>
      </c>
      <c r="W341" s="155">
        <v>0</v>
      </c>
      <c r="X341" s="155" t="s">
        <v>1406</v>
      </c>
      <c r="Y341" s="154"/>
      <c r="Z341" s="154" t="s">
        <v>32</v>
      </c>
      <c r="AA341" s="156">
        <v>45614</v>
      </c>
      <c r="AB341" s="154">
        <v>25</v>
      </c>
      <c r="AC341" s="154">
        <v>22035</v>
      </c>
      <c r="AD341" s="154">
        <v>130</v>
      </c>
      <c r="AE341" s="154" t="s">
        <v>1401</v>
      </c>
      <c r="AF341" s="154">
        <v>130</v>
      </c>
      <c r="AG341" s="154" t="s">
        <v>1402</v>
      </c>
      <c r="AH341" s="154" t="s">
        <v>36</v>
      </c>
      <c r="AI341" s="154" t="s">
        <v>501</v>
      </c>
      <c r="AJ341" s="154">
        <v>1726</v>
      </c>
      <c r="AK341" s="154" t="s">
        <v>1407</v>
      </c>
      <c r="AL341" s="154">
        <v>43091</v>
      </c>
      <c r="AM341" s="154" t="s">
        <v>1421</v>
      </c>
      <c r="AN341" s="154" t="s">
        <v>2833</v>
      </c>
      <c r="AO341" s="154">
        <v>43</v>
      </c>
      <c r="AP341" s="154" t="s">
        <v>2834</v>
      </c>
      <c r="AQ341" s="154">
        <v>0</v>
      </c>
      <c r="AR341" s="154" t="s">
        <v>1410</v>
      </c>
      <c r="AS341" s="154"/>
      <c r="AT341" s="154" t="s">
        <v>1417</v>
      </c>
      <c r="AU341" s="154" t="s">
        <v>1412</v>
      </c>
    </row>
    <row r="342" spans="1:47" x14ac:dyDescent="0.45">
      <c r="A342" s="154">
        <v>2513050052</v>
      </c>
      <c r="B342" s="154">
        <v>130</v>
      </c>
      <c r="C342" s="154" t="s">
        <v>1401</v>
      </c>
      <c r="D342" s="154">
        <v>130</v>
      </c>
      <c r="E342" s="154" t="s">
        <v>1402</v>
      </c>
      <c r="F342" s="154" t="s">
        <v>2753</v>
      </c>
      <c r="G342" s="154" t="s">
        <v>2754</v>
      </c>
      <c r="H342" s="154">
        <v>1</v>
      </c>
      <c r="I342" s="154" t="s">
        <v>2755</v>
      </c>
      <c r="J342" s="154" t="s">
        <v>1403</v>
      </c>
      <c r="K342" s="154">
        <v>2025</v>
      </c>
      <c r="L342" s="155">
        <v>2025</v>
      </c>
      <c r="M342" s="156">
        <v>45586</v>
      </c>
      <c r="N342" s="154" t="s">
        <v>36</v>
      </c>
      <c r="O342" s="154" t="s">
        <v>501</v>
      </c>
      <c r="P342" s="154">
        <v>1726</v>
      </c>
      <c r="Q342" s="154" t="s">
        <v>1430</v>
      </c>
      <c r="R342" s="154">
        <v>2</v>
      </c>
      <c r="S342" s="154">
        <v>34</v>
      </c>
      <c r="T342" s="154" t="s">
        <v>1431</v>
      </c>
      <c r="U342" s="154">
        <v>12</v>
      </c>
      <c r="V342" s="155">
        <v>2522044</v>
      </c>
      <c r="W342" s="155">
        <v>0</v>
      </c>
      <c r="X342" s="155" t="s">
        <v>1406</v>
      </c>
      <c r="Y342" s="154"/>
      <c r="Z342" s="154" t="s">
        <v>32</v>
      </c>
      <c r="AA342" s="156">
        <v>45667</v>
      </c>
      <c r="AB342" s="154">
        <v>25</v>
      </c>
      <c r="AC342" s="154">
        <v>22044</v>
      </c>
      <c r="AD342" s="154">
        <v>130</v>
      </c>
      <c r="AE342" s="154" t="s">
        <v>1401</v>
      </c>
      <c r="AF342" s="154">
        <v>130</v>
      </c>
      <c r="AG342" s="154" t="s">
        <v>1402</v>
      </c>
      <c r="AH342" s="154" t="s">
        <v>36</v>
      </c>
      <c r="AI342" s="154" t="s">
        <v>501</v>
      </c>
      <c r="AJ342" s="154">
        <v>1726</v>
      </c>
      <c r="AK342" s="154" t="s">
        <v>1407</v>
      </c>
      <c r="AL342" s="154">
        <v>99998</v>
      </c>
      <c r="AM342" s="154" t="s">
        <v>1408</v>
      </c>
      <c r="AN342" s="154" t="s">
        <v>2869</v>
      </c>
      <c r="AO342" s="154">
        <v>99</v>
      </c>
      <c r="AP342" s="154" t="s">
        <v>1409</v>
      </c>
      <c r="AQ342" s="154">
        <v>0</v>
      </c>
      <c r="AR342" s="154" t="s">
        <v>1410</v>
      </c>
      <c r="AS342" s="154"/>
      <c r="AT342" s="154" t="s">
        <v>1417</v>
      </c>
      <c r="AU342" s="154" t="s">
        <v>1412</v>
      </c>
    </row>
    <row r="343" spans="1:47" x14ac:dyDescent="0.45">
      <c r="A343" s="154">
        <v>2513100001</v>
      </c>
      <c r="B343" s="154">
        <v>131</v>
      </c>
      <c r="C343" s="154" t="s">
        <v>1462</v>
      </c>
      <c r="D343" s="154">
        <v>130</v>
      </c>
      <c r="E343" s="154" t="s">
        <v>1402</v>
      </c>
      <c r="F343" s="154" t="s">
        <v>3113</v>
      </c>
      <c r="G343" s="154" t="s">
        <v>3114</v>
      </c>
      <c r="H343" s="154">
        <v>2</v>
      </c>
      <c r="I343" s="154" t="s">
        <v>3115</v>
      </c>
      <c r="J343" s="154" t="s">
        <v>1403</v>
      </c>
      <c r="K343" s="154">
        <v>0</v>
      </c>
      <c r="L343" s="155">
        <v>2025</v>
      </c>
      <c r="M343" s="156">
        <v>45593</v>
      </c>
      <c r="N343" s="154" t="s">
        <v>36</v>
      </c>
      <c r="O343" s="154" t="s">
        <v>704</v>
      </c>
      <c r="P343" s="154">
        <v>968</v>
      </c>
      <c r="Q343" s="154" t="s">
        <v>1474</v>
      </c>
      <c r="R343" s="154">
        <v>2</v>
      </c>
      <c r="S343" s="154">
        <v>2</v>
      </c>
      <c r="T343" s="154" t="s">
        <v>1464</v>
      </c>
      <c r="U343" s="154">
        <v>1</v>
      </c>
      <c r="V343" s="155">
        <v>2522559</v>
      </c>
      <c r="W343" s="155">
        <v>0</v>
      </c>
      <c r="X343" s="155" t="s">
        <v>1406</v>
      </c>
      <c r="Y343" s="154"/>
      <c r="Z343" s="154" t="s">
        <v>1407</v>
      </c>
      <c r="AA343" s="156">
        <v>45607</v>
      </c>
      <c r="AB343" s="154">
        <v>25</v>
      </c>
      <c r="AC343" s="154">
        <v>22559</v>
      </c>
      <c r="AD343" s="154">
        <v>131</v>
      </c>
      <c r="AE343" s="154" t="s">
        <v>1462</v>
      </c>
      <c r="AF343" s="154">
        <v>130</v>
      </c>
      <c r="AG343" s="154" t="s">
        <v>1402</v>
      </c>
      <c r="AH343" s="154" t="s">
        <v>36</v>
      </c>
      <c r="AI343" s="154" t="s">
        <v>704</v>
      </c>
      <c r="AJ343" s="154">
        <v>968</v>
      </c>
      <c r="AK343" s="154" t="s">
        <v>1407</v>
      </c>
      <c r="AL343" s="154">
        <v>28097</v>
      </c>
      <c r="AM343" s="154" t="s">
        <v>1418</v>
      </c>
      <c r="AN343" s="154" t="s">
        <v>1531</v>
      </c>
      <c r="AO343" s="154">
        <v>28</v>
      </c>
      <c r="AP343" s="154" t="s">
        <v>1416</v>
      </c>
      <c r="AQ343" s="154">
        <v>0</v>
      </c>
      <c r="AR343" s="154" t="s">
        <v>1410</v>
      </c>
      <c r="AS343" s="154"/>
      <c r="AT343" s="154" t="s">
        <v>1411</v>
      </c>
      <c r="AU343" s="154" t="s">
        <v>1412</v>
      </c>
    </row>
    <row r="344" spans="1:47" x14ac:dyDescent="0.45">
      <c r="A344" s="154">
        <v>2513100002</v>
      </c>
      <c r="B344" s="154">
        <v>131</v>
      </c>
      <c r="C344" s="154" t="s">
        <v>1462</v>
      </c>
      <c r="D344" s="154">
        <v>130</v>
      </c>
      <c r="E344" s="154" t="s">
        <v>1402</v>
      </c>
      <c r="F344" s="154" t="s">
        <v>3116</v>
      </c>
      <c r="G344" s="154" t="s">
        <v>3117</v>
      </c>
      <c r="H344" s="154">
        <v>1</v>
      </c>
      <c r="I344" s="154" t="s">
        <v>3118</v>
      </c>
      <c r="J344" s="154" t="s">
        <v>1403</v>
      </c>
      <c r="K344" s="154">
        <v>2025</v>
      </c>
      <c r="L344" s="155">
        <v>2025</v>
      </c>
      <c r="M344" s="156">
        <v>45596</v>
      </c>
      <c r="N344" s="154" t="s">
        <v>36</v>
      </c>
      <c r="O344" s="154" t="s">
        <v>793</v>
      </c>
      <c r="P344" s="154">
        <v>428</v>
      </c>
      <c r="Q344" s="154" t="s">
        <v>1463</v>
      </c>
      <c r="R344" s="154">
        <v>1</v>
      </c>
      <c r="S344" s="154">
        <v>2</v>
      </c>
      <c r="T344" s="154" t="s">
        <v>1464</v>
      </c>
      <c r="U344" s="154">
        <v>1</v>
      </c>
      <c r="V344" s="155">
        <v>2522563</v>
      </c>
      <c r="W344" s="155">
        <v>0</v>
      </c>
      <c r="X344" s="155" t="s">
        <v>1406</v>
      </c>
      <c r="Y344" s="154"/>
      <c r="Z344" s="154" t="s">
        <v>1424</v>
      </c>
      <c r="AA344" s="156">
        <v>45611</v>
      </c>
      <c r="AB344" s="154">
        <v>25</v>
      </c>
      <c r="AC344" s="154">
        <v>22563</v>
      </c>
      <c r="AD344" s="154">
        <v>131</v>
      </c>
      <c r="AE344" s="154" t="s">
        <v>1462</v>
      </c>
      <c r="AF344" s="154">
        <v>130</v>
      </c>
      <c r="AG344" s="154" t="s">
        <v>1402</v>
      </c>
      <c r="AH344" s="154" t="s">
        <v>36</v>
      </c>
      <c r="AI344" s="154" t="s">
        <v>793</v>
      </c>
      <c r="AJ344" s="154">
        <v>428</v>
      </c>
      <c r="AK344" s="154" t="s">
        <v>1407</v>
      </c>
      <c r="AL344" s="154">
        <v>28174</v>
      </c>
      <c r="AM344" s="154" t="s">
        <v>1418</v>
      </c>
      <c r="AN344" s="154" t="s">
        <v>1543</v>
      </c>
      <c r="AO344" s="154">
        <v>28</v>
      </c>
      <c r="AP344" s="154" t="s">
        <v>1416</v>
      </c>
      <c r="AQ344" s="154">
        <v>0</v>
      </c>
      <c r="AR344" s="154" t="s">
        <v>1410</v>
      </c>
      <c r="AS344" s="154"/>
      <c r="AT344" s="154" t="s">
        <v>1417</v>
      </c>
      <c r="AU344" s="154" t="s">
        <v>1412</v>
      </c>
    </row>
    <row r="345" spans="1:47" x14ac:dyDescent="0.45">
      <c r="A345" s="154">
        <v>2513100003</v>
      </c>
      <c r="B345" s="154">
        <v>131</v>
      </c>
      <c r="C345" s="154" t="s">
        <v>1462</v>
      </c>
      <c r="D345" s="154">
        <v>130</v>
      </c>
      <c r="E345" s="154" t="s">
        <v>1402</v>
      </c>
      <c r="F345" s="154" t="s">
        <v>3119</v>
      </c>
      <c r="G345" s="154" t="s">
        <v>3120</v>
      </c>
      <c r="H345" s="154">
        <v>2</v>
      </c>
      <c r="I345" s="154" t="s">
        <v>3121</v>
      </c>
      <c r="J345" s="154" t="s">
        <v>1403</v>
      </c>
      <c r="K345" s="154">
        <v>0</v>
      </c>
      <c r="L345" s="155">
        <v>2025</v>
      </c>
      <c r="M345" s="156">
        <v>45607</v>
      </c>
      <c r="N345" s="154" t="s">
        <v>36</v>
      </c>
      <c r="O345" s="154" t="s">
        <v>793</v>
      </c>
      <c r="P345" s="154">
        <v>859</v>
      </c>
      <c r="Q345" s="154" t="s">
        <v>1494</v>
      </c>
      <c r="R345" s="154">
        <v>1</v>
      </c>
      <c r="S345" s="154">
        <v>2</v>
      </c>
      <c r="T345" s="154" t="s">
        <v>1464</v>
      </c>
      <c r="U345" s="154">
        <v>1</v>
      </c>
      <c r="V345" s="155">
        <v>2522569</v>
      </c>
      <c r="W345" s="155">
        <v>0</v>
      </c>
      <c r="X345" s="155" t="s">
        <v>1406</v>
      </c>
      <c r="Y345" s="154"/>
      <c r="Z345" s="154" t="s">
        <v>2929</v>
      </c>
      <c r="AA345" s="156">
        <v>45623</v>
      </c>
      <c r="AB345" s="154">
        <v>25</v>
      </c>
      <c r="AC345" s="154">
        <v>22569</v>
      </c>
      <c r="AD345" s="154">
        <v>131</v>
      </c>
      <c r="AE345" s="154" t="s">
        <v>1462</v>
      </c>
      <c r="AF345" s="154">
        <v>130</v>
      </c>
      <c r="AG345" s="154" t="s">
        <v>1402</v>
      </c>
      <c r="AH345" s="154" t="s">
        <v>36</v>
      </c>
      <c r="AI345" s="154" t="s">
        <v>793</v>
      </c>
      <c r="AJ345" s="154">
        <v>859</v>
      </c>
      <c r="AK345" s="154" t="s">
        <v>1407</v>
      </c>
      <c r="AL345" s="154">
        <v>28135</v>
      </c>
      <c r="AM345" s="154" t="s">
        <v>1418</v>
      </c>
      <c r="AN345" s="154" t="s">
        <v>2849</v>
      </c>
      <c r="AO345" s="154">
        <v>28</v>
      </c>
      <c r="AP345" s="154" t="s">
        <v>1416</v>
      </c>
      <c r="AQ345" s="154">
        <v>0</v>
      </c>
      <c r="AR345" s="154" t="s">
        <v>1410</v>
      </c>
      <c r="AS345" s="154"/>
      <c r="AT345" s="154" t="s">
        <v>1411</v>
      </c>
      <c r="AU345" s="154" t="s">
        <v>1412</v>
      </c>
    </row>
    <row r="346" spans="1:47" x14ac:dyDescent="0.45">
      <c r="A346" s="154">
        <v>2513100004</v>
      </c>
      <c r="B346" s="154">
        <v>131</v>
      </c>
      <c r="C346" s="154" t="s">
        <v>1462</v>
      </c>
      <c r="D346" s="154">
        <v>130</v>
      </c>
      <c r="E346" s="154" t="s">
        <v>1402</v>
      </c>
      <c r="F346" s="154" t="s">
        <v>3122</v>
      </c>
      <c r="G346" s="154" t="s">
        <v>3123</v>
      </c>
      <c r="H346" s="154">
        <v>1</v>
      </c>
      <c r="I346" s="154" t="s">
        <v>3124</v>
      </c>
      <c r="J346" s="154" t="s">
        <v>1403</v>
      </c>
      <c r="K346" s="154">
        <v>2025</v>
      </c>
      <c r="L346" s="155">
        <v>2025</v>
      </c>
      <c r="M346" s="156">
        <v>45609</v>
      </c>
      <c r="N346" s="154" t="s">
        <v>36</v>
      </c>
      <c r="O346" s="154" t="s">
        <v>704</v>
      </c>
      <c r="P346" s="154">
        <v>852</v>
      </c>
      <c r="Q346" s="154" t="s">
        <v>1472</v>
      </c>
      <c r="R346" s="154">
        <v>2</v>
      </c>
      <c r="S346" s="154">
        <v>2</v>
      </c>
      <c r="T346" s="154" t="s">
        <v>1464</v>
      </c>
      <c r="U346" s="154">
        <v>1</v>
      </c>
      <c r="V346" s="155">
        <v>2522571</v>
      </c>
      <c r="W346" s="155">
        <v>0</v>
      </c>
      <c r="X346" s="155" t="s">
        <v>1406</v>
      </c>
      <c r="Y346" s="154"/>
      <c r="Z346" s="154" t="s">
        <v>1407</v>
      </c>
      <c r="AA346" s="156">
        <v>45625</v>
      </c>
      <c r="AB346" s="154">
        <v>25</v>
      </c>
      <c r="AC346" s="154">
        <v>22571</v>
      </c>
      <c r="AD346" s="154">
        <v>131</v>
      </c>
      <c r="AE346" s="154" t="s">
        <v>1462</v>
      </c>
      <c r="AF346" s="154">
        <v>130</v>
      </c>
      <c r="AG346" s="154" t="s">
        <v>1402</v>
      </c>
      <c r="AH346" s="154" t="s">
        <v>36</v>
      </c>
      <c r="AI346" s="154" t="s">
        <v>704</v>
      </c>
      <c r="AJ346" s="154">
        <v>852</v>
      </c>
      <c r="AK346" s="154" t="s">
        <v>1407</v>
      </c>
      <c r="AL346" s="154">
        <v>28099</v>
      </c>
      <c r="AM346" s="154" t="s">
        <v>1418</v>
      </c>
      <c r="AN346" s="154" t="s">
        <v>1447</v>
      </c>
      <c r="AO346" s="154">
        <v>28</v>
      </c>
      <c r="AP346" s="154" t="s">
        <v>1416</v>
      </c>
      <c r="AQ346" s="154">
        <v>0</v>
      </c>
      <c r="AR346" s="154" t="s">
        <v>1410</v>
      </c>
      <c r="AS346" s="154"/>
      <c r="AT346" s="154" t="s">
        <v>1417</v>
      </c>
      <c r="AU346" s="154" t="s">
        <v>1412</v>
      </c>
    </row>
    <row r="347" spans="1:47" x14ac:dyDescent="0.45">
      <c r="A347" s="154">
        <v>2513100005</v>
      </c>
      <c r="B347" s="154">
        <v>131</v>
      </c>
      <c r="C347" s="154" t="s">
        <v>1462</v>
      </c>
      <c r="D347" s="154">
        <v>130</v>
      </c>
      <c r="E347" s="154" t="s">
        <v>1402</v>
      </c>
      <c r="F347" s="154" t="s">
        <v>3125</v>
      </c>
      <c r="G347" s="154" t="s">
        <v>3126</v>
      </c>
      <c r="H347" s="154">
        <v>1</v>
      </c>
      <c r="I347" s="154" t="s">
        <v>3127</v>
      </c>
      <c r="J347" s="154" t="s">
        <v>1403</v>
      </c>
      <c r="K347" s="154">
        <v>2025</v>
      </c>
      <c r="L347" s="155">
        <v>2025</v>
      </c>
      <c r="M347" s="156">
        <v>45609</v>
      </c>
      <c r="N347" s="154" t="s">
        <v>36</v>
      </c>
      <c r="O347" s="154" t="s">
        <v>708</v>
      </c>
      <c r="P347" s="154">
        <v>813</v>
      </c>
      <c r="Q347" s="154" t="s">
        <v>1580</v>
      </c>
      <c r="R347" s="154">
        <v>2</v>
      </c>
      <c r="S347" s="154">
        <v>3</v>
      </c>
      <c r="T347" s="154" t="s">
        <v>1477</v>
      </c>
      <c r="U347" s="154">
        <v>4</v>
      </c>
      <c r="V347" s="155">
        <v>2522570</v>
      </c>
      <c r="W347" s="155">
        <v>0</v>
      </c>
      <c r="X347" s="155" t="s">
        <v>1406</v>
      </c>
      <c r="Y347" s="154"/>
      <c r="Z347" s="154" t="s">
        <v>1410</v>
      </c>
      <c r="AA347" s="156">
        <v>45625</v>
      </c>
      <c r="AB347" s="154">
        <v>25</v>
      </c>
      <c r="AC347" s="154">
        <v>22570</v>
      </c>
      <c r="AD347" s="154">
        <v>131</v>
      </c>
      <c r="AE347" s="154" t="s">
        <v>1462</v>
      </c>
      <c r="AF347" s="154">
        <v>130</v>
      </c>
      <c r="AG347" s="154" t="s">
        <v>1402</v>
      </c>
      <c r="AH347" s="154" t="s">
        <v>36</v>
      </c>
      <c r="AI347" s="154" t="s">
        <v>708</v>
      </c>
      <c r="AJ347" s="154">
        <v>813</v>
      </c>
      <c r="AK347" s="154" t="s">
        <v>1407</v>
      </c>
      <c r="AL347" s="154">
        <v>28117</v>
      </c>
      <c r="AM347" s="154" t="s">
        <v>1418</v>
      </c>
      <c r="AN347" s="154" t="s">
        <v>1576</v>
      </c>
      <c r="AO347" s="154">
        <v>28</v>
      </c>
      <c r="AP347" s="154" t="s">
        <v>1416</v>
      </c>
      <c r="AQ347" s="154">
        <v>0</v>
      </c>
      <c r="AR347" s="154" t="s">
        <v>1410</v>
      </c>
      <c r="AS347" s="154"/>
      <c r="AT347" s="154" t="s">
        <v>1417</v>
      </c>
      <c r="AU347" s="154" t="s">
        <v>1412</v>
      </c>
    </row>
    <row r="348" spans="1:47" x14ac:dyDescent="0.45">
      <c r="A348" s="154">
        <v>2513100006</v>
      </c>
      <c r="B348" s="154">
        <v>131</v>
      </c>
      <c r="C348" s="154" t="s">
        <v>1462</v>
      </c>
      <c r="D348" s="154">
        <v>130</v>
      </c>
      <c r="E348" s="154" t="s">
        <v>1402</v>
      </c>
      <c r="F348" s="154" t="s">
        <v>3128</v>
      </c>
      <c r="G348" s="154" t="s">
        <v>3129</v>
      </c>
      <c r="H348" s="154">
        <v>1</v>
      </c>
      <c r="I348" s="154" t="s">
        <v>3130</v>
      </c>
      <c r="J348" s="154" t="s">
        <v>1403</v>
      </c>
      <c r="K348" s="154">
        <v>0</v>
      </c>
      <c r="L348" s="155">
        <v>2025</v>
      </c>
      <c r="M348" s="156">
        <v>45614</v>
      </c>
      <c r="N348" s="154" t="s">
        <v>36</v>
      </c>
      <c r="O348" s="154" t="s">
        <v>704</v>
      </c>
      <c r="P348" s="154">
        <v>428</v>
      </c>
      <c r="Q348" s="154" t="s">
        <v>1463</v>
      </c>
      <c r="R348" s="154">
        <v>2</v>
      </c>
      <c r="S348" s="154">
        <v>2</v>
      </c>
      <c r="T348" s="154" t="s">
        <v>1464</v>
      </c>
      <c r="U348" s="154">
        <v>1</v>
      </c>
      <c r="V348" s="155">
        <v>2522573</v>
      </c>
      <c r="W348" s="155">
        <v>0</v>
      </c>
      <c r="X348" s="155" t="s">
        <v>1406</v>
      </c>
      <c r="Y348" s="154"/>
      <c r="Z348" s="154" t="s">
        <v>1407</v>
      </c>
      <c r="AA348" s="156">
        <v>45637</v>
      </c>
      <c r="AB348" s="154">
        <v>25</v>
      </c>
      <c r="AC348" s="154">
        <v>22573</v>
      </c>
      <c r="AD348" s="154">
        <v>131</v>
      </c>
      <c r="AE348" s="154" t="s">
        <v>1462</v>
      </c>
      <c r="AF348" s="154">
        <v>130</v>
      </c>
      <c r="AG348" s="154" t="s">
        <v>1402</v>
      </c>
      <c r="AH348" s="154" t="s">
        <v>36</v>
      </c>
      <c r="AI348" s="154" t="s">
        <v>704</v>
      </c>
      <c r="AJ348" s="154">
        <v>428</v>
      </c>
      <c r="AK348" s="154" t="s">
        <v>1407</v>
      </c>
      <c r="AL348" s="154">
        <v>26064</v>
      </c>
      <c r="AM348" s="154" t="s">
        <v>1421</v>
      </c>
      <c r="AN348" s="154" t="s">
        <v>2805</v>
      </c>
      <c r="AO348" s="154">
        <v>26</v>
      </c>
      <c r="AP348" s="154" t="s">
        <v>1514</v>
      </c>
      <c r="AQ348" s="154">
        <v>0</v>
      </c>
      <c r="AR348" s="154" t="s">
        <v>1410</v>
      </c>
      <c r="AS348" s="154"/>
      <c r="AT348" s="154" t="s">
        <v>1411</v>
      </c>
      <c r="AU348" s="154" t="s">
        <v>1412</v>
      </c>
    </row>
    <row r="349" spans="1:47" x14ac:dyDescent="0.45">
      <c r="A349" s="154">
        <v>2513100007</v>
      </c>
      <c r="B349" s="154">
        <v>131</v>
      </c>
      <c r="C349" s="154" t="s">
        <v>1462</v>
      </c>
      <c r="D349" s="154">
        <v>130</v>
      </c>
      <c r="E349" s="154" t="s">
        <v>1402</v>
      </c>
      <c r="F349" s="154" t="s">
        <v>3131</v>
      </c>
      <c r="G349" s="154" t="s">
        <v>3132</v>
      </c>
      <c r="H349" s="154">
        <v>2</v>
      </c>
      <c r="I349" s="154" t="s">
        <v>2153</v>
      </c>
      <c r="J349" s="154" t="s">
        <v>1403</v>
      </c>
      <c r="K349" s="154">
        <v>2025</v>
      </c>
      <c r="L349" s="155">
        <v>2025</v>
      </c>
      <c r="M349" s="156">
        <v>45617</v>
      </c>
      <c r="N349" s="154" t="s">
        <v>36</v>
      </c>
      <c r="O349" s="154" t="s">
        <v>708</v>
      </c>
      <c r="P349" s="154">
        <v>65</v>
      </c>
      <c r="Q349" s="154" t="s">
        <v>3133</v>
      </c>
      <c r="R349" s="154">
        <v>2</v>
      </c>
      <c r="S349" s="154">
        <v>8</v>
      </c>
      <c r="T349" s="154" t="s">
        <v>1503</v>
      </c>
      <c r="U349" s="154">
        <v>6</v>
      </c>
      <c r="V349" s="155">
        <v>2522581</v>
      </c>
      <c r="W349" s="155">
        <v>0</v>
      </c>
      <c r="X349" s="155" t="s">
        <v>1406</v>
      </c>
      <c r="Y349" s="154"/>
      <c r="Z349" s="154" t="s">
        <v>1424</v>
      </c>
      <c r="AA349" s="156">
        <v>45664</v>
      </c>
      <c r="AB349" s="154">
        <v>25</v>
      </c>
      <c r="AC349" s="154">
        <v>22581</v>
      </c>
      <c r="AD349" s="154">
        <v>131</v>
      </c>
      <c r="AE349" s="154" t="s">
        <v>1462</v>
      </c>
      <c r="AF349" s="154">
        <v>130</v>
      </c>
      <c r="AG349" s="154" t="s">
        <v>1402</v>
      </c>
      <c r="AH349" s="154" t="s">
        <v>36</v>
      </c>
      <c r="AI349" s="154" t="s">
        <v>708</v>
      </c>
      <c r="AJ349" s="154">
        <v>65</v>
      </c>
      <c r="AK349" s="154" t="s">
        <v>1407</v>
      </c>
      <c r="AL349" s="154">
        <v>28088</v>
      </c>
      <c r="AM349" s="154" t="s">
        <v>1418</v>
      </c>
      <c r="AN349" s="154" t="s">
        <v>1497</v>
      </c>
      <c r="AO349" s="154">
        <v>28</v>
      </c>
      <c r="AP349" s="154" t="s">
        <v>1416</v>
      </c>
      <c r="AQ349" s="154">
        <v>0</v>
      </c>
      <c r="AR349" s="154" t="s">
        <v>1410</v>
      </c>
      <c r="AS349" s="154"/>
      <c r="AT349" s="154" t="s">
        <v>1417</v>
      </c>
      <c r="AU349" s="154" t="s">
        <v>1412</v>
      </c>
    </row>
    <row r="350" spans="1:47" x14ac:dyDescent="0.45">
      <c r="A350" s="154">
        <v>2513100008</v>
      </c>
      <c r="B350" s="154">
        <v>131</v>
      </c>
      <c r="C350" s="154" t="s">
        <v>1462</v>
      </c>
      <c r="D350" s="154">
        <v>130</v>
      </c>
      <c r="E350" s="154" t="s">
        <v>1402</v>
      </c>
      <c r="F350" s="154" t="s">
        <v>3134</v>
      </c>
      <c r="G350" s="154" t="s">
        <v>3135</v>
      </c>
      <c r="H350" s="154">
        <v>2</v>
      </c>
      <c r="I350" s="154" t="s">
        <v>2674</v>
      </c>
      <c r="J350" s="154" t="s">
        <v>1403</v>
      </c>
      <c r="K350" s="154">
        <v>2025</v>
      </c>
      <c r="L350" s="155">
        <v>2025</v>
      </c>
      <c r="M350" s="156">
        <v>45664</v>
      </c>
      <c r="N350" s="154" t="s">
        <v>36</v>
      </c>
      <c r="O350" s="154" t="s">
        <v>708</v>
      </c>
      <c r="P350" s="154">
        <v>1044</v>
      </c>
      <c r="Q350" s="154" t="s">
        <v>1476</v>
      </c>
      <c r="R350" s="154">
        <v>2</v>
      </c>
      <c r="S350" s="154">
        <v>3</v>
      </c>
      <c r="T350" s="154" t="s">
        <v>1477</v>
      </c>
      <c r="U350" s="154">
        <v>4</v>
      </c>
      <c r="V350" s="155">
        <v>2522589</v>
      </c>
      <c r="W350" s="155">
        <v>0</v>
      </c>
      <c r="X350" s="155" t="s">
        <v>1406</v>
      </c>
      <c r="Y350" s="154"/>
      <c r="Z350" s="154" t="s">
        <v>1424</v>
      </c>
      <c r="AA350" s="156">
        <v>45680</v>
      </c>
      <c r="AB350" s="154">
        <v>25</v>
      </c>
      <c r="AC350" s="154">
        <v>22589</v>
      </c>
      <c r="AD350" s="154">
        <v>131</v>
      </c>
      <c r="AE350" s="154" t="s">
        <v>1462</v>
      </c>
      <c r="AF350" s="154">
        <v>130</v>
      </c>
      <c r="AG350" s="154" t="s">
        <v>1402</v>
      </c>
      <c r="AH350" s="154" t="s">
        <v>36</v>
      </c>
      <c r="AI350" s="154" t="s">
        <v>708</v>
      </c>
      <c r="AJ350" s="154">
        <v>1044</v>
      </c>
      <c r="AK350" s="154" t="s">
        <v>1407</v>
      </c>
      <c r="AL350" s="154">
        <v>28088</v>
      </c>
      <c r="AM350" s="154" t="s">
        <v>1418</v>
      </c>
      <c r="AN350" s="154" t="s">
        <v>1497</v>
      </c>
      <c r="AO350" s="154">
        <v>28</v>
      </c>
      <c r="AP350" s="154" t="s">
        <v>1416</v>
      </c>
      <c r="AQ350" s="154">
        <v>0</v>
      </c>
      <c r="AR350" s="154" t="s">
        <v>1410</v>
      </c>
      <c r="AS350" s="154"/>
      <c r="AT350" s="154" t="s">
        <v>1417</v>
      </c>
      <c r="AU350" s="154" t="s">
        <v>1412</v>
      </c>
    </row>
    <row r="351" spans="1:47" x14ac:dyDescent="0.45">
      <c r="A351" s="154">
        <v>2513100009</v>
      </c>
      <c r="B351" s="154">
        <v>131</v>
      </c>
      <c r="C351" s="154" t="s">
        <v>1462</v>
      </c>
      <c r="D351" s="154">
        <v>130</v>
      </c>
      <c r="E351" s="154" t="s">
        <v>1402</v>
      </c>
      <c r="F351" s="154" t="s">
        <v>3136</v>
      </c>
      <c r="G351" s="154" t="s">
        <v>3137</v>
      </c>
      <c r="H351" s="154">
        <v>1</v>
      </c>
      <c r="I351" s="154" t="s">
        <v>1363</v>
      </c>
      <c r="J351" s="154" t="s">
        <v>1403</v>
      </c>
      <c r="K351" s="154">
        <v>2025</v>
      </c>
      <c r="L351" s="155">
        <v>2025</v>
      </c>
      <c r="M351" s="156">
        <v>45671</v>
      </c>
      <c r="N351" s="154" t="s">
        <v>36</v>
      </c>
      <c r="O351" s="154" t="s">
        <v>704</v>
      </c>
      <c r="P351" s="154">
        <v>968</v>
      </c>
      <c r="Q351" s="154" t="s">
        <v>1474</v>
      </c>
      <c r="R351" s="154">
        <v>2</v>
      </c>
      <c r="S351" s="154">
        <v>2</v>
      </c>
      <c r="T351" s="154" t="s">
        <v>1464</v>
      </c>
      <c r="U351" s="154">
        <v>1</v>
      </c>
      <c r="V351" s="155">
        <v>2522590</v>
      </c>
      <c r="W351" s="155">
        <v>0</v>
      </c>
      <c r="X351" s="155" t="s">
        <v>1406</v>
      </c>
      <c r="Y351" s="154"/>
      <c r="Z351" s="154" t="s">
        <v>1410</v>
      </c>
      <c r="AA351" s="156">
        <v>45680</v>
      </c>
      <c r="AB351" s="154">
        <v>25</v>
      </c>
      <c r="AC351" s="154">
        <v>22590</v>
      </c>
      <c r="AD351" s="154">
        <v>131</v>
      </c>
      <c r="AE351" s="154" t="s">
        <v>1462</v>
      </c>
      <c r="AF351" s="154">
        <v>130</v>
      </c>
      <c r="AG351" s="154" t="s">
        <v>1402</v>
      </c>
      <c r="AH351" s="154" t="s">
        <v>36</v>
      </c>
      <c r="AI351" s="154" t="s">
        <v>704</v>
      </c>
      <c r="AJ351" s="154">
        <v>968</v>
      </c>
      <c r="AK351" s="154" t="s">
        <v>1407</v>
      </c>
      <c r="AL351" s="154">
        <v>28029</v>
      </c>
      <c r="AM351" s="154" t="s">
        <v>1421</v>
      </c>
      <c r="AN351" s="154" t="s">
        <v>1441</v>
      </c>
      <c r="AO351" s="154">
        <v>28</v>
      </c>
      <c r="AP351" s="154" t="s">
        <v>1416</v>
      </c>
      <c r="AQ351" s="154">
        <v>0</v>
      </c>
      <c r="AR351" s="154" t="s">
        <v>1410</v>
      </c>
      <c r="AS351" s="154"/>
      <c r="AT351" s="154" t="s">
        <v>1417</v>
      </c>
      <c r="AU351" s="154" t="s">
        <v>1412</v>
      </c>
    </row>
    <row r="352" spans="1:47" x14ac:dyDescent="0.45">
      <c r="A352" s="154">
        <v>2513100010</v>
      </c>
      <c r="B352" s="154">
        <v>131</v>
      </c>
      <c r="C352" s="154" t="s">
        <v>1462</v>
      </c>
      <c r="D352" s="154">
        <v>130</v>
      </c>
      <c r="E352" s="154" t="s">
        <v>1402</v>
      </c>
      <c r="F352" s="154" t="s">
        <v>3138</v>
      </c>
      <c r="G352" s="154" t="s">
        <v>3139</v>
      </c>
      <c r="H352" s="154">
        <v>1</v>
      </c>
      <c r="I352" s="154" t="s">
        <v>905</v>
      </c>
      <c r="J352" s="154" t="s">
        <v>1403</v>
      </c>
      <c r="K352" s="154">
        <v>2025</v>
      </c>
      <c r="L352" s="155">
        <v>2025</v>
      </c>
      <c r="M352" s="156">
        <v>45674</v>
      </c>
      <c r="N352" s="154" t="s">
        <v>36</v>
      </c>
      <c r="O352" s="154" t="s">
        <v>793</v>
      </c>
      <c r="P352" s="154">
        <v>428</v>
      </c>
      <c r="Q352" s="154" t="s">
        <v>1463</v>
      </c>
      <c r="R352" s="154">
        <v>1</v>
      </c>
      <c r="S352" s="154">
        <v>2</v>
      </c>
      <c r="T352" s="154" t="s">
        <v>1464</v>
      </c>
      <c r="U352" s="154">
        <v>1</v>
      </c>
      <c r="V352" s="155">
        <v>2522601</v>
      </c>
      <c r="W352" s="155">
        <v>0</v>
      </c>
      <c r="X352" s="155" t="s">
        <v>1406</v>
      </c>
      <c r="Y352" s="154"/>
      <c r="Z352" s="154" t="s">
        <v>1407</v>
      </c>
      <c r="AA352" s="156">
        <v>45692</v>
      </c>
      <c r="AB352" s="154">
        <v>25</v>
      </c>
      <c r="AC352" s="154">
        <v>22601</v>
      </c>
      <c r="AD352" s="154">
        <v>131</v>
      </c>
      <c r="AE352" s="154" t="s">
        <v>1462</v>
      </c>
      <c r="AF352" s="154">
        <v>130</v>
      </c>
      <c r="AG352" s="154" t="s">
        <v>1402</v>
      </c>
      <c r="AH352" s="154" t="s">
        <v>36</v>
      </c>
      <c r="AI352" s="154" t="s">
        <v>793</v>
      </c>
      <c r="AJ352" s="154">
        <v>428</v>
      </c>
      <c r="AK352" s="154" t="s">
        <v>1407</v>
      </c>
      <c r="AL352" s="154">
        <v>28095</v>
      </c>
      <c r="AM352" s="154" t="s">
        <v>1421</v>
      </c>
      <c r="AN352" s="154" t="s">
        <v>1435</v>
      </c>
      <c r="AO352" s="154">
        <v>28</v>
      </c>
      <c r="AP352" s="154" t="s">
        <v>1416</v>
      </c>
      <c r="AQ352" s="154">
        <v>0</v>
      </c>
      <c r="AR352" s="154" t="s">
        <v>1410</v>
      </c>
      <c r="AS352" s="154"/>
      <c r="AT352" s="154" t="s">
        <v>1417</v>
      </c>
      <c r="AU352" s="154" t="s">
        <v>1412</v>
      </c>
    </row>
    <row r="353" spans="1:47" x14ac:dyDescent="0.45">
      <c r="A353" s="154">
        <v>2513100011</v>
      </c>
      <c r="B353" s="154">
        <v>131</v>
      </c>
      <c r="C353" s="154" t="s">
        <v>1462</v>
      </c>
      <c r="D353" s="154">
        <v>130</v>
      </c>
      <c r="E353" s="154" t="s">
        <v>1402</v>
      </c>
      <c r="F353" s="154" t="s">
        <v>3140</v>
      </c>
      <c r="G353" s="154" t="s">
        <v>3141</v>
      </c>
      <c r="H353" s="154">
        <v>2</v>
      </c>
      <c r="I353" s="154" t="s">
        <v>3142</v>
      </c>
      <c r="J353" s="154" t="s">
        <v>1403</v>
      </c>
      <c r="K353" s="154">
        <v>2025</v>
      </c>
      <c r="L353" s="155">
        <v>2025</v>
      </c>
      <c r="M353" s="156">
        <v>45674</v>
      </c>
      <c r="N353" s="154" t="s">
        <v>36</v>
      </c>
      <c r="O353" s="154" t="s">
        <v>793</v>
      </c>
      <c r="P353" s="154">
        <v>857</v>
      </c>
      <c r="Q353" s="154" t="s">
        <v>1481</v>
      </c>
      <c r="R353" s="154">
        <v>1</v>
      </c>
      <c r="S353" s="154">
        <v>2</v>
      </c>
      <c r="T353" s="154" t="s">
        <v>1464</v>
      </c>
      <c r="U353" s="154">
        <v>1</v>
      </c>
      <c r="V353" s="155">
        <v>2522594</v>
      </c>
      <c r="W353" s="155">
        <v>0</v>
      </c>
      <c r="X353" s="155" t="s">
        <v>1406</v>
      </c>
      <c r="Y353" s="154"/>
      <c r="Z353" s="154" t="s">
        <v>1407</v>
      </c>
      <c r="AA353" s="156">
        <v>45686</v>
      </c>
      <c r="AB353" s="154">
        <v>25</v>
      </c>
      <c r="AC353" s="154">
        <v>22594</v>
      </c>
      <c r="AD353" s="154">
        <v>131</v>
      </c>
      <c r="AE353" s="154" t="s">
        <v>1462</v>
      </c>
      <c r="AF353" s="154">
        <v>130</v>
      </c>
      <c r="AG353" s="154" t="s">
        <v>1402</v>
      </c>
      <c r="AH353" s="154" t="s">
        <v>36</v>
      </c>
      <c r="AI353" s="154" t="s">
        <v>793</v>
      </c>
      <c r="AJ353" s="154">
        <v>857</v>
      </c>
      <c r="AK353" s="154" t="s">
        <v>1407</v>
      </c>
      <c r="AL353" s="154">
        <v>28120</v>
      </c>
      <c r="AM353" s="154" t="s">
        <v>1418</v>
      </c>
      <c r="AN353" s="154" t="s">
        <v>1593</v>
      </c>
      <c r="AO353" s="154">
        <v>28</v>
      </c>
      <c r="AP353" s="154" t="s">
        <v>1416</v>
      </c>
      <c r="AQ353" s="154">
        <v>0</v>
      </c>
      <c r="AR353" s="154" t="s">
        <v>1410</v>
      </c>
      <c r="AS353" s="154"/>
      <c r="AT353" s="154" t="s">
        <v>1417</v>
      </c>
      <c r="AU353" s="154" t="s">
        <v>1412</v>
      </c>
    </row>
    <row r="354" spans="1:47" x14ac:dyDescent="0.45">
      <c r="A354" s="154">
        <v>2513100012</v>
      </c>
      <c r="B354" s="154">
        <v>131</v>
      </c>
      <c r="C354" s="154" t="s">
        <v>1462</v>
      </c>
      <c r="D354" s="154">
        <v>130</v>
      </c>
      <c r="E354" s="154" t="s">
        <v>1402</v>
      </c>
      <c r="F354" s="154" t="s">
        <v>3143</v>
      </c>
      <c r="G354" s="154" t="s">
        <v>3144</v>
      </c>
      <c r="H354" s="154">
        <v>1</v>
      </c>
      <c r="I354" s="154" t="s">
        <v>3145</v>
      </c>
      <c r="J354" s="154" t="s">
        <v>1403</v>
      </c>
      <c r="K354" s="154">
        <v>2025</v>
      </c>
      <c r="L354" s="155">
        <v>2025</v>
      </c>
      <c r="M354" s="156">
        <v>45674</v>
      </c>
      <c r="N354" s="154" t="s">
        <v>36</v>
      </c>
      <c r="O354" s="154" t="s">
        <v>704</v>
      </c>
      <c r="P354" s="154">
        <v>260</v>
      </c>
      <c r="Q354" s="154" t="s">
        <v>1519</v>
      </c>
      <c r="R354" s="154">
        <v>2</v>
      </c>
      <c r="S354" s="154">
        <v>2</v>
      </c>
      <c r="T354" s="154" t="s">
        <v>1464</v>
      </c>
      <c r="U354" s="154">
        <v>1</v>
      </c>
      <c r="V354" s="155">
        <v>0</v>
      </c>
      <c r="W354" s="155">
        <v>0</v>
      </c>
      <c r="X354" s="155" t="s">
        <v>1406</v>
      </c>
      <c r="Y354" s="156">
        <v>45747</v>
      </c>
      <c r="Z354" s="154" t="s">
        <v>1473</v>
      </c>
      <c r="AA354" s="154"/>
      <c r="AB354" s="154">
        <v>0</v>
      </c>
      <c r="AC354" s="154">
        <v>0</v>
      </c>
      <c r="AD354" s="154">
        <v>0</v>
      </c>
      <c r="AE354" s="154" t="s">
        <v>1446</v>
      </c>
      <c r="AF354" s="154"/>
      <c r="AG354" s="154" t="s">
        <v>1446</v>
      </c>
      <c r="AH354" s="154"/>
      <c r="AI354" s="154"/>
      <c r="AJ354" s="154">
        <v>0</v>
      </c>
      <c r="AK354" s="154" t="s">
        <v>1473</v>
      </c>
      <c r="AL354" s="154">
        <v>28103</v>
      </c>
      <c r="AM354" s="154" t="s">
        <v>1418</v>
      </c>
      <c r="AN354" s="154" t="s">
        <v>1505</v>
      </c>
      <c r="AO354" s="154">
        <v>28</v>
      </c>
      <c r="AP354" s="154" t="s">
        <v>1416</v>
      </c>
      <c r="AQ354" s="154">
        <v>0</v>
      </c>
      <c r="AR354" s="154" t="s">
        <v>1410</v>
      </c>
      <c r="AS354" s="154"/>
      <c r="AT354" s="154" t="s">
        <v>1417</v>
      </c>
      <c r="AU354" s="154" t="s">
        <v>1412</v>
      </c>
    </row>
    <row r="355" spans="1:47" x14ac:dyDescent="0.45">
      <c r="A355" s="154">
        <v>2513100013</v>
      </c>
      <c r="B355" s="154">
        <v>131</v>
      </c>
      <c r="C355" s="154" t="s">
        <v>1462</v>
      </c>
      <c r="D355" s="154">
        <v>130</v>
      </c>
      <c r="E355" s="154" t="s">
        <v>1402</v>
      </c>
      <c r="F355" s="154" t="s">
        <v>3146</v>
      </c>
      <c r="G355" s="154" t="s">
        <v>3147</v>
      </c>
      <c r="H355" s="154">
        <v>1</v>
      </c>
      <c r="I355" s="154" t="s">
        <v>3148</v>
      </c>
      <c r="J355" s="154" t="s">
        <v>1403</v>
      </c>
      <c r="K355" s="154">
        <v>2025</v>
      </c>
      <c r="L355" s="155">
        <v>2025</v>
      </c>
      <c r="M355" s="156">
        <v>45678</v>
      </c>
      <c r="N355" s="154" t="s">
        <v>36</v>
      </c>
      <c r="O355" s="154" t="s">
        <v>708</v>
      </c>
      <c r="P355" s="154">
        <v>1044</v>
      </c>
      <c r="Q355" s="154" t="s">
        <v>1476</v>
      </c>
      <c r="R355" s="154">
        <v>2</v>
      </c>
      <c r="S355" s="154">
        <v>3</v>
      </c>
      <c r="T355" s="154" t="s">
        <v>1477</v>
      </c>
      <c r="U355" s="154">
        <v>4</v>
      </c>
      <c r="V355" s="155">
        <v>2522596</v>
      </c>
      <c r="W355" s="155">
        <v>0</v>
      </c>
      <c r="X355" s="155" t="s">
        <v>1406</v>
      </c>
      <c r="Y355" s="154"/>
      <c r="Z355" s="154" t="s">
        <v>1407</v>
      </c>
      <c r="AA355" s="156">
        <v>45688</v>
      </c>
      <c r="AB355" s="154">
        <v>25</v>
      </c>
      <c r="AC355" s="154">
        <v>22596</v>
      </c>
      <c r="AD355" s="154">
        <v>131</v>
      </c>
      <c r="AE355" s="154" t="s">
        <v>1462</v>
      </c>
      <c r="AF355" s="154">
        <v>130</v>
      </c>
      <c r="AG355" s="154" t="s">
        <v>1402</v>
      </c>
      <c r="AH355" s="154" t="s">
        <v>36</v>
      </c>
      <c r="AI355" s="154" t="s">
        <v>708</v>
      </c>
      <c r="AJ355" s="154">
        <v>1044</v>
      </c>
      <c r="AK355" s="154" t="s">
        <v>1407</v>
      </c>
      <c r="AL355" s="154">
        <v>28095</v>
      </c>
      <c r="AM355" s="154" t="s">
        <v>1421</v>
      </c>
      <c r="AN355" s="154" t="s">
        <v>1435</v>
      </c>
      <c r="AO355" s="154">
        <v>28</v>
      </c>
      <c r="AP355" s="154" t="s">
        <v>1416</v>
      </c>
      <c r="AQ355" s="154">
        <v>0</v>
      </c>
      <c r="AR355" s="154" t="s">
        <v>1410</v>
      </c>
      <c r="AS355" s="154"/>
      <c r="AT355" s="154" t="s">
        <v>1417</v>
      </c>
      <c r="AU355" s="154" t="s">
        <v>1412</v>
      </c>
    </row>
    <row r="356" spans="1:47" x14ac:dyDescent="0.45">
      <c r="A356" s="154">
        <v>2513100014</v>
      </c>
      <c r="B356" s="154">
        <v>131</v>
      </c>
      <c r="C356" s="154" t="s">
        <v>1462</v>
      </c>
      <c r="D356" s="154">
        <v>130</v>
      </c>
      <c r="E356" s="154" t="s">
        <v>1402</v>
      </c>
      <c r="F356" s="154" t="s">
        <v>3149</v>
      </c>
      <c r="G356" s="154" t="s">
        <v>3150</v>
      </c>
      <c r="H356" s="154">
        <v>2</v>
      </c>
      <c r="I356" s="154" t="s">
        <v>878</v>
      </c>
      <c r="J356" s="154" t="s">
        <v>1403</v>
      </c>
      <c r="K356" s="154">
        <v>0</v>
      </c>
      <c r="L356" s="155">
        <v>2025</v>
      </c>
      <c r="M356" s="156">
        <v>45684</v>
      </c>
      <c r="N356" s="154" t="s">
        <v>36</v>
      </c>
      <c r="O356" s="154" t="s">
        <v>704</v>
      </c>
      <c r="P356" s="154">
        <v>785</v>
      </c>
      <c r="Q356" s="154" t="s">
        <v>1491</v>
      </c>
      <c r="R356" s="154">
        <v>2</v>
      </c>
      <c r="S356" s="154">
        <v>2</v>
      </c>
      <c r="T356" s="154" t="s">
        <v>1464</v>
      </c>
      <c r="U356" s="154">
        <v>1</v>
      </c>
      <c r="V356" s="155">
        <v>2522605</v>
      </c>
      <c r="W356" s="155">
        <v>0</v>
      </c>
      <c r="X356" s="155" t="s">
        <v>1406</v>
      </c>
      <c r="Y356" s="154"/>
      <c r="Z356" s="154" t="s">
        <v>1407</v>
      </c>
      <c r="AA356" s="156">
        <v>45706</v>
      </c>
      <c r="AB356" s="154">
        <v>25</v>
      </c>
      <c r="AC356" s="154">
        <v>22605</v>
      </c>
      <c r="AD356" s="154">
        <v>131</v>
      </c>
      <c r="AE356" s="154" t="s">
        <v>1462</v>
      </c>
      <c r="AF356" s="154">
        <v>130</v>
      </c>
      <c r="AG356" s="154" t="s">
        <v>1402</v>
      </c>
      <c r="AH356" s="154" t="s">
        <v>36</v>
      </c>
      <c r="AI356" s="154" t="s">
        <v>704</v>
      </c>
      <c r="AJ356" s="154">
        <v>785</v>
      </c>
      <c r="AK356" s="154" t="s">
        <v>1407</v>
      </c>
      <c r="AL356" s="154">
        <v>28098</v>
      </c>
      <c r="AM356" s="154" t="s">
        <v>1418</v>
      </c>
      <c r="AN356" s="154" t="s">
        <v>1448</v>
      </c>
      <c r="AO356" s="154">
        <v>28</v>
      </c>
      <c r="AP356" s="154" t="s">
        <v>1416</v>
      </c>
      <c r="AQ356" s="154">
        <v>0</v>
      </c>
      <c r="AR356" s="154" t="s">
        <v>1410</v>
      </c>
      <c r="AS356" s="154"/>
      <c r="AT356" s="154" t="s">
        <v>1411</v>
      </c>
      <c r="AU356" s="154" t="s">
        <v>1412</v>
      </c>
    </row>
    <row r="357" spans="1:47" x14ac:dyDescent="0.45">
      <c r="A357" s="154">
        <v>2513100015</v>
      </c>
      <c r="B357" s="154">
        <v>131</v>
      </c>
      <c r="C357" s="154" t="s">
        <v>1462</v>
      </c>
      <c r="D357" s="154">
        <v>130</v>
      </c>
      <c r="E357" s="154" t="s">
        <v>1402</v>
      </c>
      <c r="F357" s="154" t="s">
        <v>3151</v>
      </c>
      <c r="G357" s="154" t="s">
        <v>3152</v>
      </c>
      <c r="H357" s="154">
        <v>1</v>
      </c>
      <c r="I357" s="154" t="s">
        <v>2311</v>
      </c>
      <c r="J357" s="154" t="s">
        <v>1403</v>
      </c>
      <c r="K357" s="154">
        <v>2025</v>
      </c>
      <c r="L357" s="155">
        <v>2025</v>
      </c>
      <c r="M357" s="156">
        <v>45701</v>
      </c>
      <c r="N357" s="154" t="s">
        <v>36</v>
      </c>
      <c r="O357" s="154" t="s">
        <v>704</v>
      </c>
      <c r="P357" s="154">
        <v>856</v>
      </c>
      <c r="Q357" s="154" t="s">
        <v>1533</v>
      </c>
      <c r="R357" s="154">
        <v>2</v>
      </c>
      <c r="S357" s="154">
        <v>2</v>
      </c>
      <c r="T357" s="154" t="s">
        <v>1464</v>
      </c>
      <c r="U357" s="154">
        <v>1</v>
      </c>
      <c r="V357" s="155">
        <v>2522610</v>
      </c>
      <c r="W357" s="155">
        <v>0</v>
      </c>
      <c r="X357" s="155" t="s">
        <v>1406</v>
      </c>
      <c r="Y357" s="154"/>
      <c r="Z357" s="154" t="s">
        <v>1407</v>
      </c>
      <c r="AA357" s="156">
        <v>45719</v>
      </c>
      <c r="AB357" s="154">
        <v>25</v>
      </c>
      <c r="AC357" s="154">
        <v>22610</v>
      </c>
      <c r="AD357" s="154">
        <v>131</v>
      </c>
      <c r="AE357" s="154" t="s">
        <v>1462</v>
      </c>
      <c r="AF357" s="154">
        <v>130</v>
      </c>
      <c r="AG357" s="154" t="s">
        <v>1402</v>
      </c>
      <c r="AH357" s="154" t="s">
        <v>36</v>
      </c>
      <c r="AI357" s="154" t="s">
        <v>704</v>
      </c>
      <c r="AJ357" s="154">
        <v>856</v>
      </c>
      <c r="AK357" s="154" t="s">
        <v>1407</v>
      </c>
      <c r="AL357" s="154">
        <v>28178</v>
      </c>
      <c r="AM357" s="154" t="s">
        <v>1418</v>
      </c>
      <c r="AN357" s="154" t="s">
        <v>1507</v>
      </c>
      <c r="AO357" s="154">
        <v>28</v>
      </c>
      <c r="AP357" s="154" t="s">
        <v>1416</v>
      </c>
      <c r="AQ357" s="154">
        <v>0</v>
      </c>
      <c r="AR357" s="154" t="s">
        <v>1410</v>
      </c>
      <c r="AS357" s="154"/>
      <c r="AT357" s="154" t="s">
        <v>1417</v>
      </c>
      <c r="AU357" s="154" t="s">
        <v>1412</v>
      </c>
    </row>
    <row r="358" spans="1:47" x14ac:dyDescent="0.45">
      <c r="A358" s="154">
        <v>2513100016</v>
      </c>
      <c r="B358" s="154">
        <v>131</v>
      </c>
      <c r="C358" s="154" t="s">
        <v>1462</v>
      </c>
      <c r="D358" s="154">
        <v>130</v>
      </c>
      <c r="E358" s="154" t="s">
        <v>1402</v>
      </c>
      <c r="F358" s="154" t="s">
        <v>3153</v>
      </c>
      <c r="G358" s="154" t="s">
        <v>3154</v>
      </c>
      <c r="H358" s="154">
        <v>2</v>
      </c>
      <c r="I358" s="154" t="s">
        <v>3155</v>
      </c>
      <c r="J358" s="154" t="s">
        <v>1403</v>
      </c>
      <c r="K358" s="154">
        <v>0</v>
      </c>
      <c r="L358" s="155">
        <v>2025</v>
      </c>
      <c r="M358" s="156">
        <v>45707</v>
      </c>
      <c r="N358" s="154" t="s">
        <v>36</v>
      </c>
      <c r="O358" s="154" t="s">
        <v>698</v>
      </c>
      <c r="P358" s="154">
        <v>504</v>
      </c>
      <c r="Q358" s="154" t="s">
        <v>1509</v>
      </c>
      <c r="R358" s="154">
        <v>2</v>
      </c>
      <c r="S358" s="154">
        <v>5</v>
      </c>
      <c r="T358" s="154" t="s">
        <v>1470</v>
      </c>
      <c r="U358" s="154">
        <v>15</v>
      </c>
      <c r="V358" s="155">
        <v>2522611</v>
      </c>
      <c r="W358" s="155">
        <v>0</v>
      </c>
      <c r="X358" s="155" t="s">
        <v>1406</v>
      </c>
      <c r="Y358" s="154"/>
      <c r="Z358" s="154" t="s">
        <v>1407</v>
      </c>
      <c r="AA358" s="156">
        <v>45720</v>
      </c>
      <c r="AB358" s="154">
        <v>25</v>
      </c>
      <c r="AC358" s="154">
        <v>22611</v>
      </c>
      <c r="AD358" s="154">
        <v>131</v>
      </c>
      <c r="AE358" s="154" t="s">
        <v>1462</v>
      </c>
      <c r="AF358" s="154">
        <v>130</v>
      </c>
      <c r="AG358" s="154" t="s">
        <v>1402</v>
      </c>
      <c r="AH358" s="154" t="s">
        <v>36</v>
      </c>
      <c r="AI358" s="154" t="s">
        <v>698</v>
      </c>
      <c r="AJ358" s="154">
        <v>504</v>
      </c>
      <c r="AK358" s="154" t="s">
        <v>1407</v>
      </c>
      <c r="AL358" s="154">
        <v>28092</v>
      </c>
      <c r="AM358" s="154" t="s">
        <v>1421</v>
      </c>
      <c r="AN358" s="154" t="s">
        <v>2824</v>
      </c>
      <c r="AO358" s="154">
        <v>28</v>
      </c>
      <c r="AP358" s="154" t="s">
        <v>1416</v>
      </c>
      <c r="AQ358" s="154">
        <v>0</v>
      </c>
      <c r="AR358" s="154" t="s">
        <v>1410</v>
      </c>
      <c r="AS358" s="154"/>
      <c r="AT358" s="154" t="s">
        <v>1411</v>
      </c>
      <c r="AU358" s="154" t="s">
        <v>1412</v>
      </c>
    </row>
    <row r="359" spans="1:47" x14ac:dyDescent="0.45">
      <c r="A359" s="154">
        <v>2513100018</v>
      </c>
      <c r="B359" s="154">
        <v>131</v>
      </c>
      <c r="C359" s="154" t="s">
        <v>1462</v>
      </c>
      <c r="D359" s="154">
        <v>130</v>
      </c>
      <c r="E359" s="154" t="s">
        <v>1402</v>
      </c>
      <c r="F359" s="154" t="s">
        <v>3156</v>
      </c>
      <c r="G359" s="154" t="s">
        <v>3157</v>
      </c>
      <c r="H359" s="154">
        <v>1</v>
      </c>
      <c r="I359" s="154" t="s">
        <v>3158</v>
      </c>
      <c r="J359" s="154" t="s">
        <v>1403</v>
      </c>
      <c r="K359" s="154">
        <v>2025</v>
      </c>
      <c r="L359" s="155">
        <v>2025</v>
      </c>
      <c r="M359" s="156">
        <v>45723</v>
      </c>
      <c r="N359" s="154" t="s">
        <v>36</v>
      </c>
      <c r="O359" s="154" t="s">
        <v>704</v>
      </c>
      <c r="P359" s="154">
        <v>428</v>
      </c>
      <c r="Q359" s="154" t="s">
        <v>1463</v>
      </c>
      <c r="R359" s="154">
        <v>2</v>
      </c>
      <c r="S359" s="154">
        <v>2</v>
      </c>
      <c r="T359" s="154" t="s">
        <v>1464</v>
      </c>
      <c r="U359" s="154">
        <v>1</v>
      </c>
      <c r="V359" s="155">
        <v>2522616</v>
      </c>
      <c r="W359" s="155">
        <v>0</v>
      </c>
      <c r="X359" s="155" t="s">
        <v>1406</v>
      </c>
      <c r="Y359" s="154"/>
      <c r="Z359" s="154" t="s">
        <v>1407</v>
      </c>
      <c r="AA359" s="156">
        <v>45741</v>
      </c>
      <c r="AB359" s="154">
        <v>25</v>
      </c>
      <c r="AC359" s="154">
        <v>22616</v>
      </c>
      <c r="AD359" s="154">
        <v>131</v>
      </c>
      <c r="AE359" s="154" t="s">
        <v>1462</v>
      </c>
      <c r="AF359" s="154">
        <v>130</v>
      </c>
      <c r="AG359" s="154" t="s">
        <v>1402</v>
      </c>
      <c r="AH359" s="154" t="s">
        <v>36</v>
      </c>
      <c r="AI359" s="154" t="s">
        <v>704</v>
      </c>
      <c r="AJ359" s="154">
        <v>428</v>
      </c>
      <c r="AK359" s="154" t="s">
        <v>1407</v>
      </c>
      <c r="AL359" s="154">
        <v>28024</v>
      </c>
      <c r="AM359" s="154" t="s">
        <v>1421</v>
      </c>
      <c r="AN359" s="154" t="s">
        <v>1535</v>
      </c>
      <c r="AO359" s="154">
        <v>28</v>
      </c>
      <c r="AP359" s="154" t="s">
        <v>1416</v>
      </c>
      <c r="AQ359" s="154">
        <v>0</v>
      </c>
      <c r="AR359" s="154" t="s">
        <v>1410</v>
      </c>
      <c r="AS359" s="154"/>
      <c r="AT359" s="154" t="s">
        <v>1417</v>
      </c>
      <c r="AU359" s="154" t="s">
        <v>1412</v>
      </c>
    </row>
    <row r="360" spans="1:47" x14ac:dyDescent="0.45">
      <c r="A360" s="154">
        <v>2513100020</v>
      </c>
      <c r="B360" s="154">
        <v>131</v>
      </c>
      <c r="C360" s="154" t="s">
        <v>1462</v>
      </c>
      <c r="D360" s="154">
        <v>130</v>
      </c>
      <c r="E360" s="154" t="s">
        <v>1402</v>
      </c>
      <c r="F360" s="154" t="s">
        <v>3159</v>
      </c>
      <c r="G360" s="154" t="s">
        <v>3160</v>
      </c>
      <c r="H360" s="154">
        <v>1</v>
      </c>
      <c r="I360" s="154" t="s">
        <v>711</v>
      </c>
      <c r="J360" s="154" t="s">
        <v>1403</v>
      </c>
      <c r="K360" s="154">
        <v>2025</v>
      </c>
      <c r="L360" s="155">
        <v>2025</v>
      </c>
      <c r="M360" s="156">
        <v>45733</v>
      </c>
      <c r="N360" s="154" t="s">
        <v>36</v>
      </c>
      <c r="O360" s="154" t="s">
        <v>708</v>
      </c>
      <c r="P360" s="154">
        <v>813</v>
      </c>
      <c r="Q360" s="154" t="s">
        <v>1580</v>
      </c>
      <c r="R360" s="154">
        <v>2</v>
      </c>
      <c r="S360" s="154">
        <v>3</v>
      </c>
      <c r="T360" s="154" t="s">
        <v>1477</v>
      </c>
      <c r="U360" s="154">
        <v>4</v>
      </c>
      <c r="V360" s="155">
        <v>2522617</v>
      </c>
      <c r="W360" s="155">
        <v>0</v>
      </c>
      <c r="X360" s="155" t="s">
        <v>1406</v>
      </c>
      <c r="Y360" s="154"/>
      <c r="Z360" s="154" t="s">
        <v>1424</v>
      </c>
      <c r="AA360" s="156">
        <v>45742</v>
      </c>
      <c r="AB360" s="154">
        <v>25</v>
      </c>
      <c r="AC360" s="154">
        <v>22617</v>
      </c>
      <c r="AD360" s="154">
        <v>131</v>
      </c>
      <c r="AE360" s="154" t="s">
        <v>1462</v>
      </c>
      <c r="AF360" s="154">
        <v>130</v>
      </c>
      <c r="AG360" s="154" t="s">
        <v>1402</v>
      </c>
      <c r="AH360" s="154" t="s">
        <v>36</v>
      </c>
      <c r="AI360" s="154" t="s">
        <v>708</v>
      </c>
      <c r="AJ360" s="154">
        <v>813</v>
      </c>
      <c r="AK360" s="154" t="s">
        <v>1407</v>
      </c>
      <c r="AL360" s="154">
        <v>28209</v>
      </c>
      <c r="AM360" s="154" t="s">
        <v>1418</v>
      </c>
      <c r="AN360" s="154" t="s">
        <v>1429</v>
      </c>
      <c r="AO360" s="154">
        <v>28</v>
      </c>
      <c r="AP360" s="154" t="s">
        <v>1416</v>
      </c>
      <c r="AQ360" s="154">
        <v>0</v>
      </c>
      <c r="AR360" s="154" t="s">
        <v>1410</v>
      </c>
      <c r="AS360" s="154"/>
      <c r="AT360" s="154" t="s">
        <v>1417</v>
      </c>
      <c r="AU360" s="154" t="s">
        <v>1412</v>
      </c>
    </row>
    <row r="361" spans="1:47" x14ac:dyDescent="0.45">
      <c r="A361" s="154">
        <v>2513100021</v>
      </c>
      <c r="B361" s="154">
        <v>131</v>
      </c>
      <c r="C361" s="154" t="s">
        <v>1462</v>
      </c>
      <c r="D361" s="154">
        <v>130</v>
      </c>
      <c r="E361" s="154" t="s">
        <v>1402</v>
      </c>
      <c r="F361" s="154" t="s">
        <v>3161</v>
      </c>
      <c r="G361" s="154" t="s">
        <v>3162</v>
      </c>
      <c r="H361" s="154">
        <v>1</v>
      </c>
      <c r="I361" s="154" t="s">
        <v>733</v>
      </c>
      <c r="J361" s="154" t="s">
        <v>1403</v>
      </c>
      <c r="K361" s="154">
        <v>2025</v>
      </c>
      <c r="L361" s="155">
        <v>2025</v>
      </c>
      <c r="M361" s="156">
        <v>45734</v>
      </c>
      <c r="N361" s="154" t="s">
        <v>36</v>
      </c>
      <c r="O361" s="154" t="s">
        <v>704</v>
      </c>
      <c r="P361" s="154">
        <v>859</v>
      </c>
      <c r="Q361" s="154" t="s">
        <v>1494</v>
      </c>
      <c r="R361" s="154">
        <v>2</v>
      </c>
      <c r="S361" s="154">
        <v>2</v>
      </c>
      <c r="T361" s="154" t="s">
        <v>1464</v>
      </c>
      <c r="U361" s="154">
        <v>1</v>
      </c>
      <c r="V361" s="155">
        <v>2522615</v>
      </c>
      <c r="W361" s="155">
        <v>0</v>
      </c>
      <c r="X361" s="155" t="s">
        <v>1406</v>
      </c>
      <c r="Y361" s="154"/>
      <c r="Z361" s="154" t="s">
        <v>1424</v>
      </c>
      <c r="AA361" s="156">
        <v>45740</v>
      </c>
      <c r="AB361" s="154">
        <v>25</v>
      </c>
      <c r="AC361" s="154">
        <v>22615</v>
      </c>
      <c r="AD361" s="154">
        <v>131</v>
      </c>
      <c r="AE361" s="154" t="s">
        <v>1462</v>
      </c>
      <c r="AF361" s="154">
        <v>130</v>
      </c>
      <c r="AG361" s="154" t="s">
        <v>1402</v>
      </c>
      <c r="AH361" s="154" t="s">
        <v>36</v>
      </c>
      <c r="AI361" s="154" t="s">
        <v>704</v>
      </c>
      <c r="AJ361" s="154">
        <v>859</v>
      </c>
      <c r="AK361" s="154" t="s">
        <v>1407</v>
      </c>
      <c r="AL361" s="154">
        <v>28088</v>
      </c>
      <c r="AM361" s="154" t="s">
        <v>1418</v>
      </c>
      <c r="AN361" s="154" t="s">
        <v>1497</v>
      </c>
      <c r="AO361" s="154">
        <v>28</v>
      </c>
      <c r="AP361" s="154" t="s">
        <v>1416</v>
      </c>
      <c r="AQ361" s="154">
        <v>0</v>
      </c>
      <c r="AR361" s="154" t="s">
        <v>1410</v>
      </c>
      <c r="AS361" s="154"/>
      <c r="AT361" s="154" t="s">
        <v>1417</v>
      </c>
      <c r="AU361" s="154" t="s">
        <v>1412</v>
      </c>
    </row>
    <row r="362" spans="1:47" x14ac:dyDescent="0.45">
      <c r="A362" s="154">
        <v>2513100022</v>
      </c>
      <c r="B362" s="154">
        <v>131</v>
      </c>
      <c r="C362" s="154" t="s">
        <v>1462</v>
      </c>
      <c r="D362" s="154">
        <v>130</v>
      </c>
      <c r="E362" s="154" t="s">
        <v>1402</v>
      </c>
      <c r="F362" s="154" t="s">
        <v>3163</v>
      </c>
      <c r="G362" s="154" t="s">
        <v>3164</v>
      </c>
      <c r="H362" s="154">
        <v>2</v>
      </c>
      <c r="I362" s="154" t="s">
        <v>3165</v>
      </c>
      <c r="J362" s="154" t="s">
        <v>1403</v>
      </c>
      <c r="K362" s="154">
        <v>2025</v>
      </c>
      <c r="L362" s="155">
        <v>2025</v>
      </c>
      <c r="M362" s="156">
        <v>45736</v>
      </c>
      <c r="N362" s="154" t="s">
        <v>36</v>
      </c>
      <c r="O362" s="154" t="s">
        <v>793</v>
      </c>
      <c r="P362" s="154">
        <v>857</v>
      </c>
      <c r="Q362" s="154" t="s">
        <v>1481</v>
      </c>
      <c r="R362" s="154">
        <v>1</v>
      </c>
      <c r="S362" s="154">
        <v>2</v>
      </c>
      <c r="T362" s="154" t="s">
        <v>1464</v>
      </c>
      <c r="U362" s="154">
        <v>1</v>
      </c>
      <c r="V362" s="155">
        <v>2522618</v>
      </c>
      <c r="W362" s="155">
        <v>0</v>
      </c>
      <c r="X362" s="155" t="s">
        <v>1406</v>
      </c>
      <c r="Y362" s="154"/>
      <c r="Z362" s="154" t="s">
        <v>1424</v>
      </c>
      <c r="AA362" s="156">
        <v>45743</v>
      </c>
      <c r="AB362" s="154">
        <v>25</v>
      </c>
      <c r="AC362" s="154">
        <v>22618</v>
      </c>
      <c r="AD362" s="154">
        <v>131</v>
      </c>
      <c r="AE362" s="154" t="s">
        <v>1462</v>
      </c>
      <c r="AF362" s="154">
        <v>130</v>
      </c>
      <c r="AG362" s="154" t="s">
        <v>1402</v>
      </c>
      <c r="AH362" s="154" t="s">
        <v>36</v>
      </c>
      <c r="AI362" s="154" t="s">
        <v>793</v>
      </c>
      <c r="AJ362" s="154">
        <v>857</v>
      </c>
      <c r="AK362" s="154" t="s">
        <v>1407</v>
      </c>
      <c r="AL362" s="154">
        <v>28135</v>
      </c>
      <c r="AM362" s="154" t="s">
        <v>1418</v>
      </c>
      <c r="AN362" s="154" t="s">
        <v>2849</v>
      </c>
      <c r="AO362" s="154">
        <v>28</v>
      </c>
      <c r="AP362" s="154" t="s">
        <v>1416</v>
      </c>
      <c r="AQ362" s="154">
        <v>0</v>
      </c>
      <c r="AR362" s="154" t="s">
        <v>1410</v>
      </c>
      <c r="AS362" s="154"/>
      <c r="AT362" s="154" t="s">
        <v>1417</v>
      </c>
      <c r="AU362" s="154" t="s">
        <v>1412</v>
      </c>
    </row>
    <row r="363" spans="1:47" x14ac:dyDescent="0.45">
      <c r="A363" s="154">
        <v>2513100023</v>
      </c>
      <c r="B363" s="154">
        <v>131</v>
      </c>
      <c r="C363" s="154" t="s">
        <v>1462</v>
      </c>
      <c r="D363" s="154">
        <v>130</v>
      </c>
      <c r="E363" s="154" t="s">
        <v>1402</v>
      </c>
      <c r="F363" s="154" t="s">
        <v>3166</v>
      </c>
      <c r="G363" s="154" t="s">
        <v>3167</v>
      </c>
      <c r="H363" s="154">
        <v>1</v>
      </c>
      <c r="I363" s="154" t="s">
        <v>3168</v>
      </c>
      <c r="J363" s="154" t="s">
        <v>1605</v>
      </c>
      <c r="K363" s="154">
        <v>2025</v>
      </c>
      <c r="L363" s="155">
        <v>2025</v>
      </c>
      <c r="M363" s="156">
        <v>45740</v>
      </c>
      <c r="N363" s="154" t="s">
        <v>36</v>
      </c>
      <c r="O363" s="154" t="s">
        <v>704</v>
      </c>
      <c r="P363" s="154">
        <v>427</v>
      </c>
      <c r="Q363" s="154" t="s">
        <v>1479</v>
      </c>
      <c r="R363" s="154">
        <v>2</v>
      </c>
      <c r="S363" s="154">
        <v>2</v>
      </c>
      <c r="T363" s="154" t="s">
        <v>1464</v>
      </c>
      <c r="U363" s="154">
        <v>1</v>
      </c>
      <c r="V363" s="155">
        <v>2522621</v>
      </c>
      <c r="W363" s="155">
        <v>0</v>
      </c>
      <c r="X363" s="155" t="s">
        <v>1406</v>
      </c>
      <c r="Y363" s="154"/>
      <c r="Z363" s="154" t="s">
        <v>1407</v>
      </c>
      <c r="AA363" s="156">
        <v>45747</v>
      </c>
      <c r="AB363" s="154">
        <v>25</v>
      </c>
      <c r="AC363" s="154">
        <v>22621</v>
      </c>
      <c r="AD363" s="154">
        <v>131</v>
      </c>
      <c r="AE363" s="154" t="s">
        <v>1462</v>
      </c>
      <c r="AF363" s="154">
        <v>130</v>
      </c>
      <c r="AG363" s="154" t="s">
        <v>1402</v>
      </c>
      <c r="AH363" s="154" t="s">
        <v>36</v>
      </c>
      <c r="AI363" s="154" t="s">
        <v>704</v>
      </c>
      <c r="AJ363" s="154">
        <v>427</v>
      </c>
      <c r="AK363" s="154" t="s">
        <v>1407</v>
      </c>
      <c r="AL363" s="154">
        <v>37006</v>
      </c>
      <c r="AM363" s="154" t="s">
        <v>1418</v>
      </c>
      <c r="AN363" s="154" t="s">
        <v>3169</v>
      </c>
      <c r="AO363" s="154">
        <v>37</v>
      </c>
      <c r="AP363" s="154" t="s">
        <v>1573</v>
      </c>
      <c r="AQ363" s="154">
        <v>0</v>
      </c>
      <c r="AR363" s="154" t="s">
        <v>1410</v>
      </c>
      <c r="AS363" s="154"/>
      <c r="AT363" s="154" t="s">
        <v>1417</v>
      </c>
      <c r="AU363" s="154" t="s">
        <v>1412</v>
      </c>
    </row>
    <row r="364" spans="1:47" x14ac:dyDescent="0.45">
      <c r="A364" s="154">
        <v>2513100024</v>
      </c>
      <c r="B364" s="154">
        <v>131</v>
      </c>
      <c r="C364" s="154" t="s">
        <v>1462</v>
      </c>
      <c r="D364" s="154">
        <v>130</v>
      </c>
      <c r="E364" s="154" t="s">
        <v>1402</v>
      </c>
      <c r="F364" s="154" t="s">
        <v>3170</v>
      </c>
      <c r="G364" s="154" t="s">
        <v>3171</v>
      </c>
      <c r="H364" s="154">
        <v>1</v>
      </c>
      <c r="I364" s="154" t="s">
        <v>3172</v>
      </c>
      <c r="J364" s="154" t="s">
        <v>1403</v>
      </c>
      <c r="K364" s="154">
        <v>2025</v>
      </c>
      <c r="L364" s="155">
        <v>2025</v>
      </c>
      <c r="M364" s="156">
        <v>45740</v>
      </c>
      <c r="N364" s="154" t="s">
        <v>36</v>
      </c>
      <c r="O364" s="154" t="s">
        <v>704</v>
      </c>
      <c r="P364" s="154">
        <v>859</v>
      </c>
      <c r="Q364" s="154" t="s">
        <v>1494</v>
      </c>
      <c r="R364" s="154">
        <v>2</v>
      </c>
      <c r="S364" s="154">
        <v>2</v>
      </c>
      <c r="T364" s="154" t="s">
        <v>1464</v>
      </c>
      <c r="U364" s="154">
        <v>1</v>
      </c>
      <c r="V364" s="155">
        <v>2522620</v>
      </c>
      <c r="W364" s="155">
        <v>0</v>
      </c>
      <c r="X364" s="155" t="s">
        <v>1406</v>
      </c>
      <c r="Y364" s="154"/>
      <c r="Z364" s="154" t="s">
        <v>1424</v>
      </c>
      <c r="AA364" s="156">
        <v>45747</v>
      </c>
      <c r="AB364" s="154">
        <v>25</v>
      </c>
      <c r="AC364" s="154">
        <v>22620</v>
      </c>
      <c r="AD364" s="154">
        <v>131</v>
      </c>
      <c r="AE364" s="154" t="s">
        <v>1462</v>
      </c>
      <c r="AF364" s="154">
        <v>130</v>
      </c>
      <c r="AG364" s="154" t="s">
        <v>1402</v>
      </c>
      <c r="AH364" s="154" t="s">
        <v>36</v>
      </c>
      <c r="AI364" s="154" t="s">
        <v>704</v>
      </c>
      <c r="AJ364" s="154">
        <v>859</v>
      </c>
      <c r="AK364" s="154" t="s">
        <v>1407</v>
      </c>
      <c r="AL364" s="154">
        <v>28173</v>
      </c>
      <c r="AM364" s="154" t="s">
        <v>1418</v>
      </c>
      <c r="AN364" s="154" t="s">
        <v>1456</v>
      </c>
      <c r="AO364" s="154">
        <v>28</v>
      </c>
      <c r="AP364" s="154" t="s">
        <v>1416</v>
      </c>
      <c r="AQ364" s="154">
        <v>0</v>
      </c>
      <c r="AR364" s="154" t="s">
        <v>1410</v>
      </c>
      <c r="AS364" s="154"/>
      <c r="AT364" s="154" t="s">
        <v>1417</v>
      </c>
      <c r="AU364" s="154" t="s">
        <v>1412</v>
      </c>
    </row>
    <row r="365" spans="1:47" x14ac:dyDescent="0.45">
      <c r="A365" s="154">
        <v>2513100025</v>
      </c>
      <c r="B365" s="154">
        <v>131</v>
      </c>
      <c r="C365" s="154" t="s">
        <v>1462</v>
      </c>
      <c r="D365" s="154">
        <v>130</v>
      </c>
      <c r="E365" s="154" t="s">
        <v>1402</v>
      </c>
      <c r="F365" s="154" t="s">
        <v>3173</v>
      </c>
      <c r="G365" s="154" t="s">
        <v>3174</v>
      </c>
      <c r="H365" s="154">
        <v>2</v>
      </c>
      <c r="I365" s="154" t="s">
        <v>2574</v>
      </c>
      <c r="J365" s="154" t="s">
        <v>1403</v>
      </c>
      <c r="K365" s="154">
        <v>2025</v>
      </c>
      <c r="L365" s="155">
        <v>2025</v>
      </c>
      <c r="M365" s="156">
        <v>45741</v>
      </c>
      <c r="N365" s="154" t="s">
        <v>36</v>
      </c>
      <c r="O365" s="154" t="s">
        <v>741</v>
      </c>
      <c r="P365" s="154">
        <v>1680</v>
      </c>
      <c r="Q365" s="154" t="s">
        <v>2836</v>
      </c>
      <c r="R365" s="154">
        <v>2</v>
      </c>
      <c r="S365" s="154">
        <v>10</v>
      </c>
      <c r="T365" s="154" t="s">
        <v>1490</v>
      </c>
      <c r="U365" s="154">
        <v>9</v>
      </c>
      <c r="V365" s="155">
        <v>2522623</v>
      </c>
      <c r="W365" s="155">
        <v>0</v>
      </c>
      <c r="X365" s="155" t="s">
        <v>1406</v>
      </c>
      <c r="Y365" s="154"/>
      <c r="Z365" s="154" t="s">
        <v>1407</v>
      </c>
      <c r="AA365" s="156">
        <v>45749</v>
      </c>
      <c r="AB365" s="154">
        <v>25</v>
      </c>
      <c r="AC365" s="154">
        <v>22623</v>
      </c>
      <c r="AD365" s="154">
        <v>131</v>
      </c>
      <c r="AE365" s="154" t="s">
        <v>1462</v>
      </c>
      <c r="AF365" s="154">
        <v>130</v>
      </c>
      <c r="AG365" s="154" t="s">
        <v>1402</v>
      </c>
      <c r="AH365" s="154" t="s">
        <v>36</v>
      </c>
      <c r="AI365" s="154" t="s">
        <v>741</v>
      </c>
      <c r="AJ365" s="154">
        <v>1680</v>
      </c>
      <c r="AK365" s="154" t="s">
        <v>1407</v>
      </c>
      <c r="AL365" s="154">
        <v>0</v>
      </c>
      <c r="AM365" s="154" t="s">
        <v>1408</v>
      </c>
      <c r="AN365" s="154" t="s">
        <v>2800</v>
      </c>
      <c r="AO365" s="154">
        <v>0</v>
      </c>
      <c r="AP365" s="154"/>
      <c r="AQ365" s="154">
        <v>0</v>
      </c>
      <c r="AR365" s="154" t="s">
        <v>1424</v>
      </c>
      <c r="AS365" s="154" t="s">
        <v>1410</v>
      </c>
      <c r="AT365" s="154" t="s">
        <v>1417</v>
      </c>
      <c r="AU365" s="154" t="s">
        <v>1412</v>
      </c>
    </row>
    <row r="366" spans="1:47" x14ac:dyDescent="0.45">
      <c r="A366" s="154">
        <v>2513100026</v>
      </c>
      <c r="B366" s="154">
        <v>131</v>
      </c>
      <c r="C366" s="154" t="s">
        <v>1462</v>
      </c>
      <c r="D366" s="154">
        <v>130</v>
      </c>
      <c r="E366" s="154" t="s">
        <v>1402</v>
      </c>
      <c r="F366" s="154" t="s">
        <v>3175</v>
      </c>
      <c r="G366" s="154" t="s">
        <v>3176</v>
      </c>
      <c r="H366" s="154">
        <v>1</v>
      </c>
      <c r="I366" s="154" t="s">
        <v>2626</v>
      </c>
      <c r="J366" s="154" t="s">
        <v>1403</v>
      </c>
      <c r="K366" s="154">
        <v>2025</v>
      </c>
      <c r="L366" s="155">
        <v>2025</v>
      </c>
      <c r="M366" s="156">
        <v>45742</v>
      </c>
      <c r="N366" s="154" t="s">
        <v>36</v>
      </c>
      <c r="O366" s="154" t="s">
        <v>704</v>
      </c>
      <c r="P366" s="154">
        <v>428</v>
      </c>
      <c r="Q366" s="154" t="s">
        <v>1463</v>
      </c>
      <c r="R366" s="154">
        <v>2</v>
      </c>
      <c r="S366" s="154">
        <v>2</v>
      </c>
      <c r="T366" s="154" t="s">
        <v>1464</v>
      </c>
      <c r="U366" s="154">
        <v>1</v>
      </c>
      <c r="V366" s="155">
        <v>2522628</v>
      </c>
      <c r="W366" s="155">
        <v>0</v>
      </c>
      <c r="X366" s="155" t="s">
        <v>1406</v>
      </c>
      <c r="Y366" s="154"/>
      <c r="Z366" s="154" t="s">
        <v>1407</v>
      </c>
      <c r="AA366" s="156">
        <v>45749</v>
      </c>
      <c r="AB366" s="154">
        <v>25</v>
      </c>
      <c r="AC366" s="154">
        <v>22628</v>
      </c>
      <c r="AD366" s="154">
        <v>131</v>
      </c>
      <c r="AE366" s="154" t="s">
        <v>1462</v>
      </c>
      <c r="AF366" s="154">
        <v>130</v>
      </c>
      <c r="AG366" s="154" t="s">
        <v>1402</v>
      </c>
      <c r="AH366" s="154" t="s">
        <v>36</v>
      </c>
      <c r="AI366" s="154" t="s">
        <v>704</v>
      </c>
      <c r="AJ366" s="154">
        <v>428</v>
      </c>
      <c r="AK366" s="154" t="s">
        <v>1407</v>
      </c>
      <c r="AL366" s="154">
        <v>28103</v>
      </c>
      <c r="AM366" s="154" t="s">
        <v>1418</v>
      </c>
      <c r="AN366" s="154" t="s">
        <v>1505</v>
      </c>
      <c r="AO366" s="154">
        <v>28</v>
      </c>
      <c r="AP366" s="154" t="s">
        <v>1416</v>
      </c>
      <c r="AQ366" s="154">
        <v>0</v>
      </c>
      <c r="AR366" s="154" t="s">
        <v>1410</v>
      </c>
      <c r="AS366" s="154"/>
      <c r="AT366" s="154" t="s">
        <v>1417</v>
      </c>
      <c r="AU366" s="154" t="s">
        <v>1412</v>
      </c>
    </row>
    <row r="367" spans="1:47" x14ac:dyDescent="0.45">
      <c r="A367" s="154">
        <v>2513100027</v>
      </c>
      <c r="B367" s="154">
        <v>131</v>
      </c>
      <c r="C367" s="154" t="s">
        <v>1462</v>
      </c>
      <c r="D367" s="154">
        <v>130</v>
      </c>
      <c r="E367" s="154" t="s">
        <v>1402</v>
      </c>
      <c r="F367" s="154" t="s">
        <v>3177</v>
      </c>
      <c r="G367" s="154" t="s">
        <v>3178</v>
      </c>
      <c r="H367" s="154">
        <v>1</v>
      </c>
      <c r="I367" s="154" t="s">
        <v>3179</v>
      </c>
      <c r="J367" s="154" t="s">
        <v>1403</v>
      </c>
      <c r="K367" s="154">
        <v>0</v>
      </c>
      <c r="L367" s="155">
        <v>2025</v>
      </c>
      <c r="M367" s="156">
        <v>45742</v>
      </c>
      <c r="N367" s="154" t="s">
        <v>36</v>
      </c>
      <c r="O367" s="154" t="s">
        <v>704</v>
      </c>
      <c r="P367" s="154">
        <v>968</v>
      </c>
      <c r="Q367" s="154" t="s">
        <v>1474</v>
      </c>
      <c r="R367" s="154">
        <v>2</v>
      </c>
      <c r="S367" s="154">
        <v>2</v>
      </c>
      <c r="T367" s="154" t="s">
        <v>1464</v>
      </c>
      <c r="U367" s="154">
        <v>1</v>
      </c>
      <c r="V367" s="155">
        <v>2522624</v>
      </c>
      <c r="W367" s="155">
        <v>0</v>
      </c>
      <c r="X367" s="155" t="s">
        <v>1406</v>
      </c>
      <c r="Y367" s="154"/>
      <c r="Z367" s="154" t="s">
        <v>1407</v>
      </c>
      <c r="AA367" s="156">
        <v>45749</v>
      </c>
      <c r="AB367" s="154">
        <v>25</v>
      </c>
      <c r="AC367" s="154">
        <v>22624</v>
      </c>
      <c r="AD367" s="154">
        <v>131</v>
      </c>
      <c r="AE367" s="154" t="s">
        <v>1462</v>
      </c>
      <c r="AF367" s="154">
        <v>130</v>
      </c>
      <c r="AG367" s="154" t="s">
        <v>1402</v>
      </c>
      <c r="AH367" s="154" t="s">
        <v>36</v>
      </c>
      <c r="AI367" s="154" t="s">
        <v>704</v>
      </c>
      <c r="AJ367" s="154">
        <v>968</v>
      </c>
      <c r="AK367" s="154" t="s">
        <v>1407</v>
      </c>
      <c r="AL367" s="154">
        <v>28135</v>
      </c>
      <c r="AM367" s="154" t="s">
        <v>1418</v>
      </c>
      <c r="AN367" s="154" t="s">
        <v>2849</v>
      </c>
      <c r="AO367" s="154">
        <v>28</v>
      </c>
      <c r="AP367" s="154" t="s">
        <v>1416</v>
      </c>
      <c r="AQ367" s="154">
        <v>0</v>
      </c>
      <c r="AR367" s="154" t="s">
        <v>1410</v>
      </c>
      <c r="AS367" s="154"/>
      <c r="AT367" s="154" t="s">
        <v>1411</v>
      </c>
      <c r="AU367" s="154" t="s">
        <v>1412</v>
      </c>
    </row>
    <row r="368" spans="1:47" x14ac:dyDescent="0.45">
      <c r="A368" s="154">
        <v>2513100029</v>
      </c>
      <c r="B368" s="154">
        <v>131</v>
      </c>
      <c r="C368" s="154" t="s">
        <v>1462</v>
      </c>
      <c r="D368" s="154">
        <v>130</v>
      </c>
      <c r="E368" s="154" t="s">
        <v>1402</v>
      </c>
      <c r="F368" s="154" t="s">
        <v>3180</v>
      </c>
      <c r="G368" s="154" t="s">
        <v>3181</v>
      </c>
      <c r="H368" s="154">
        <v>1</v>
      </c>
      <c r="I368" s="154" t="s">
        <v>3182</v>
      </c>
      <c r="J368" s="154" t="s">
        <v>1403</v>
      </c>
      <c r="K368" s="154">
        <v>0</v>
      </c>
      <c r="L368" s="155">
        <v>2025</v>
      </c>
      <c r="M368" s="156">
        <v>45744</v>
      </c>
      <c r="N368" s="154" t="s">
        <v>36</v>
      </c>
      <c r="O368" s="154" t="s">
        <v>793</v>
      </c>
      <c r="P368" s="154">
        <v>856</v>
      </c>
      <c r="Q368" s="154" t="s">
        <v>1533</v>
      </c>
      <c r="R368" s="154">
        <v>1</v>
      </c>
      <c r="S368" s="154">
        <v>2</v>
      </c>
      <c r="T368" s="154" t="s">
        <v>1464</v>
      </c>
      <c r="U368" s="154">
        <v>1</v>
      </c>
      <c r="V368" s="155">
        <v>2522625</v>
      </c>
      <c r="W368" s="155">
        <v>0</v>
      </c>
      <c r="X368" s="155" t="s">
        <v>1406</v>
      </c>
      <c r="Y368" s="154"/>
      <c r="Z368" s="154" t="s">
        <v>1407</v>
      </c>
      <c r="AA368" s="156">
        <v>45749</v>
      </c>
      <c r="AB368" s="154">
        <v>25</v>
      </c>
      <c r="AC368" s="154">
        <v>22625</v>
      </c>
      <c r="AD368" s="154">
        <v>131</v>
      </c>
      <c r="AE368" s="154" t="s">
        <v>1462</v>
      </c>
      <c r="AF368" s="154">
        <v>130</v>
      </c>
      <c r="AG368" s="154" t="s">
        <v>1402</v>
      </c>
      <c r="AH368" s="154" t="s">
        <v>36</v>
      </c>
      <c r="AI368" s="154" t="s">
        <v>793</v>
      </c>
      <c r="AJ368" s="154">
        <v>856</v>
      </c>
      <c r="AK368" s="154" t="s">
        <v>1407</v>
      </c>
      <c r="AL368" s="154">
        <v>28247</v>
      </c>
      <c r="AM368" s="154" t="s">
        <v>1418</v>
      </c>
      <c r="AN368" s="154" t="s">
        <v>1419</v>
      </c>
      <c r="AO368" s="154">
        <v>28</v>
      </c>
      <c r="AP368" s="154" t="s">
        <v>1416</v>
      </c>
      <c r="AQ368" s="154">
        <v>0</v>
      </c>
      <c r="AR368" s="154" t="s">
        <v>1410</v>
      </c>
      <c r="AS368" s="154"/>
      <c r="AT368" s="154" t="s">
        <v>1411</v>
      </c>
      <c r="AU368" s="154" t="s">
        <v>1412</v>
      </c>
    </row>
    <row r="369" spans="1:47" x14ac:dyDescent="0.45">
      <c r="A369" s="154">
        <v>2513100801</v>
      </c>
      <c r="B369" s="154">
        <v>131</v>
      </c>
      <c r="C369" s="154" t="s">
        <v>1462</v>
      </c>
      <c r="D369" s="154">
        <v>130</v>
      </c>
      <c r="E369" s="154" t="s">
        <v>1402</v>
      </c>
      <c r="F369" s="154" t="s">
        <v>3183</v>
      </c>
      <c r="G369" s="154" t="s">
        <v>3184</v>
      </c>
      <c r="H369" s="154">
        <v>1</v>
      </c>
      <c r="I369" s="154" t="s">
        <v>2314</v>
      </c>
      <c r="J369" s="154" t="s">
        <v>1403</v>
      </c>
      <c r="K369" s="154">
        <v>2025</v>
      </c>
      <c r="L369" s="155">
        <v>2025</v>
      </c>
      <c r="M369" s="156">
        <v>45735</v>
      </c>
      <c r="N369" s="154" t="s">
        <v>36</v>
      </c>
      <c r="O369" s="154" t="s">
        <v>708</v>
      </c>
      <c r="P369" s="154">
        <v>1044</v>
      </c>
      <c r="Q369" s="154" t="s">
        <v>1476</v>
      </c>
      <c r="R369" s="154">
        <v>2</v>
      </c>
      <c r="S369" s="154">
        <v>3</v>
      </c>
      <c r="T369" s="154" t="s">
        <v>1477</v>
      </c>
      <c r="U369" s="154">
        <v>4</v>
      </c>
      <c r="V369" s="155">
        <v>0</v>
      </c>
      <c r="W369" s="155">
        <v>0</v>
      </c>
      <c r="X369" s="155" t="s">
        <v>1406</v>
      </c>
      <c r="Y369" s="154"/>
      <c r="Z369" s="154" t="s">
        <v>3067</v>
      </c>
      <c r="AA369" s="154"/>
      <c r="AB369" s="154">
        <v>0</v>
      </c>
      <c r="AC369" s="154">
        <v>0</v>
      </c>
      <c r="AD369" s="154">
        <v>0</v>
      </c>
      <c r="AE369" s="154" t="s">
        <v>1446</v>
      </c>
      <c r="AF369" s="154"/>
      <c r="AG369" s="154" t="s">
        <v>1446</v>
      </c>
      <c r="AH369" s="154"/>
      <c r="AI369" s="154"/>
      <c r="AJ369" s="154">
        <v>0</v>
      </c>
      <c r="AK369" s="154" t="s">
        <v>1407</v>
      </c>
      <c r="AL369" s="154">
        <v>50448</v>
      </c>
      <c r="AM369" s="154" t="s">
        <v>1408</v>
      </c>
      <c r="AN369" s="154" t="s">
        <v>3185</v>
      </c>
      <c r="AO369" s="154">
        <v>28</v>
      </c>
      <c r="AP369" s="154" t="s">
        <v>1416</v>
      </c>
      <c r="AQ369" s="154">
        <v>1</v>
      </c>
      <c r="AR369" s="154" t="s">
        <v>1499</v>
      </c>
      <c r="AS369" s="154"/>
      <c r="AT369" s="154" t="s">
        <v>1417</v>
      </c>
      <c r="AU369" s="154" t="s">
        <v>1412</v>
      </c>
    </row>
    <row r="370" spans="1:47" x14ac:dyDescent="0.45">
      <c r="A370" s="154">
        <v>2513150001</v>
      </c>
      <c r="B370" s="154">
        <v>131</v>
      </c>
      <c r="C370" s="154" t="s">
        <v>1462</v>
      </c>
      <c r="D370" s="154">
        <v>130</v>
      </c>
      <c r="E370" s="154" t="s">
        <v>1402</v>
      </c>
      <c r="F370" s="154" t="s">
        <v>2271</v>
      </c>
      <c r="G370" s="154" t="s">
        <v>2272</v>
      </c>
      <c r="H370" s="154">
        <v>1</v>
      </c>
      <c r="I370" s="154" t="s">
        <v>2273</v>
      </c>
      <c r="J370" s="154" t="s">
        <v>1403</v>
      </c>
      <c r="K370" s="154">
        <v>2025</v>
      </c>
      <c r="L370" s="155">
        <v>2025</v>
      </c>
      <c r="M370" s="156">
        <v>45559</v>
      </c>
      <c r="N370" s="154" t="s">
        <v>36</v>
      </c>
      <c r="O370" s="154" t="s">
        <v>708</v>
      </c>
      <c r="P370" s="154">
        <v>266</v>
      </c>
      <c r="Q370" s="154" t="s">
        <v>1526</v>
      </c>
      <c r="R370" s="154">
        <v>2</v>
      </c>
      <c r="S370" s="154">
        <v>1</v>
      </c>
      <c r="T370" s="154" t="s">
        <v>1527</v>
      </c>
      <c r="U370" s="154">
        <v>3</v>
      </c>
      <c r="V370" s="155">
        <v>2522519</v>
      </c>
      <c r="W370" s="155">
        <v>0</v>
      </c>
      <c r="X370" s="155" t="s">
        <v>1406</v>
      </c>
      <c r="Y370" s="154"/>
      <c r="Z370" s="154" t="s">
        <v>32</v>
      </c>
      <c r="AA370" s="156">
        <v>45576</v>
      </c>
      <c r="AB370" s="154">
        <v>25</v>
      </c>
      <c r="AC370" s="154">
        <v>22519</v>
      </c>
      <c r="AD370" s="154">
        <v>131</v>
      </c>
      <c r="AE370" s="154" t="s">
        <v>1462</v>
      </c>
      <c r="AF370" s="154">
        <v>130</v>
      </c>
      <c r="AG370" s="154" t="s">
        <v>1402</v>
      </c>
      <c r="AH370" s="154" t="s">
        <v>36</v>
      </c>
      <c r="AI370" s="154" t="s">
        <v>708</v>
      </c>
      <c r="AJ370" s="154">
        <v>266</v>
      </c>
      <c r="AK370" s="154" t="s">
        <v>1407</v>
      </c>
      <c r="AL370" s="154">
        <v>28107</v>
      </c>
      <c r="AM370" s="154" t="s">
        <v>1418</v>
      </c>
      <c r="AN370" s="154" t="s">
        <v>1484</v>
      </c>
      <c r="AO370" s="154">
        <v>28</v>
      </c>
      <c r="AP370" s="154" t="s">
        <v>1416</v>
      </c>
      <c r="AQ370" s="154">
        <v>0</v>
      </c>
      <c r="AR370" s="154" t="s">
        <v>1410</v>
      </c>
      <c r="AS370" s="154"/>
      <c r="AT370" s="154" t="s">
        <v>1417</v>
      </c>
      <c r="AU370" s="154" t="s">
        <v>1412</v>
      </c>
    </row>
    <row r="371" spans="1:47" x14ac:dyDescent="0.45">
      <c r="A371" s="154">
        <v>2513150003</v>
      </c>
      <c r="B371" s="154">
        <v>131</v>
      </c>
      <c r="C371" s="154" t="s">
        <v>1462</v>
      </c>
      <c r="D371" s="154">
        <v>130</v>
      </c>
      <c r="E371" s="154" t="s">
        <v>1402</v>
      </c>
      <c r="F371" s="154" t="s">
        <v>2277</v>
      </c>
      <c r="G371" s="154" t="s">
        <v>2278</v>
      </c>
      <c r="H371" s="154">
        <v>2</v>
      </c>
      <c r="I371" s="154" t="s">
        <v>2279</v>
      </c>
      <c r="J371" s="154" t="s">
        <v>1403</v>
      </c>
      <c r="K371" s="154">
        <v>2025</v>
      </c>
      <c r="L371" s="155">
        <v>2025</v>
      </c>
      <c r="M371" s="156">
        <v>45537</v>
      </c>
      <c r="N371" s="154" t="s">
        <v>36</v>
      </c>
      <c r="O371" s="154" t="s">
        <v>708</v>
      </c>
      <c r="P371" s="154">
        <v>121</v>
      </c>
      <c r="Q371" s="154" t="s">
        <v>1502</v>
      </c>
      <c r="R371" s="154">
        <v>2</v>
      </c>
      <c r="S371" s="154">
        <v>8</v>
      </c>
      <c r="T371" s="154" t="s">
        <v>1503</v>
      </c>
      <c r="U371" s="154">
        <v>6</v>
      </c>
      <c r="V371" s="155">
        <v>2522524</v>
      </c>
      <c r="W371" s="155">
        <v>0</v>
      </c>
      <c r="X371" s="155" t="s">
        <v>1406</v>
      </c>
      <c r="Y371" s="154"/>
      <c r="Z371" s="154" t="s">
        <v>32</v>
      </c>
      <c r="AA371" s="156">
        <v>45580</v>
      </c>
      <c r="AB371" s="154">
        <v>25</v>
      </c>
      <c r="AC371" s="154">
        <v>22524</v>
      </c>
      <c r="AD371" s="154">
        <v>131</v>
      </c>
      <c r="AE371" s="154" t="s">
        <v>1462</v>
      </c>
      <c r="AF371" s="154">
        <v>130</v>
      </c>
      <c r="AG371" s="154" t="s">
        <v>1402</v>
      </c>
      <c r="AH371" s="154" t="s">
        <v>36</v>
      </c>
      <c r="AI371" s="154" t="s">
        <v>708</v>
      </c>
      <c r="AJ371" s="154">
        <v>121</v>
      </c>
      <c r="AK371" s="154" t="s">
        <v>1407</v>
      </c>
      <c r="AL371" s="154">
        <v>28103</v>
      </c>
      <c r="AM371" s="154" t="s">
        <v>1418</v>
      </c>
      <c r="AN371" s="154" t="s">
        <v>1505</v>
      </c>
      <c r="AO371" s="154">
        <v>28</v>
      </c>
      <c r="AP371" s="154" t="s">
        <v>1416</v>
      </c>
      <c r="AQ371" s="154">
        <v>0</v>
      </c>
      <c r="AR371" s="154" t="s">
        <v>1410</v>
      </c>
      <c r="AS371" s="154"/>
      <c r="AT371" s="154" t="s">
        <v>1417</v>
      </c>
      <c r="AU371" s="154" t="s">
        <v>1412</v>
      </c>
    </row>
    <row r="372" spans="1:47" x14ac:dyDescent="0.45">
      <c r="A372" s="154">
        <v>2513150004</v>
      </c>
      <c r="B372" s="154">
        <v>131</v>
      </c>
      <c r="C372" s="154" t="s">
        <v>1462</v>
      </c>
      <c r="D372" s="154">
        <v>130</v>
      </c>
      <c r="E372" s="154" t="s">
        <v>1402</v>
      </c>
      <c r="F372" s="154" t="s">
        <v>2280</v>
      </c>
      <c r="G372" s="154" t="s">
        <v>2281</v>
      </c>
      <c r="H372" s="154">
        <v>2</v>
      </c>
      <c r="I372" s="154" t="s">
        <v>2282</v>
      </c>
      <c r="J372" s="154" t="s">
        <v>1403</v>
      </c>
      <c r="K372" s="154">
        <v>2025</v>
      </c>
      <c r="L372" s="155">
        <v>2025</v>
      </c>
      <c r="M372" s="156">
        <v>45574</v>
      </c>
      <c r="N372" s="154" t="s">
        <v>36</v>
      </c>
      <c r="O372" s="154" t="s">
        <v>708</v>
      </c>
      <c r="P372" s="154">
        <v>121</v>
      </c>
      <c r="Q372" s="154" t="s">
        <v>1502</v>
      </c>
      <c r="R372" s="154">
        <v>2</v>
      </c>
      <c r="S372" s="154">
        <v>8</v>
      </c>
      <c r="T372" s="154" t="s">
        <v>1503</v>
      </c>
      <c r="U372" s="154">
        <v>6</v>
      </c>
      <c r="V372" s="155">
        <v>2522535</v>
      </c>
      <c r="W372" s="155">
        <v>0</v>
      </c>
      <c r="X372" s="155" t="s">
        <v>1406</v>
      </c>
      <c r="Y372" s="154"/>
      <c r="Z372" s="154" t="s">
        <v>32</v>
      </c>
      <c r="AA372" s="156">
        <v>45586</v>
      </c>
      <c r="AB372" s="154">
        <v>25</v>
      </c>
      <c r="AC372" s="154">
        <v>22535</v>
      </c>
      <c r="AD372" s="154">
        <v>131</v>
      </c>
      <c r="AE372" s="154" t="s">
        <v>1462</v>
      </c>
      <c r="AF372" s="154">
        <v>130</v>
      </c>
      <c r="AG372" s="154" t="s">
        <v>1402</v>
      </c>
      <c r="AH372" s="154" t="s">
        <v>36</v>
      </c>
      <c r="AI372" s="154" t="s">
        <v>708</v>
      </c>
      <c r="AJ372" s="154">
        <v>121</v>
      </c>
      <c r="AK372" s="154" t="s">
        <v>1407</v>
      </c>
      <c r="AL372" s="154">
        <v>28140</v>
      </c>
      <c r="AM372" s="154" t="s">
        <v>1418</v>
      </c>
      <c r="AN372" s="154" t="s">
        <v>1480</v>
      </c>
      <c r="AO372" s="154">
        <v>28</v>
      </c>
      <c r="AP372" s="154" t="s">
        <v>1416</v>
      </c>
      <c r="AQ372" s="154">
        <v>0</v>
      </c>
      <c r="AR372" s="154" t="s">
        <v>1410</v>
      </c>
      <c r="AS372" s="154"/>
      <c r="AT372" s="154" t="s">
        <v>1417</v>
      </c>
      <c r="AU372" s="154" t="s">
        <v>1412</v>
      </c>
    </row>
    <row r="373" spans="1:47" x14ac:dyDescent="0.45">
      <c r="A373" s="154">
        <v>2513150005</v>
      </c>
      <c r="B373" s="154">
        <v>131</v>
      </c>
      <c r="C373" s="154" t="s">
        <v>1462</v>
      </c>
      <c r="D373" s="154">
        <v>130</v>
      </c>
      <c r="E373" s="154" t="s">
        <v>1402</v>
      </c>
      <c r="F373" s="154" t="s">
        <v>2283</v>
      </c>
      <c r="G373" s="154" t="s">
        <v>2284</v>
      </c>
      <c r="H373" s="154">
        <v>2</v>
      </c>
      <c r="I373" s="154" t="s">
        <v>2285</v>
      </c>
      <c r="J373" s="154" t="s">
        <v>1403</v>
      </c>
      <c r="K373" s="154">
        <v>2025</v>
      </c>
      <c r="L373" s="155">
        <v>2025</v>
      </c>
      <c r="M373" s="156">
        <v>45582</v>
      </c>
      <c r="N373" s="154" t="s">
        <v>36</v>
      </c>
      <c r="O373" s="154" t="s">
        <v>708</v>
      </c>
      <c r="P373" s="154">
        <v>121</v>
      </c>
      <c r="Q373" s="154" t="s">
        <v>1502</v>
      </c>
      <c r="R373" s="154">
        <v>2</v>
      </c>
      <c r="S373" s="154">
        <v>8</v>
      </c>
      <c r="T373" s="154" t="s">
        <v>1503</v>
      </c>
      <c r="U373" s="154">
        <v>6</v>
      </c>
      <c r="V373" s="155">
        <v>2522606</v>
      </c>
      <c r="W373" s="155">
        <v>0</v>
      </c>
      <c r="X373" s="155" t="s">
        <v>1406</v>
      </c>
      <c r="Y373" s="154"/>
      <c r="Z373" s="154" t="s">
        <v>32</v>
      </c>
      <c r="AA373" s="156">
        <v>45706</v>
      </c>
      <c r="AB373" s="154">
        <v>25</v>
      </c>
      <c r="AC373" s="154">
        <v>22606</v>
      </c>
      <c r="AD373" s="154">
        <v>131</v>
      </c>
      <c r="AE373" s="154" t="s">
        <v>1462</v>
      </c>
      <c r="AF373" s="154">
        <v>130</v>
      </c>
      <c r="AG373" s="154" t="s">
        <v>1402</v>
      </c>
      <c r="AH373" s="154" t="s">
        <v>36</v>
      </c>
      <c r="AI373" s="154" t="s">
        <v>708</v>
      </c>
      <c r="AJ373" s="154">
        <v>121</v>
      </c>
      <c r="AK373" s="154" t="s">
        <v>1407</v>
      </c>
      <c r="AL373" s="154">
        <v>28092</v>
      </c>
      <c r="AM373" s="154" t="s">
        <v>1421</v>
      </c>
      <c r="AN373" s="154" t="s">
        <v>2824</v>
      </c>
      <c r="AO373" s="154">
        <v>28</v>
      </c>
      <c r="AP373" s="154" t="s">
        <v>1416</v>
      </c>
      <c r="AQ373" s="154">
        <v>0</v>
      </c>
      <c r="AR373" s="154" t="s">
        <v>1424</v>
      </c>
      <c r="AS373" s="154" t="s">
        <v>1410</v>
      </c>
      <c r="AT373" s="154" t="s">
        <v>1417</v>
      </c>
      <c r="AU373" s="154" t="s">
        <v>1412</v>
      </c>
    </row>
    <row r="374" spans="1:47" x14ac:dyDescent="0.45">
      <c r="A374" s="154">
        <v>2513150006</v>
      </c>
      <c r="B374" s="154">
        <v>131</v>
      </c>
      <c r="C374" s="154" t="s">
        <v>1462</v>
      </c>
      <c r="D374" s="154">
        <v>130</v>
      </c>
      <c r="E374" s="154" t="s">
        <v>1402</v>
      </c>
      <c r="F374" s="154" t="s">
        <v>2286</v>
      </c>
      <c r="G374" s="154" t="s">
        <v>2287</v>
      </c>
      <c r="H374" s="154">
        <v>2</v>
      </c>
      <c r="I374" s="154" t="s">
        <v>2288</v>
      </c>
      <c r="J374" s="154" t="s">
        <v>1403</v>
      </c>
      <c r="K374" s="154">
        <v>2025</v>
      </c>
      <c r="L374" s="155">
        <v>2025</v>
      </c>
      <c r="M374" s="156">
        <v>45537</v>
      </c>
      <c r="N374" s="154" t="s">
        <v>36</v>
      </c>
      <c r="O374" s="154" t="s">
        <v>708</v>
      </c>
      <c r="P374" s="154">
        <v>328</v>
      </c>
      <c r="Q374" s="154" t="s">
        <v>2835</v>
      </c>
      <c r="R374" s="154">
        <v>2</v>
      </c>
      <c r="S374" s="154">
        <v>8</v>
      </c>
      <c r="T374" s="154" t="s">
        <v>1503</v>
      </c>
      <c r="U374" s="154">
        <v>6</v>
      </c>
      <c r="V374" s="155">
        <v>2522586</v>
      </c>
      <c r="W374" s="155">
        <v>0</v>
      </c>
      <c r="X374" s="155" t="s">
        <v>1406</v>
      </c>
      <c r="Y374" s="154"/>
      <c r="Z374" s="154" t="s">
        <v>32</v>
      </c>
      <c r="AA374" s="156">
        <v>45672</v>
      </c>
      <c r="AB374" s="154">
        <v>25</v>
      </c>
      <c r="AC374" s="154">
        <v>22586</v>
      </c>
      <c r="AD374" s="154">
        <v>131</v>
      </c>
      <c r="AE374" s="154" t="s">
        <v>1462</v>
      </c>
      <c r="AF374" s="154">
        <v>130</v>
      </c>
      <c r="AG374" s="154" t="s">
        <v>1402</v>
      </c>
      <c r="AH374" s="154" t="s">
        <v>36</v>
      </c>
      <c r="AI374" s="154" t="s">
        <v>708</v>
      </c>
      <c r="AJ374" s="154">
        <v>328</v>
      </c>
      <c r="AK374" s="154" t="s">
        <v>1407</v>
      </c>
      <c r="AL374" s="154">
        <v>28157</v>
      </c>
      <c r="AM374" s="154" t="s">
        <v>1414</v>
      </c>
      <c r="AN374" s="154" t="s">
        <v>1415</v>
      </c>
      <c r="AO374" s="154">
        <v>28</v>
      </c>
      <c r="AP374" s="154" t="s">
        <v>1416</v>
      </c>
      <c r="AQ374" s="154">
        <v>0</v>
      </c>
      <c r="AR374" s="154" t="s">
        <v>1410</v>
      </c>
      <c r="AS374" s="154"/>
      <c r="AT374" s="154" t="s">
        <v>1417</v>
      </c>
      <c r="AU374" s="154" t="s">
        <v>1412</v>
      </c>
    </row>
    <row r="375" spans="1:47" x14ac:dyDescent="0.45">
      <c r="A375" s="154">
        <v>2513150007</v>
      </c>
      <c r="B375" s="154">
        <v>131</v>
      </c>
      <c r="C375" s="154" t="s">
        <v>1462</v>
      </c>
      <c r="D375" s="154">
        <v>130</v>
      </c>
      <c r="E375" s="154" t="s">
        <v>1402</v>
      </c>
      <c r="F375" s="154" t="s">
        <v>2289</v>
      </c>
      <c r="G375" s="154" t="s">
        <v>2290</v>
      </c>
      <c r="H375" s="154">
        <v>2</v>
      </c>
      <c r="I375" s="154" t="s">
        <v>480</v>
      </c>
      <c r="J375" s="154" t="s">
        <v>1403</v>
      </c>
      <c r="K375" s="154">
        <v>2025</v>
      </c>
      <c r="L375" s="155">
        <v>2025</v>
      </c>
      <c r="M375" s="156">
        <v>45596</v>
      </c>
      <c r="N375" s="154" t="s">
        <v>36</v>
      </c>
      <c r="O375" s="154" t="s">
        <v>741</v>
      </c>
      <c r="P375" s="154">
        <v>1680</v>
      </c>
      <c r="Q375" s="154" t="s">
        <v>2836</v>
      </c>
      <c r="R375" s="154">
        <v>2</v>
      </c>
      <c r="S375" s="154">
        <v>10</v>
      </c>
      <c r="T375" s="154" t="s">
        <v>1490</v>
      </c>
      <c r="U375" s="154">
        <v>9</v>
      </c>
      <c r="V375" s="155">
        <v>2522561</v>
      </c>
      <c r="W375" s="155">
        <v>0</v>
      </c>
      <c r="X375" s="155" t="s">
        <v>1406</v>
      </c>
      <c r="Y375" s="154"/>
      <c r="Z375" s="154" t="s">
        <v>32</v>
      </c>
      <c r="AA375" s="156">
        <v>45608</v>
      </c>
      <c r="AB375" s="154">
        <v>25</v>
      </c>
      <c r="AC375" s="154">
        <v>22561</v>
      </c>
      <c r="AD375" s="154">
        <v>131</v>
      </c>
      <c r="AE375" s="154" t="s">
        <v>1462</v>
      </c>
      <c r="AF375" s="154">
        <v>130</v>
      </c>
      <c r="AG375" s="154" t="s">
        <v>1402</v>
      </c>
      <c r="AH375" s="154" t="s">
        <v>36</v>
      </c>
      <c r="AI375" s="154" t="s">
        <v>741</v>
      </c>
      <c r="AJ375" s="154">
        <v>1680</v>
      </c>
      <c r="AK375" s="154" t="s">
        <v>1407</v>
      </c>
      <c r="AL375" s="154">
        <v>33133</v>
      </c>
      <c r="AM375" s="154" t="s">
        <v>1421</v>
      </c>
      <c r="AN375" s="154" t="s">
        <v>1426</v>
      </c>
      <c r="AO375" s="154">
        <v>33</v>
      </c>
      <c r="AP375" s="154" t="s">
        <v>1427</v>
      </c>
      <c r="AQ375" s="154">
        <v>0</v>
      </c>
      <c r="AR375" s="154" t="s">
        <v>1410</v>
      </c>
      <c r="AS375" s="154"/>
      <c r="AT375" s="154" t="s">
        <v>1417</v>
      </c>
      <c r="AU375" s="154" t="s">
        <v>1412</v>
      </c>
    </row>
    <row r="376" spans="1:47" x14ac:dyDescent="0.45">
      <c r="A376" s="154">
        <v>2513150008</v>
      </c>
      <c r="B376" s="154">
        <v>131</v>
      </c>
      <c r="C376" s="154" t="s">
        <v>1462</v>
      </c>
      <c r="D376" s="154">
        <v>130</v>
      </c>
      <c r="E376" s="154" t="s">
        <v>1402</v>
      </c>
      <c r="F376" s="154" t="s">
        <v>2292</v>
      </c>
      <c r="G376" s="154" t="s">
        <v>2293</v>
      </c>
      <c r="H376" s="154">
        <v>2</v>
      </c>
      <c r="I376" s="154" t="s">
        <v>2294</v>
      </c>
      <c r="J376" s="154" t="s">
        <v>1403</v>
      </c>
      <c r="K376" s="154">
        <v>2025</v>
      </c>
      <c r="L376" s="155">
        <v>2025</v>
      </c>
      <c r="M376" s="156">
        <v>45552</v>
      </c>
      <c r="N376" s="154" t="s">
        <v>36</v>
      </c>
      <c r="O376" s="154" t="s">
        <v>741</v>
      </c>
      <c r="P376" s="154">
        <v>1680</v>
      </c>
      <c r="Q376" s="154" t="s">
        <v>2836</v>
      </c>
      <c r="R376" s="154">
        <v>2</v>
      </c>
      <c r="S376" s="154">
        <v>10</v>
      </c>
      <c r="T376" s="154" t="s">
        <v>1490</v>
      </c>
      <c r="U376" s="154">
        <v>9</v>
      </c>
      <c r="V376" s="155">
        <v>2522595</v>
      </c>
      <c r="W376" s="155">
        <v>0</v>
      </c>
      <c r="X376" s="155" t="s">
        <v>1406</v>
      </c>
      <c r="Y376" s="154"/>
      <c r="Z376" s="154" t="s">
        <v>32</v>
      </c>
      <c r="AA376" s="156">
        <v>45688</v>
      </c>
      <c r="AB376" s="154">
        <v>25</v>
      </c>
      <c r="AC376" s="154">
        <v>22595</v>
      </c>
      <c r="AD376" s="154">
        <v>131</v>
      </c>
      <c r="AE376" s="154" t="s">
        <v>1462</v>
      </c>
      <c r="AF376" s="154">
        <v>130</v>
      </c>
      <c r="AG376" s="154" t="s">
        <v>1402</v>
      </c>
      <c r="AH376" s="154" t="s">
        <v>36</v>
      </c>
      <c r="AI376" s="154" t="s">
        <v>741</v>
      </c>
      <c r="AJ376" s="154">
        <v>1680</v>
      </c>
      <c r="AK376" s="154" t="s">
        <v>1407</v>
      </c>
      <c r="AL376" s="154">
        <v>28157</v>
      </c>
      <c r="AM376" s="154" t="s">
        <v>1414</v>
      </c>
      <c r="AN376" s="154" t="s">
        <v>1415</v>
      </c>
      <c r="AO376" s="154">
        <v>28</v>
      </c>
      <c r="AP376" s="154" t="s">
        <v>1416</v>
      </c>
      <c r="AQ376" s="154">
        <v>0</v>
      </c>
      <c r="AR376" s="154" t="s">
        <v>1410</v>
      </c>
      <c r="AS376" s="154"/>
      <c r="AT376" s="154" t="s">
        <v>1417</v>
      </c>
      <c r="AU376" s="154" t="s">
        <v>1412</v>
      </c>
    </row>
    <row r="377" spans="1:47" x14ac:dyDescent="0.45">
      <c r="A377" s="154">
        <v>2513150009</v>
      </c>
      <c r="B377" s="154">
        <v>131</v>
      </c>
      <c r="C377" s="154" t="s">
        <v>1462</v>
      </c>
      <c r="D377" s="154">
        <v>130</v>
      </c>
      <c r="E377" s="154" t="s">
        <v>1402</v>
      </c>
      <c r="F377" s="154" t="s">
        <v>2295</v>
      </c>
      <c r="G377" s="154" t="s">
        <v>2296</v>
      </c>
      <c r="H377" s="154">
        <v>1</v>
      </c>
      <c r="I377" s="154" t="s">
        <v>2297</v>
      </c>
      <c r="J377" s="154" t="s">
        <v>1403</v>
      </c>
      <c r="K377" s="154">
        <v>2025</v>
      </c>
      <c r="L377" s="155">
        <v>2025</v>
      </c>
      <c r="M377" s="156">
        <v>45559</v>
      </c>
      <c r="N377" s="154" t="s">
        <v>36</v>
      </c>
      <c r="O377" s="154" t="s">
        <v>698</v>
      </c>
      <c r="P377" s="154">
        <v>502</v>
      </c>
      <c r="Q377" s="154" t="s">
        <v>1500</v>
      </c>
      <c r="R377" s="154">
        <v>2</v>
      </c>
      <c r="S377" s="154">
        <v>5</v>
      </c>
      <c r="T377" s="154" t="s">
        <v>1470</v>
      </c>
      <c r="U377" s="154">
        <v>15</v>
      </c>
      <c r="V377" s="155">
        <v>2522548</v>
      </c>
      <c r="W377" s="155">
        <v>0</v>
      </c>
      <c r="X377" s="155" t="s">
        <v>1406</v>
      </c>
      <c r="Y377" s="154"/>
      <c r="Z377" s="154" t="s">
        <v>32</v>
      </c>
      <c r="AA377" s="156">
        <v>45602</v>
      </c>
      <c r="AB377" s="154">
        <v>25</v>
      </c>
      <c r="AC377" s="154">
        <v>22548</v>
      </c>
      <c r="AD377" s="154">
        <v>131</v>
      </c>
      <c r="AE377" s="154" t="s">
        <v>1462</v>
      </c>
      <c r="AF377" s="154">
        <v>130</v>
      </c>
      <c r="AG377" s="154" t="s">
        <v>1402</v>
      </c>
      <c r="AH377" s="154" t="s">
        <v>36</v>
      </c>
      <c r="AI377" s="154" t="s">
        <v>698</v>
      </c>
      <c r="AJ377" s="154">
        <v>502</v>
      </c>
      <c r="AK377" s="154" t="s">
        <v>1407</v>
      </c>
      <c r="AL377" s="154">
        <v>28107</v>
      </c>
      <c r="AM377" s="154" t="s">
        <v>1418</v>
      </c>
      <c r="AN377" s="154" t="s">
        <v>1484</v>
      </c>
      <c r="AO377" s="154">
        <v>28</v>
      </c>
      <c r="AP377" s="154" t="s">
        <v>1416</v>
      </c>
      <c r="AQ377" s="154">
        <v>0</v>
      </c>
      <c r="AR377" s="154" t="s">
        <v>1410</v>
      </c>
      <c r="AS377" s="154"/>
      <c r="AT377" s="154" t="s">
        <v>1417</v>
      </c>
      <c r="AU377" s="154" t="s">
        <v>1412</v>
      </c>
    </row>
    <row r="378" spans="1:47" x14ac:dyDescent="0.45">
      <c r="A378" s="154">
        <v>2513150010</v>
      </c>
      <c r="B378" s="154">
        <v>131</v>
      </c>
      <c r="C378" s="154" t="s">
        <v>1462</v>
      </c>
      <c r="D378" s="154">
        <v>130</v>
      </c>
      <c r="E378" s="154" t="s">
        <v>1402</v>
      </c>
      <c r="F378" s="154" t="s">
        <v>2299</v>
      </c>
      <c r="G378" s="154" t="s">
        <v>2300</v>
      </c>
      <c r="H378" s="154">
        <v>1</v>
      </c>
      <c r="I378" s="154" t="s">
        <v>2301</v>
      </c>
      <c r="J378" s="154" t="s">
        <v>1403</v>
      </c>
      <c r="K378" s="154">
        <v>2025</v>
      </c>
      <c r="L378" s="155">
        <v>2025</v>
      </c>
      <c r="M378" s="156">
        <v>45602</v>
      </c>
      <c r="N378" s="154" t="s">
        <v>36</v>
      </c>
      <c r="O378" s="154" t="s">
        <v>698</v>
      </c>
      <c r="P378" s="154">
        <v>502</v>
      </c>
      <c r="Q378" s="154" t="s">
        <v>1500</v>
      </c>
      <c r="R378" s="154">
        <v>2</v>
      </c>
      <c r="S378" s="154">
        <v>5</v>
      </c>
      <c r="T378" s="154" t="s">
        <v>1470</v>
      </c>
      <c r="U378" s="154">
        <v>15</v>
      </c>
      <c r="V378" s="155">
        <v>2522599</v>
      </c>
      <c r="W378" s="155">
        <v>0</v>
      </c>
      <c r="X378" s="155" t="s">
        <v>1406</v>
      </c>
      <c r="Y378" s="154"/>
      <c r="Z378" s="154" t="s">
        <v>32</v>
      </c>
      <c r="AA378" s="156">
        <v>45692</v>
      </c>
      <c r="AB378" s="154">
        <v>25</v>
      </c>
      <c r="AC378" s="154">
        <v>22599</v>
      </c>
      <c r="AD378" s="154">
        <v>131</v>
      </c>
      <c r="AE378" s="154" t="s">
        <v>1462</v>
      </c>
      <c r="AF378" s="154">
        <v>130</v>
      </c>
      <c r="AG378" s="154" t="s">
        <v>1402</v>
      </c>
      <c r="AH378" s="154" t="s">
        <v>36</v>
      </c>
      <c r="AI378" s="154" t="s">
        <v>698</v>
      </c>
      <c r="AJ378" s="154">
        <v>502</v>
      </c>
      <c r="AK378" s="154" t="s">
        <v>1407</v>
      </c>
      <c r="AL378" s="154">
        <v>28284</v>
      </c>
      <c r="AM378" s="154" t="s">
        <v>1418</v>
      </c>
      <c r="AN378" s="154" t="s">
        <v>2866</v>
      </c>
      <c r="AO378" s="154">
        <v>28</v>
      </c>
      <c r="AP378" s="154" t="s">
        <v>1416</v>
      </c>
      <c r="AQ378" s="154">
        <v>0</v>
      </c>
      <c r="AR378" s="154" t="s">
        <v>1410</v>
      </c>
      <c r="AS378" s="154"/>
      <c r="AT378" s="154" t="s">
        <v>1417</v>
      </c>
      <c r="AU378" s="154" t="s">
        <v>1412</v>
      </c>
    </row>
    <row r="379" spans="1:47" x14ac:dyDescent="0.45">
      <c r="A379" s="154">
        <v>2513150011</v>
      </c>
      <c r="B379" s="154">
        <v>131</v>
      </c>
      <c r="C379" s="154" t="s">
        <v>1462</v>
      </c>
      <c r="D379" s="154">
        <v>130</v>
      </c>
      <c r="E379" s="154" t="s">
        <v>1402</v>
      </c>
      <c r="F379" s="154" t="s">
        <v>2302</v>
      </c>
      <c r="G379" s="154" t="s">
        <v>2303</v>
      </c>
      <c r="H379" s="154">
        <v>2</v>
      </c>
      <c r="I379" s="154" t="s">
        <v>523</v>
      </c>
      <c r="J379" s="154" t="s">
        <v>1403</v>
      </c>
      <c r="K379" s="154">
        <v>2025</v>
      </c>
      <c r="L379" s="155">
        <v>2025</v>
      </c>
      <c r="M379" s="156">
        <v>45547</v>
      </c>
      <c r="N379" s="154" t="s">
        <v>36</v>
      </c>
      <c r="O379" s="154" t="s">
        <v>698</v>
      </c>
      <c r="P379" s="154">
        <v>502</v>
      </c>
      <c r="Q379" s="154" t="s">
        <v>1500</v>
      </c>
      <c r="R379" s="154">
        <v>2</v>
      </c>
      <c r="S379" s="154">
        <v>5</v>
      </c>
      <c r="T379" s="154" t="s">
        <v>1470</v>
      </c>
      <c r="U379" s="154">
        <v>15</v>
      </c>
      <c r="V379" s="155">
        <v>2522531</v>
      </c>
      <c r="W379" s="155">
        <v>0</v>
      </c>
      <c r="X379" s="155" t="s">
        <v>1406</v>
      </c>
      <c r="Y379" s="154"/>
      <c r="Z379" s="154" t="s">
        <v>32</v>
      </c>
      <c r="AA379" s="156">
        <v>45581</v>
      </c>
      <c r="AB379" s="154">
        <v>25</v>
      </c>
      <c r="AC379" s="154">
        <v>22531</v>
      </c>
      <c r="AD379" s="154">
        <v>131</v>
      </c>
      <c r="AE379" s="154" t="s">
        <v>1462</v>
      </c>
      <c r="AF379" s="154">
        <v>130</v>
      </c>
      <c r="AG379" s="154" t="s">
        <v>1402</v>
      </c>
      <c r="AH379" s="154" t="s">
        <v>36</v>
      </c>
      <c r="AI379" s="154" t="s">
        <v>698</v>
      </c>
      <c r="AJ379" s="154">
        <v>502</v>
      </c>
      <c r="AK379" s="154" t="s">
        <v>1407</v>
      </c>
      <c r="AL379" s="154">
        <v>28193</v>
      </c>
      <c r="AM379" s="154" t="s">
        <v>1418</v>
      </c>
      <c r="AN379" s="154" t="s">
        <v>1439</v>
      </c>
      <c r="AO379" s="154">
        <v>28</v>
      </c>
      <c r="AP379" s="154" t="s">
        <v>1416</v>
      </c>
      <c r="AQ379" s="154">
        <v>0</v>
      </c>
      <c r="AR379" s="154" t="s">
        <v>1410</v>
      </c>
      <c r="AS379" s="154"/>
      <c r="AT379" s="154" t="s">
        <v>1417</v>
      </c>
      <c r="AU379" s="154" t="s">
        <v>1412</v>
      </c>
    </row>
    <row r="380" spans="1:47" x14ac:dyDescent="0.45">
      <c r="A380" s="154">
        <v>2513150012</v>
      </c>
      <c r="B380" s="154">
        <v>131</v>
      </c>
      <c r="C380" s="154" t="s">
        <v>1462</v>
      </c>
      <c r="D380" s="154">
        <v>130</v>
      </c>
      <c r="E380" s="154" t="s">
        <v>1402</v>
      </c>
      <c r="F380" s="154" t="s">
        <v>2304</v>
      </c>
      <c r="G380" s="154" t="s">
        <v>2305</v>
      </c>
      <c r="H380" s="154">
        <v>1</v>
      </c>
      <c r="I380" s="154" t="s">
        <v>2297</v>
      </c>
      <c r="J380" s="154" t="s">
        <v>1403</v>
      </c>
      <c r="K380" s="154">
        <v>2025</v>
      </c>
      <c r="L380" s="155">
        <v>2025</v>
      </c>
      <c r="M380" s="156">
        <v>45559</v>
      </c>
      <c r="N380" s="154" t="s">
        <v>36</v>
      </c>
      <c r="O380" s="154" t="s">
        <v>698</v>
      </c>
      <c r="P380" s="154">
        <v>502</v>
      </c>
      <c r="Q380" s="154" t="s">
        <v>1500</v>
      </c>
      <c r="R380" s="154">
        <v>2</v>
      </c>
      <c r="S380" s="154">
        <v>5</v>
      </c>
      <c r="T380" s="154" t="s">
        <v>1470</v>
      </c>
      <c r="U380" s="154">
        <v>15</v>
      </c>
      <c r="V380" s="155">
        <v>2522518</v>
      </c>
      <c r="W380" s="155">
        <v>0</v>
      </c>
      <c r="X380" s="155" t="s">
        <v>1406</v>
      </c>
      <c r="Y380" s="154"/>
      <c r="Z380" s="154" t="s">
        <v>32</v>
      </c>
      <c r="AA380" s="156">
        <v>45576</v>
      </c>
      <c r="AB380" s="154">
        <v>25</v>
      </c>
      <c r="AC380" s="154">
        <v>22518</v>
      </c>
      <c r="AD380" s="154">
        <v>131</v>
      </c>
      <c r="AE380" s="154" t="s">
        <v>1462</v>
      </c>
      <c r="AF380" s="154">
        <v>130</v>
      </c>
      <c r="AG380" s="154" t="s">
        <v>1402</v>
      </c>
      <c r="AH380" s="154" t="s">
        <v>36</v>
      </c>
      <c r="AI380" s="154" t="s">
        <v>698</v>
      </c>
      <c r="AJ380" s="154">
        <v>502</v>
      </c>
      <c r="AK380" s="154" t="s">
        <v>1407</v>
      </c>
      <c r="AL380" s="154">
        <v>28107</v>
      </c>
      <c r="AM380" s="154" t="s">
        <v>1418</v>
      </c>
      <c r="AN380" s="154" t="s">
        <v>1484</v>
      </c>
      <c r="AO380" s="154">
        <v>28</v>
      </c>
      <c r="AP380" s="154" t="s">
        <v>1416</v>
      </c>
      <c r="AQ380" s="154">
        <v>0</v>
      </c>
      <c r="AR380" s="154" t="s">
        <v>1410</v>
      </c>
      <c r="AS380" s="154"/>
      <c r="AT380" s="154" t="s">
        <v>1417</v>
      </c>
      <c r="AU380" s="154" t="s">
        <v>1412</v>
      </c>
    </row>
    <row r="381" spans="1:47" x14ac:dyDescent="0.45">
      <c r="A381" s="154">
        <v>2513150014</v>
      </c>
      <c r="B381" s="154">
        <v>131</v>
      </c>
      <c r="C381" s="154" t="s">
        <v>1462</v>
      </c>
      <c r="D381" s="154">
        <v>130</v>
      </c>
      <c r="E381" s="154" t="s">
        <v>1402</v>
      </c>
      <c r="F381" s="154" t="s">
        <v>2309</v>
      </c>
      <c r="G381" s="154" t="s">
        <v>2310</v>
      </c>
      <c r="H381" s="154">
        <v>2</v>
      </c>
      <c r="I381" s="154" t="s">
        <v>2311</v>
      </c>
      <c r="J381" s="154" t="s">
        <v>1403</v>
      </c>
      <c r="K381" s="154">
        <v>2025</v>
      </c>
      <c r="L381" s="155">
        <v>2025</v>
      </c>
      <c r="M381" s="156">
        <v>45539</v>
      </c>
      <c r="N381" s="154" t="s">
        <v>36</v>
      </c>
      <c r="O381" s="154" t="s">
        <v>704</v>
      </c>
      <c r="P381" s="154">
        <v>427</v>
      </c>
      <c r="Q381" s="154" t="s">
        <v>1479</v>
      </c>
      <c r="R381" s="154">
        <v>2</v>
      </c>
      <c r="S381" s="154">
        <v>2</v>
      </c>
      <c r="T381" s="154" t="s">
        <v>1464</v>
      </c>
      <c r="U381" s="154">
        <v>1</v>
      </c>
      <c r="V381" s="155">
        <v>2522505</v>
      </c>
      <c r="W381" s="155">
        <v>0</v>
      </c>
      <c r="X381" s="155" t="s">
        <v>1406</v>
      </c>
      <c r="Y381" s="154"/>
      <c r="Z381" s="154" t="s">
        <v>32</v>
      </c>
      <c r="AA381" s="156">
        <v>45565</v>
      </c>
      <c r="AB381" s="154">
        <v>25</v>
      </c>
      <c r="AC381" s="154">
        <v>22505</v>
      </c>
      <c r="AD381" s="154">
        <v>131</v>
      </c>
      <c r="AE381" s="154" t="s">
        <v>1462</v>
      </c>
      <c r="AF381" s="154">
        <v>130</v>
      </c>
      <c r="AG381" s="154" t="s">
        <v>1402</v>
      </c>
      <c r="AH381" s="154" t="s">
        <v>36</v>
      </c>
      <c r="AI381" s="154" t="s">
        <v>704</v>
      </c>
      <c r="AJ381" s="154">
        <v>427</v>
      </c>
      <c r="AK381" s="154" t="s">
        <v>1407</v>
      </c>
      <c r="AL381" s="154">
        <v>28091</v>
      </c>
      <c r="AM381" s="154" t="s">
        <v>1421</v>
      </c>
      <c r="AN381" s="154" t="s">
        <v>1452</v>
      </c>
      <c r="AO381" s="154">
        <v>28</v>
      </c>
      <c r="AP381" s="154" t="s">
        <v>1416</v>
      </c>
      <c r="AQ381" s="154">
        <v>0</v>
      </c>
      <c r="AR381" s="154" t="s">
        <v>1410</v>
      </c>
      <c r="AS381" s="154"/>
      <c r="AT381" s="154" t="s">
        <v>1417</v>
      </c>
      <c r="AU381" s="154" t="s">
        <v>1412</v>
      </c>
    </row>
    <row r="382" spans="1:47" x14ac:dyDescent="0.45">
      <c r="A382" s="154">
        <v>2513150015</v>
      </c>
      <c r="B382" s="154">
        <v>131</v>
      </c>
      <c r="C382" s="154" t="s">
        <v>1462</v>
      </c>
      <c r="D382" s="154">
        <v>130</v>
      </c>
      <c r="E382" s="154" t="s">
        <v>1402</v>
      </c>
      <c r="F382" s="154" t="s">
        <v>2312</v>
      </c>
      <c r="G382" s="154" t="s">
        <v>2313</v>
      </c>
      <c r="H382" s="154">
        <v>2</v>
      </c>
      <c r="I382" s="154" t="s">
        <v>2314</v>
      </c>
      <c r="J382" s="154" t="s">
        <v>1403</v>
      </c>
      <c r="K382" s="154">
        <v>2025</v>
      </c>
      <c r="L382" s="155">
        <v>2025</v>
      </c>
      <c r="M382" s="156">
        <v>45593</v>
      </c>
      <c r="N382" s="154" t="s">
        <v>36</v>
      </c>
      <c r="O382" s="154" t="s">
        <v>704</v>
      </c>
      <c r="P382" s="154">
        <v>427</v>
      </c>
      <c r="Q382" s="154" t="s">
        <v>1479</v>
      </c>
      <c r="R382" s="154">
        <v>2</v>
      </c>
      <c r="S382" s="154">
        <v>2</v>
      </c>
      <c r="T382" s="154" t="s">
        <v>1464</v>
      </c>
      <c r="U382" s="154">
        <v>1</v>
      </c>
      <c r="V382" s="155">
        <v>2522562</v>
      </c>
      <c r="W382" s="155">
        <v>0</v>
      </c>
      <c r="X382" s="155" t="s">
        <v>1406</v>
      </c>
      <c r="Y382" s="154"/>
      <c r="Z382" s="154" t="s">
        <v>32</v>
      </c>
      <c r="AA382" s="156">
        <v>45608</v>
      </c>
      <c r="AB382" s="154">
        <v>25</v>
      </c>
      <c r="AC382" s="154">
        <v>22562</v>
      </c>
      <c r="AD382" s="154">
        <v>131</v>
      </c>
      <c r="AE382" s="154" t="s">
        <v>1462</v>
      </c>
      <c r="AF382" s="154">
        <v>130</v>
      </c>
      <c r="AG382" s="154" t="s">
        <v>1402</v>
      </c>
      <c r="AH382" s="154" t="s">
        <v>36</v>
      </c>
      <c r="AI382" s="154" t="s">
        <v>704</v>
      </c>
      <c r="AJ382" s="154">
        <v>427</v>
      </c>
      <c r="AK382" s="154" t="s">
        <v>1407</v>
      </c>
      <c r="AL382" s="154">
        <v>28090</v>
      </c>
      <c r="AM382" s="154" t="s">
        <v>1414</v>
      </c>
      <c r="AN382" s="154" t="s">
        <v>1455</v>
      </c>
      <c r="AO382" s="154">
        <v>28</v>
      </c>
      <c r="AP382" s="154" t="s">
        <v>1416</v>
      </c>
      <c r="AQ382" s="154">
        <v>0</v>
      </c>
      <c r="AR382" s="154" t="s">
        <v>1410</v>
      </c>
      <c r="AS382" s="154"/>
      <c r="AT382" s="154" t="s">
        <v>1417</v>
      </c>
      <c r="AU382" s="154" t="s">
        <v>1412</v>
      </c>
    </row>
    <row r="383" spans="1:47" x14ac:dyDescent="0.45">
      <c r="A383" s="154">
        <v>2513150016</v>
      </c>
      <c r="B383" s="154">
        <v>131</v>
      </c>
      <c r="C383" s="154" t="s">
        <v>1462</v>
      </c>
      <c r="D383" s="154">
        <v>130</v>
      </c>
      <c r="E383" s="154" t="s">
        <v>1402</v>
      </c>
      <c r="F383" s="154" t="s">
        <v>2316</v>
      </c>
      <c r="G383" s="154" t="s">
        <v>2317</v>
      </c>
      <c r="H383" s="154">
        <v>1</v>
      </c>
      <c r="I383" s="154" t="s">
        <v>2318</v>
      </c>
      <c r="J383" s="154" t="s">
        <v>1588</v>
      </c>
      <c r="K383" s="154">
        <v>2025</v>
      </c>
      <c r="L383" s="155">
        <v>2025</v>
      </c>
      <c r="M383" s="156">
        <v>45555</v>
      </c>
      <c r="N383" s="154" t="s">
        <v>36</v>
      </c>
      <c r="O383" s="154" t="s">
        <v>704</v>
      </c>
      <c r="P383" s="154">
        <v>428</v>
      </c>
      <c r="Q383" s="154" t="s">
        <v>1463</v>
      </c>
      <c r="R383" s="154">
        <v>2</v>
      </c>
      <c r="S383" s="154">
        <v>2</v>
      </c>
      <c r="T383" s="154" t="s">
        <v>1464</v>
      </c>
      <c r="U383" s="154">
        <v>1</v>
      </c>
      <c r="V383" s="155">
        <v>2522516</v>
      </c>
      <c r="W383" s="155">
        <v>0</v>
      </c>
      <c r="X383" s="155" t="s">
        <v>1406</v>
      </c>
      <c r="Y383" s="154"/>
      <c r="Z383" s="154" t="s">
        <v>32</v>
      </c>
      <c r="AA383" s="156">
        <v>45576</v>
      </c>
      <c r="AB383" s="154">
        <v>25</v>
      </c>
      <c r="AC383" s="154">
        <v>22516</v>
      </c>
      <c r="AD383" s="154">
        <v>131</v>
      </c>
      <c r="AE383" s="154" t="s">
        <v>1462</v>
      </c>
      <c r="AF383" s="154">
        <v>130</v>
      </c>
      <c r="AG383" s="154" t="s">
        <v>1402</v>
      </c>
      <c r="AH383" s="154" t="s">
        <v>36</v>
      </c>
      <c r="AI383" s="154" t="s">
        <v>704</v>
      </c>
      <c r="AJ383" s="154">
        <v>428</v>
      </c>
      <c r="AK383" s="154" t="s">
        <v>1407</v>
      </c>
      <c r="AL383" s="154">
        <v>29089</v>
      </c>
      <c r="AM383" s="154" t="s">
        <v>1421</v>
      </c>
      <c r="AN383" s="154" t="s">
        <v>2837</v>
      </c>
      <c r="AO383" s="154">
        <v>29</v>
      </c>
      <c r="AP383" s="154" t="s">
        <v>1589</v>
      </c>
      <c r="AQ383" s="154">
        <v>0</v>
      </c>
      <c r="AR383" s="154" t="s">
        <v>1410</v>
      </c>
      <c r="AS383" s="154"/>
      <c r="AT383" s="154" t="s">
        <v>1417</v>
      </c>
      <c r="AU383" s="154" t="s">
        <v>1412</v>
      </c>
    </row>
    <row r="384" spans="1:47" x14ac:dyDescent="0.45">
      <c r="A384" s="154">
        <v>2513150017</v>
      </c>
      <c r="B384" s="154">
        <v>131</v>
      </c>
      <c r="C384" s="154" t="s">
        <v>1462</v>
      </c>
      <c r="D384" s="154">
        <v>130</v>
      </c>
      <c r="E384" s="154" t="s">
        <v>1402</v>
      </c>
      <c r="F384" s="154" t="s">
        <v>2319</v>
      </c>
      <c r="G384" s="154" t="s">
        <v>2320</v>
      </c>
      <c r="H384" s="154">
        <v>2</v>
      </c>
      <c r="I384" s="154" t="s">
        <v>2321</v>
      </c>
      <c r="J384" s="154" t="s">
        <v>1403</v>
      </c>
      <c r="K384" s="154">
        <v>2025</v>
      </c>
      <c r="L384" s="155">
        <v>2025</v>
      </c>
      <c r="M384" s="156">
        <v>45538</v>
      </c>
      <c r="N384" s="154" t="s">
        <v>36</v>
      </c>
      <c r="O384" s="154" t="s">
        <v>704</v>
      </c>
      <c r="P384" s="154">
        <v>785</v>
      </c>
      <c r="Q384" s="154" t="s">
        <v>1491</v>
      </c>
      <c r="R384" s="154">
        <v>2</v>
      </c>
      <c r="S384" s="154">
        <v>2</v>
      </c>
      <c r="T384" s="154" t="s">
        <v>1464</v>
      </c>
      <c r="U384" s="154">
        <v>1</v>
      </c>
      <c r="V384" s="155">
        <v>2522503</v>
      </c>
      <c r="W384" s="155">
        <v>0</v>
      </c>
      <c r="X384" s="155" t="s">
        <v>1406</v>
      </c>
      <c r="Y384" s="154"/>
      <c r="Z384" s="154" t="s">
        <v>32</v>
      </c>
      <c r="AA384" s="156">
        <v>45565</v>
      </c>
      <c r="AB384" s="154">
        <v>25</v>
      </c>
      <c r="AC384" s="154">
        <v>22503</v>
      </c>
      <c r="AD384" s="154">
        <v>131</v>
      </c>
      <c r="AE384" s="154" t="s">
        <v>1462</v>
      </c>
      <c r="AF384" s="154">
        <v>130</v>
      </c>
      <c r="AG384" s="154" t="s">
        <v>1402</v>
      </c>
      <c r="AH384" s="154" t="s">
        <v>36</v>
      </c>
      <c r="AI384" s="154" t="s">
        <v>704</v>
      </c>
      <c r="AJ384" s="154">
        <v>785</v>
      </c>
      <c r="AK384" s="154" t="s">
        <v>1407</v>
      </c>
      <c r="AL384" s="154">
        <v>28012</v>
      </c>
      <c r="AM384" s="154" t="s">
        <v>1421</v>
      </c>
      <c r="AN384" s="154" t="s">
        <v>1600</v>
      </c>
      <c r="AO384" s="154">
        <v>28</v>
      </c>
      <c r="AP384" s="154" t="s">
        <v>1416</v>
      </c>
      <c r="AQ384" s="154">
        <v>0</v>
      </c>
      <c r="AR384" s="154" t="s">
        <v>1410</v>
      </c>
      <c r="AS384" s="154"/>
      <c r="AT384" s="154" t="s">
        <v>1417</v>
      </c>
      <c r="AU384" s="154" t="s">
        <v>1412</v>
      </c>
    </row>
    <row r="385" spans="1:47" x14ac:dyDescent="0.45">
      <c r="A385" s="154">
        <v>2513150018</v>
      </c>
      <c r="B385" s="154">
        <v>131</v>
      </c>
      <c r="C385" s="154" t="s">
        <v>1462</v>
      </c>
      <c r="D385" s="154">
        <v>130</v>
      </c>
      <c r="E385" s="154" t="s">
        <v>1402</v>
      </c>
      <c r="F385" s="154" t="s">
        <v>2322</v>
      </c>
      <c r="G385" s="154" t="s">
        <v>2323</v>
      </c>
      <c r="H385" s="154">
        <v>1</v>
      </c>
      <c r="I385" s="154" t="s">
        <v>2324</v>
      </c>
      <c r="J385" s="154" t="s">
        <v>1403</v>
      </c>
      <c r="K385" s="154">
        <v>2025</v>
      </c>
      <c r="L385" s="155">
        <v>2025</v>
      </c>
      <c r="M385" s="156">
        <v>45548</v>
      </c>
      <c r="N385" s="154" t="s">
        <v>36</v>
      </c>
      <c r="O385" s="154" t="s">
        <v>704</v>
      </c>
      <c r="P385" s="154">
        <v>968</v>
      </c>
      <c r="Q385" s="154" t="s">
        <v>1474</v>
      </c>
      <c r="R385" s="154">
        <v>2</v>
      </c>
      <c r="S385" s="154">
        <v>2</v>
      </c>
      <c r="T385" s="154" t="s">
        <v>1464</v>
      </c>
      <c r="U385" s="154">
        <v>1</v>
      </c>
      <c r="V385" s="155">
        <v>2522530</v>
      </c>
      <c r="W385" s="155">
        <v>0</v>
      </c>
      <c r="X385" s="155" t="s">
        <v>1406</v>
      </c>
      <c r="Y385" s="154"/>
      <c r="Z385" s="154" t="s">
        <v>32</v>
      </c>
      <c r="AA385" s="156">
        <v>45580</v>
      </c>
      <c r="AB385" s="154">
        <v>25</v>
      </c>
      <c r="AC385" s="154">
        <v>22530</v>
      </c>
      <c r="AD385" s="154">
        <v>131</v>
      </c>
      <c r="AE385" s="154" t="s">
        <v>1462</v>
      </c>
      <c r="AF385" s="154">
        <v>130</v>
      </c>
      <c r="AG385" s="154" t="s">
        <v>1402</v>
      </c>
      <c r="AH385" s="154" t="s">
        <v>36</v>
      </c>
      <c r="AI385" s="154" t="s">
        <v>704</v>
      </c>
      <c r="AJ385" s="154">
        <v>968</v>
      </c>
      <c r="AK385" s="154" t="s">
        <v>1407</v>
      </c>
      <c r="AL385" s="154">
        <v>28094</v>
      </c>
      <c r="AM385" s="154" t="s">
        <v>1421</v>
      </c>
      <c r="AN385" s="154" t="s">
        <v>1437</v>
      </c>
      <c r="AO385" s="154">
        <v>28</v>
      </c>
      <c r="AP385" s="154" t="s">
        <v>1416</v>
      </c>
      <c r="AQ385" s="154">
        <v>0</v>
      </c>
      <c r="AR385" s="154" t="s">
        <v>1410</v>
      </c>
      <c r="AS385" s="154"/>
      <c r="AT385" s="154" t="s">
        <v>1417</v>
      </c>
      <c r="AU385" s="154" t="s">
        <v>1412</v>
      </c>
    </row>
    <row r="386" spans="1:47" x14ac:dyDescent="0.45">
      <c r="A386" s="154">
        <v>2513150020</v>
      </c>
      <c r="B386" s="154">
        <v>131</v>
      </c>
      <c r="C386" s="154" t="s">
        <v>1462</v>
      </c>
      <c r="D386" s="154">
        <v>130</v>
      </c>
      <c r="E386" s="154" t="s">
        <v>1402</v>
      </c>
      <c r="F386" s="154" t="s">
        <v>2327</v>
      </c>
      <c r="G386" s="154" t="s">
        <v>2328</v>
      </c>
      <c r="H386" s="154">
        <v>2</v>
      </c>
      <c r="I386" s="154" t="s">
        <v>2329</v>
      </c>
      <c r="J386" s="154" t="s">
        <v>1403</v>
      </c>
      <c r="K386" s="154">
        <v>2025</v>
      </c>
      <c r="L386" s="155">
        <v>2025</v>
      </c>
      <c r="M386" s="156">
        <v>45572</v>
      </c>
      <c r="N386" s="154" t="s">
        <v>36</v>
      </c>
      <c r="O386" s="154" t="s">
        <v>704</v>
      </c>
      <c r="P386" s="154">
        <v>857</v>
      </c>
      <c r="Q386" s="154" t="s">
        <v>1481</v>
      </c>
      <c r="R386" s="154">
        <v>2</v>
      </c>
      <c r="S386" s="154">
        <v>2</v>
      </c>
      <c r="T386" s="154" t="s">
        <v>1464</v>
      </c>
      <c r="U386" s="154">
        <v>1</v>
      </c>
      <c r="V386" s="155">
        <v>2522609</v>
      </c>
      <c r="W386" s="155">
        <v>0</v>
      </c>
      <c r="X386" s="155" t="s">
        <v>1406</v>
      </c>
      <c r="Y386" s="154"/>
      <c r="Z386" s="154" t="s">
        <v>32</v>
      </c>
      <c r="AA386" s="156">
        <v>45719</v>
      </c>
      <c r="AB386" s="154">
        <v>25</v>
      </c>
      <c r="AC386" s="154">
        <v>22609</v>
      </c>
      <c r="AD386" s="154">
        <v>131</v>
      </c>
      <c r="AE386" s="154" t="s">
        <v>1462</v>
      </c>
      <c r="AF386" s="154">
        <v>130</v>
      </c>
      <c r="AG386" s="154" t="s">
        <v>1402</v>
      </c>
      <c r="AH386" s="154" t="s">
        <v>36</v>
      </c>
      <c r="AI386" s="154" t="s">
        <v>793</v>
      </c>
      <c r="AJ386" s="154">
        <v>856</v>
      </c>
      <c r="AK386" s="154" t="s">
        <v>1473</v>
      </c>
      <c r="AL386" s="154">
        <v>28098</v>
      </c>
      <c r="AM386" s="154" t="s">
        <v>1418</v>
      </c>
      <c r="AN386" s="154" t="s">
        <v>1448</v>
      </c>
      <c r="AO386" s="154">
        <v>28</v>
      </c>
      <c r="AP386" s="154" t="s">
        <v>1416</v>
      </c>
      <c r="AQ386" s="154">
        <v>0</v>
      </c>
      <c r="AR386" s="154" t="s">
        <v>1410</v>
      </c>
      <c r="AS386" s="154"/>
      <c r="AT386" s="154" t="s">
        <v>1417</v>
      </c>
      <c r="AU386" s="154" t="s">
        <v>1412</v>
      </c>
    </row>
    <row r="387" spans="1:47" x14ac:dyDescent="0.45">
      <c r="A387" s="154">
        <v>2513150021</v>
      </c>
      <c r="B387" s="154">
        <v>131</v>
      </c>
      <c r="C387" s="154" t="s">
        <v>1462</v>
      </c>
      <c r="D387" s="154">
        <v>130</v>
      </c>
      <c r="E387" s="154" t="s">
        <v>1402</v>
      </c>
      <c r="F387" s="154" t="s">
        <v>2330</v>
      </c>
      <c r="G387" s="154" t="s">
        <v>2331</v>
      </c>
      <c r="H387" s="154">
        <v>2</v>
      </c>
      <c r="I387" s="154" t="s">
        <v>2867</v>
      </c>
      <c r="J387" s="154" t="s">
        <v>1403</v>
      </c>
      <c r="K387" s="154">
        <v>2025</v>
      </c>
      <c r="L387" s="155">
        <v>2025</v>
      </c>
      <c r="M387" s="156">
        <v>45576</v>
      </c>
      <c r="N387" s="154" t="s">
        <v>36</v>
      </c>
      <c r="O387" s="154" t="s">
        <v>704</v>
      </c>
      <c r="P387" s="154">
        <v>856</v>
      </c>
      <c r="Q387" s="154" t="s">
        <v>1533</v>
      </c>
      <c r="R387" s="154">
        <v>2</v>
      </c>
      <c r="S387" s="154">
        <v>2</v>
      </c>
      <c r="T387" s="154" t="s">
        <v>1464</v>
      </c>
      <c r="U387" s="154">
        <v>1</v>
      </c>
      <c r="V387" s="155">
        <v>2522549</v>
      </c>
      <c r="W387" s="155">
        <v>0</v>
      </c>
      <c r="X387" s="155" t="s">
        <v>1406</v>
      </c>
      <c r="Y387" s="154"/>
      <c r="Z387" s="154" t="s">
        <v>32</v>
      </c>
      <c r="AA387" s="156">
        <v>45602</v>
      </c>
      <c r="AB387" s="154">
        <v>25</v>
      </c>
      <c r="AC387" s="154">
        <v>22549</v>
      </c>
      <c r="AD387" s="154">
        <v>131</v>
      </c>
      <c r="AE387" s="154" t="s">
        <v>1462</v>
      </c>
      <c r="AF387" s="154">
        <v>130</v>
      </c>
      <c r="AG387" s="154" t="s">
        <v>1402</v>
      </c>
      <c r="AH387" s="154" t="s">
        <v>36</v>
      </c>
      <c r="AI387" s="154" t="s">
        <v>704</v>
      </c>
      <c r="AJ387" s="154">
        <v>856</v>
      </c>
      <c r="AK387" s="154" t="s">
        <v>1407</v>
      </c>
      <c r="AL387" s="154">
        <v>28098</v>
      </c>
      <c r="AM387" s="154" t="s">
        <v>1418</v>
      </c>
      <c r="AN387" s="154" t="s">
        <v>1448</v>
      </c>
      <c r="AO387" s="154">
        <v>28</v>
      </c>
      <c r="AP387" s="154" t="s">
        <v>1416</v>
      </c>
      <c r="AQ387" s="154">
        <v>0</v>
      </c>
      <c r="AR387" s="154" t="s">
        <v>1410</v>
      </c>
      <c r="AS387" s="154"/>
      <c r="AT387" s="154" t="s">
        <v>1417</v>
      </c>
      <c r="AU387" s="154" t="s">
        <v>1412</v>
      </c>
    </row>
    <row r="388" spans="1:47" x14ac:dyDescent="0.45">
      <c r="A388" s="154">
        <v>2513150023</v>
      </c>
      <c r="B388" s="154">
        <v>131</v>
      </c>
      <c r="C388" s="154" t="s">
        <v>1462</v>
      </c>
      <c r="D388" s="154">
        <v>130</v>
      </c>
      <c r="E388" s="154" t="s">
        <v>1402</v>
      </c>
      <c r="F388" s="154" t="s">
        <v>2335</v>
      </c>
      <c r="G388" s="154" t="s">
        <v>2336</v>
      </c>
      <c r="H388" s="154">
        <v>1</v>
      </c>
      <c r="I388" s="154" t="s">
        <v>2337</v>
      </c>
      <c r="J388" s="154" t="s">
        <v>1403</v>
      </c>
      <c r="K388" s="154">
        <v>0</v>
      </c>
      <c r="L388" s="155">
        <v>2025</v>
      </c>
      <c r="M388" s="156">
        <v>45559</v>
      </c>
      <c r="N388" s="154" t="s">
        <v>36</v>
      </c>
      <c r="O388" s="154" t="s">
        <v>698</v>
      </c>
      <c r="P388" s="154">
        <v>502</v>
      </c>
      <c r="Q388" s="154" t="s">
        <v>1500</v>
      </c>
      <c r="R388" s="154">
        <v>2</v>
      </c>
      <c r="S388" s="154">
        <v>5</v>
      </c>
      <c r="T388" s="154" t="s">
        <v>1470</v>
      </c>
      <c r="U388" s="154">
        <v>15</v>
      </c>
      <c r="V388" s="155">
        <v>2522547</v>
      </c>
      <c r="W388" s="155">
        <v>166</v>
      </c>
      <c r="X388" s="155" t="s">
        <v>1501</v>
      </c>
      <c r="Y388" s="154"/>
      <c r="Z388" s="154" t="s">
        <v>32</v>
      </c>
      <c r="AA388" s="156">
        <v>45602</v>
      </c>
      <c r="AB388" s="154">
        <v>25</v>
      </c>
      <c r="AC388" s="154">
        <v>22547</v>
      </c>
      <c r="AD388" s="154">
        <v>131</v>
      </c>
      <c r="AE388" s="154" t="s">
        <v>1462</v>
      </c>
      <c r="AF388" s="154">
        <v>130</v>
      </c>
      <c r="AG388" s="154" t="s">
        <v>1402</v>
      </c>
      <c r="AH388" s="154" t="s">
        <v>36</v>
      </c>
      <c r="AI388" s="154" t="s">
        <v>698</v>
      </c>
      <c r="AJ388" s="154">
        <v>502</v>
      </c>
      <c r="AK388" s="154" t="s">
        <v>1407</v>
      </c>
      <c r="AL388" s="154">
        <v>28197</v>
      </c>
      <c r="AM388" s="154" t="s">
        <v>1421</v>
      </c>
      <c r="AN388" s="154" t="s">
        <v>1616</v>
      </c>
      <c r="AO388" s="154">
        <v>28</v>
      </c>
      <c r="AP388" s="154" t="s">
        <v>1416</v>
      </c>
      <c r="AQ388" s="154">
        <v>0</v>
      </c>
      <c r="AR388" s="154" t="s">
        <v>1410</v>
      </c>
      <c r="AS388" s="154"/>
      <c r="AT388" s="154" t="s">
        <v>1411</v>
      </c>
      <c r="AU388" s="154" t="s">
        <v>1412</v>
      </c>
    </row>
    <row r="389" spans="1:47" x14ac:dyDescent="0.45">
      <c r="A389" s="154">
        <v>2513150024</v>
      </c>
      <c r="B389" s="154">
        <v>131</v>
      </c>
      <c r="C389" s="154" t="s">
        <v>1462</v>
      </c>
      <c r="D389" s="154">
        <v>130</v>
      </c>
      <c r="E389" s="154" t="s">
        <v>1402</v>
      </c>
      <c r="F389" s="154" t="s">
        <v>2339</v>
      </c>
      <c r="G389" s="154" t="s">
        <v>2340</v>
      </c>
      <c r="H389" s="154">
        <v>2</v>
      </c>
      <c r="I389" s="154" t="s">
        <v>2341</v>
      </c>
      <c r="J389" s="154" t="s">
        <v>1403</v>
      </c>
      <c r="K389" s="154">
        <v>2025</v>
      </c>
      <c r="L389" s="155">
        <v>2025</v>
      </c>
      <c r="M389" s="156">
        <v>45537</v>
      </c>
      <c r="N389" s="154" t="s">
        <v>36</v>
      </c>
      <c r="O389" s="154" t="s">
        <v>708</v>
      </c>
      <c r="P389" s="154">
        <v>1067</v>
      </c>
      <c r="Q389" s="154" t="s">
        <v>2838</v>
      </c>
      <c r="R389" s="154">
        <v>2</v>
      </c>
      <c r="S389" s="154">
        <v>8</v>
      </c>
      <c r="T389" s="154" t="s">
        <v>1503</v>
      </c>
      <c r="U389" s="154">
        <v>6</v>
      </c>
      <c r="V389" s="155">
        <v>2522507</v>
      </c>
      <c r="W389" s="155">
        <v>0</v>
      </c>
      <c r="X389" s="155" t="s">
        <v>1406</v>
      </c>
      <c r="Y389" s="154"/>
      <c r="Z389" s="154" t="s">
        <v>32</v>
      </c>
      <c r="AA389" s="156">
        <v>45568</v>
      </c>
      <c r="AB389" s="154">
        <v>25</v>
      </c>
      <c r="AC389" s="154">
        <v>22507</v>
      </c>
      <c r="AD389" s="154">
        <v>131</v>
      </c>
      <c r="AE389" s="154" t="s">
        <v>1462</v>
      </c>
      <c r="AF389" s="154">
        <v>130</v>
      </c>
      <c r="AG389" s="154" t="s">
        <v>1402</v>
      </c>
      <c r="AH389" s="154" t="s">
        <v>36</v>
      </c>
      <c r="AI389" s="154" t="s">
        <v>708</v>
      </c>
      <c r="AJ389" s="154">
        <v>1067</v>
      </c>
      <c r="AK389" s="154" t="s">
        <v>1407</v>
      </c>
      <c r="AL389" s="154">
        <v>28177</v>
      </c>
      <c r="AM389" s="154" t="s">
        <v>1418</v>
      </c>
      <c r="AN389" s="154" t="s">
        <v>2839</v>
      </c>
      <c r="AO389" s="154">
        <v>28</v>
      </c>
      <c r="AP389" s="154" t="s">
        <v>1416</v>
      </c>
      <c r="AQ389" s="154">
        <v>0</v>
      </c>
      <c r="AR389" s="154" t="s">
        <v>1410</v>
      </c>
      <c r="AS389" s="154"/>
      <c r="AT389" s="154" t="s">
        <v>1417</v>
      </c>
      <c r="AU389" s="154" t="s">
        <v>1412</v>
      </c>
    </row>
    <row r="390" spans="1:47" x14ac:dyDescent="0.45">
      <c r="A390" s="154">
        <v>2513150025</v>
      </c>
      <c r="B390" s="154">
        <v>131</v>
      </c>
      <c r="C390" s="154" t="s">
        <v>1462</v>
      </c>
      <c r="D390" s="154">
        <v>130</v>
      </c>
      <c r="E390" s="154" t="s">
        <v>1402</v>
      </c>
      <c r="F390" s="154" t="s">
        <v>2342</v>
      </c>
      <c r="G390" s="154" t="s">
        <v>2343</v>
      </c>
      <c r="H390" s="154">
        <v>2</v>
      </c>
      <c r="I390" s="154" t="s">
        <v>862</v>
      </c>
      <c r="J390" s="154" t="s">
        <v>1403</v>
      </c>
      <c r="K390" s="154">
        <v>2025</v>
      </c>
      <c r="L390" s="155">
        <v>2025</v>
      </c>
      <c r="M390" s="156">
        <v>45545</v>
      </c>
      <c r="N390" s="154" t="s">
        <v>36</v>
      </c>
      <c r="O390" s="154" t="s">
        <v>698</v>
      </c>
      <c r="P390" s="154">
        <v>502</v>
      </c>
      <c r="Q390" s="154" t="s">
        <v>1500</v>
      </c>
      <c r="R390" s="154">
        <v>2</v>
      </c>
      <c r="S390" s="154">
        <v>5</v>
      </c>
      <c r="T390" s="154" t="s">
        <v>1470</v>
      </c>
      <c r="U390" s="154">
        <v>15</v>
      </c>
      <c r="V390" s="155">
        <v>2522508</v>
      </c>
      <c r="W390" s="155">
        <v>166</v>
      </c>
      <c r="X390" s="155" t="s">
        <v>1501</v>
      </c>
      <c r="Y390" s="154"/>
      <c r="Z390" s="154" t="s">
        <v>32</v>
      </c>
      <c r="AA390" s="156">
        <v>45568</v>
      </c>
      <c r="AB390" s="154">
        <v>25</v>
      </c>
      <c r="AC390" s="154">
        <v>22508</v>
      </c>
      <c r="AD390" s="154">
        <v>131</v>
      </c>
      <c r="AE390" s="154" t="s">
        <v>1462</v>
      </c>
      <c r="AF390" s="154">
        <v>130</v>
      </c>
      <c r="AG390" s="154" t="s">
        <v>1402</v>
      </c>
      <c r="AH390" s="154" t="s">
        <v>36</v>
      </c>
      <c r="AI390" s="154" t="s">
        <v>698</v>
      </c>
      <c r="AJ390" s="154">
        <v>502</v>
      </c>
      <c r="AK390" s="154" t="s">
        <v>1407</v>
      </c>
      <c r="AL390" s="154">
        <v>28017</v>
      </c>
      <c r="AM390" s="154" t="s">
        <v>1421</v>
      </c>
      <c r="AN390" s="154" t="s">
        <v>1536</v>
      </c>
      <c r="AO390" s="154">
        <v>28</v>
      </c>
      <c r="AP390" s="154" t="s">
        <v>1416</v>
      </c>
      <c r="AQ390" s="154">
        <v>0</v>
      </c>
      <c r="AR390" s="154" t="s">
        <v>1410</v>
      </c>
      <c r="AS390" s="154"/>
      <c r="AT390" s="154" t="s">
        <v>1417</v>
      </c>
      <c r="AU390" s="154" t="s">
        <v>1412</v>
      </c>
    </row>
    <row r="391" spans="1:47" x14ac:dyDescent="0.45">
      <c r="A391" s="154">
        <v>2513150026</v>
      </c>
      <c r="B391" s="154">
        <v>131</v>
      </c>
      <c r="C391" s="154" t="s">
        <v>1462</v>
      </c>
      <c r="D391" s="154">
        <v>130</v>
      </c>
      <c r="E391" s="154" t="s">
        <v>1402</v>
      </c>
      <c r="F391" s="154" t="s">
        <v>2344</v>
      </c>
      <c r="G391" s="154" t="s">
        <v>2345</v>
      </c>
      <c r="H391" s="154">
        <v>2</v>
      </c>
      <c r="I391" s="154" t="s">
        <v>2346</v>
      </c>
      <c r="J391" s="154" t="s">
        <v>1403</v>
      </c>
      <c r="K391" s="154">
        <v>2025</v>
      </c>
      <c r="L391" s="155">
        <v>2025</v>
      </c>
      <c r="M391" s="156">
        <v>45537</v>
      </c>
      <c r="N391" s="154" t="s">
        <v>36</v>
      </c>
      <c r="O391" s="154" t="s">
        <v>698</v>
      </c>
      <c r="P391" s="154">
        <v>1046</v>
      </c>
      <c r="Q391" s="154" t="s">
        <v>2790</v>
      </c>
      <c r="R391" s="154">
        <v>2</v>
      </c>
      <c r="S391" s="154">
        <v>5</v>
      </c>
      <c r="T391" s="154" t="s">
        <v>1470</v>
      </c>
      <c r="U391" s="154">
        <v>15</v>
      </c>
      <c r="V391" s="155">
        <v>2522511</v>
      </c>
      <c r="W391" s="155">
        <v>0</v>
      </c>
      <c r="X391" s="155" t="s">
        <v>1406</v>
      </c>
      <c r="Y391" s="154"/>
      <c r="Z391" s="154" t="s">
        <v>32</v>
      </c>
      <c r="AA391" s="156">
        <v>45568</v>
      </c>
      <c r="AB391" s="154">
        <v>25</v>
      </c>
      <c r="AC391" s="154">
        <v>22511</v>
      </c>
      <c r="AD391" s="154">
        <v>131</v>
      </c>
      <c r="AE391" s="154" t="s">
        <v>1462</v>
      </c>
      <c r="AF391" s="154">
        <v>130</v>
      </c>
      <c r="AG391" s="154" t="s">
        <v>1402</v>
      </c>
      <c r="AH391" s="154" t="s">
        <v>36</v>
      </c>
      <c r="AI391" s="154" t="s">
        <v>698</v>
      </c>
      <c r="AJ391" s="154">
        <v>1046</v>
      </c>
      <c r="AK391" s="154" t="s">
        <v>1407</v>
      </c>
      <c r="AL391" s="154">
        <v>28173</v>
      </c>
      <c r="AM391" s="154" t="s">
        <v>1418</v>
      </c>
      <c r="AN391" s="154" t="s">
        <v>1456</v>
      </c>
      <c r="AO391" s="154">
        <v>28</v>
      </c>
      <c r="AP391" s="154" t="s">
        <v>1416</v>
      </c>
      <c r="AQ391" s="154">
        <v>0</v>
      </c>
      <c r="AR391" s="154" t="s">
        <v>1410</v>
      </c>
      <c r="AS391" s="154"/>
      <c r="AT391" s="154" t="s">
        <v>1417</v>
      </c>
      <c r="AU391" s="154" t="s">
        <v>1412</v>
      </c>
    </row>
    <row r="392" spans="1:47" x14ac:dyDescent="0.45">
      <c r="A392" s="154">
        <v>2513150027</v>
      </c>
      <c r="B392" s="154">
        <v>131</v>
      </c>
      <c r="C392" s="154" t="s">
        <v>1462</v>
      </c>
      <c r="D392" s="154">
        <v>130</v>
      </c>
      <c r="E392" s="154" t="s">
        <v>1402</v>
      </c>
      <c r="F392" s="154" t="s">
        <v>2347</v>
      </c>
      <c r="G392" s="154" t="s">
        <v>2348</v>
      </c>
      <c r="H392" s="154">
        <v>2</v>
      </c>
      <c r="I392" s="154" t="s">
        <v>2349</v>
      </c>
      <c r="J392" s="154" t="s">
        <v>1403</v>
      </c>
      <c r="K392" s="154">
        <v>2025</v>
      </c>
      <c r="L392" s="155">
        <v>2025</v>
      </c>
      <c r="M392" s="156">
        <v>45537</v>
      </c>
      <c r="N392" s="154" t="s">
        <v>36</v>
      </c>
      <c r="O392" s="154" t="s">
        <v>698</v>
      </c>
      <c r="P392" s="154">
        <v>61</v>
      </c>
      <c r="Q392" s="154" t="s">
        <v>2792</v>
      </c>
      <c r="R392" s="154">
        <v>2</v>
      </c>
      <c r="S392" s="154">
        <v>5</v>
      </c>
      <c r="T392" s="154" t="s">
        <v>1470</v>
      </c>
      <c r="U392" s="154">
        <v>15</v>
      </c>
      <c r="V392" s="155">
        <v>2522510</v>
      </c>
      <c r="W392" s="155">
        <v>0</v>
      </c>
      <c r="X392" s="155" t="s">
        <v>1406</v>
      </c>
      <c r="Y392" s="154"/>
      <c r="Z392" s="154" t="s">
        <v>32</v>
      </c>
      <c r="AA392" s="156">
        <v>45568</v>
      </c>
      <c r="AB392" s="154">
        <v>25</v>
      </c>
      <c r="AC392" s="154">
        <v>22510</v>
      </c>
      <c r="AD392" s="154">
        <v>131</v>
      </c>
      <c r="AE392" s="154" t="s">
        <v>1462</v>
      </c>
      <c r="AF392" s="154">
        <v>130</v>
      </c>
      <c r="AG392" s="154" t="s">
        <v>1402</v>
      </c>
      <c r="AH392" s="154" t="s">
        <v>36</v>
      </c>
      <c r="AI392" s="154" t="s">
        <v>698</v>
      </c>
      <c r="AJ392" s="154">
        <v>61</v>
      </c>
      <c r="AK392" s="154" t="s">
        <v>1407</v>
      </c>
      <c r="AL392" s="154">
        <v>28140</v>
      </c>
      <c r="AM392" s="154" t="s">
        <v>1418</v>
      </c>
      <c r="AN392" s="154" t="s">
        <v>1480</v>
      </c>
      <c r="AO392" s="154">
        <v>28</v>
      </c>
      <c r="AP392" s="154" t="s">
        <v>1416</v>
      </c>
      <c r="AQ392" s="154">
        <v>0</v>
      </c>
      <c r="AR392" s="154" t="s">
        <v>1410</v>
      </c>
      <c r="AS392" s="154"/>
      <c r="AT392" s="154" t="s">
        <v>1417</v>
      </c>
      <c r="AU392" s="154" t="s">
        <v>1412</v>
      </c>
    </row>
    <row r="393" spans="1:47" x14ac:dyDescent="0.45">
      <c r="A393" s="154">
        <v>2513150028</v>
      </c>
      <c r="B393" s="154">
        <v>131</v>
      </c>
      <c r="C393" s="154" t="s">
        <v>1462</v>
      </c>
      <c r="D393" s="154">
        <v>130</v>
      </c>
      <c r="E393" s="154" t="s">
        <v>1402</v>
      </c>
      <c r="F393" s="154" t="s">
        <v>2351</v>
      </c>
      <c r="G393" s="154" t="s">
        <v>2352</v>
      </c>
      <c r="H393" s="154">
        <v>1</v>
      </c>
      <c r="I393" s="154" t="s">
        <v>2353</v>
      </c>
      <c r="J393" s="154" t="s">
        <v>1403</v>
      </c>
      <c r="K393" s="154">
        <v>2025</v>
      </c>
      <c r="L393" s="155">
        <v>2025</v>
      </c>
      <c r="M393" s="156">
        <v>45582</v>
      </c>
      <c r="N393" s="154" t="s">
        <v>36</v>
      </c>
      <c r="O393" s="154" t="s">
        <v>704</v>
      </c>
      <c r="P393" s="154">
        <v>428</v>
      </c>
      <c r="Q393" s="154" t="s">
        <v>1463</v>
      </c>
      <c r="R393" s="154">
        <v>2</v>
      </c>
      <c r="S393" s="154">
        <v>2</v>
      </c>
      <c r="T393" s="154" t="s">
        <v>1464</v>
      </c>
      <c r="U393" s="154">
        <v>1</v>
      </c>
      <c r="V393" s="155">
        <v>2522544</v>
      </c>
      <c r="W393" s="155">
        <v>0</v>
      </c>
      <c r="X393" s="155" t="s">
        <v>1406</v>
      </c>
      <c r="Y393" s="154"/>
      <c r="Z393" s="154" t="s">
        <v>32</v>
      </c>
      <c r="AA393" s="156">
        <v>45595</v>
      </c>
      <c r="AB393" s="154">
        <v>25</v>
      </c>
      <c r="AC393" s="154">
        <v>22544</v>
      </c>
      <c r="AD393" s="154">
        <v>131</v>
      </c>
      <c r="AE393" s="154" t="s">
        <v>1462</v>
      </c>
      <c r="AF393" s="154">
        <v>130</v>
      </c>
      <c r="AG393" s="154" t="s">
        <v>1402</v>
      </c>
      <c r="AH393" s="154" t="s">
        <v>36</v>
      </c>
      <c r="AI393" s="154" t="s">
        <v>704</v>
      </c>
      <c r="AJ393" s="154">
        <v>428</v>
      </c>
      <c r="AK393" s="154" t="s">
        <v>1407</v>
      </c>
      <c r="AL393" s="154">
        <v>28158</v>
      </c>
      <c r="AM393" s="154" t="s">
        <v>1418</v>
      </c>
      <c r="AN393" s="154" t="s">
        <v>2840</v>
      </c>
      <c r="AO393" s="154">
        <v>28</v>
      </c>
      <c r="AP393" s="154" t="s">
        <v>1416</v>
      </c>
      <c r="AQ393" s="154">
        <v>0</v>
      </c>
      <c r="AR393" s="154" t="s">
        <v>1410</v>
      </c>
      <c r="AS393" s="154"/>
      <c r="AT393" s="154" t="s">
        <v>1417</v>
      </c>
      <c r="AU393" s="154" t="s">
        <v>1412</v>
      </c>
    </row>
    <row r="394" spans="1:47" x14ac:dyDescent="0.45">
      <c r="A394" s="154">
        <v>2513150029</v>
      </c>
      <c r="B394" s="154">
        <v>131</v>
      </c>
      <c r="C394" s="154" t="s">
        <v>1462</v>
      </c>
      <c r="D394" s="154">
        <v>130</v>
      </c>
      <c r="E394" s="154" t="s">
        <v>1402</v>
      </c>
      <c r="F394" s="154" t="s">
        <v>2354</v>
      </c>
      <c r="G394" s="154" t="s">
        <v>2355</v>
      </c>
      <c r="H394" s="154">
        <v>2</v>
      </c>
      <c r="I394" s="154" t="s">
        <v>2356</v>
      </c>
      <c r="J394" s="154" t="s">
        <v>1403</v>
      </c>
      <c r="K394" s="154">
        <v>2025</v>
      </c>
      <c r="L394" s="155">
        <v>2025</v>
      </c>
      <c r="M394" s="156">
        <v>45568</v>
      </c>
      <c r="N394" s="154" t="s">
        <v>36</v>
      </c>
      <c r="O394" s="154" t="s">
        <v>704</v>
      </c>
      <c r="P394" s="154">
        <v>290</v>
      </c>
      <c r="Q394" s="154" t="s">
        <v>1496</v>
      </c>
      <c r="R394" s="154">
        <v>2</v>
      </c>
      <c r="S394" s="154">
        <v>2</v>
      </c>
      <c r="T394" s="154" t="s">
        <v>1464</v>
      </c>
      <c r="U394" s="154">
        <v>1</v>
      </c>
      <c r="V394" s="155">
        <v>0</v>
      </c>
      <c r="W394" s="155">
        <v>0</v>
      </c>
      <c r="X394" s="155" t="s">
        <v>1406</v>
      </c>
      <c r="Y394" s="156">
        <v>45741</v>
      </c>
      <c r="Z394" s="154" t="s">
        <v>32</v>
      </c>
      <c r="AA394" s="154"/>
      <c r="AB394" s="154">
        <v>0</v>
      </c>
      <c r="AC394" s="154">
        <v>0</v>
      </c>
      <c r="AD394" s="154">
        <v>0</v>
      </c>
      <c r="AE394" s="154" t="s">
        <v>1446</v>
      </c>
      <c r="AF394" s="154"/>
      <c r="AG394" s="154" t="s">
        <v>1446</v>
      </c>
      <c r="AH394" s="154"/>
      <c r="AI394" s="154"/>
      <c r="AJ394" s="154">
        <v>0</v>
      </c>
      <c r="AK394" s="154" t="s">
        <v>1407</v>
      </c>
      <c r="AL394" s="154">
        <v>28239</v>
      </c>
      <c r="AM394" s="154" t="s">
        <v>1418</v>
      </c>
      <c r="AN394" s="154" t="s">
        <v>1454</v>
      </c>
      <c r="AO394" s="154">
        <v>28</v>
      </c>
      <c r="AP394" s="154" t="s">
        <v>1416</v>
      </c>
      <c r="AQ394" s="154">
        <v>0</v>
      </c>
      <c r="AR394" s="154" t="s">
        <v>1410</v>
      </c>
      <c r="AS394" s="154"/>
      <c r="AT394" s="154" t="s">
        <v>1417</v>
      </c>
      <c r="AU394" s="154" t="s">
        <v>1412</v>
      </c>
    </row>
    <row r="395" spans="1:47" x14ac:dyDescent="0.45">
      <c r="A395" s="154">
        <v>2513150031</v>
      </c>
      <c r="B395" s="154">
        <v>131</v>
      </c>
      <c r="C395" s="154" t="s">
        <v>1462</v>
      </c>
      <c r="D395" s="154">
        <v>130</v>
      </c>
      <c r="E395" s="154" t="s">
        <v>1402</v>
      </c>
      <c r="F395" s="154" t="s">
        <v>2360</v>
      </c>
      <c r="G395" s="154" t="s">
        <v>2361</v>
      </c>
      <c r="H395" s="154">
        <v>1</v>
      </c>
      <c r="I395" s="154" t="s">
        <v>2362</v>
      </c>
      <c r="J395" s="154" t="s">
        <v>1403</v>
      </c>
      <c r="K395" s="154">
        <v>2025</v>
      </c>
      <c r="L395" s="155">
        <v>2025</v>
      </c>
      <c r="M395" s="156">
        <v>45553</v>
      </c>
      <c r="N395" s="154" t="s">
        <v>36</v>
      </c>
      <c r="O395" s="154" t="s">
        <v>793</v>
      </c>
      <c r="P395" s="154">
        <v>428</v>
      </c>
      <c r="Q395" s="154" t="s">
        <v>1463</v>
      </c>
      <c r="R395" s="154">
        <v>1</v>
      </c>
      <c r="S395" s="154">
        <v>2</v>
      </c>
      <c r="T395" s="154" t="s">
        <v>1464</v>
      </c>
      <c r="U395" s="154">
        <v>1</v>
      </c>
      <c r="V395" s="155">
        <v>2522585</v>
      </c>
      <c r="W395" s="155">
        <v>0</v>
      </c>
      <c r="X395" s="155" t="s">
        <v>1406</v>
      </c>
      <c r="Y395" s="154"/>
      <c r="Z395" s="154" t="s">
        <v>32</v>
      </c>
      <c r="AA395" s="156">
        <v>45667</v>
      </c>
      <c r="AB395" s="154">
        <v>25</v>
      </c>
      <c r="AC395" s="154">
        <v>22585</v>
      </c>
      <c r="AD395" s="154">
        <v>131</v>
      </c>
      <c r="AE395" s="154" t="s">
        <v>1462</v>
      </c>
      <c r="AF395" s="154">
        <v>130</v>
      </c>
      <c r="AG395" s="154" t="s">
        <v>1402</v>
      </c>
      <c r="AH395" s="154" t="s">
        <v>36</v>
      </c>
      <c r="AI395" s="154" t="s">
        <v>793</v>
      </c>
      <c r="AJ395" s="154">
        <v>428</v>
      </c>
      <c r="AK395" s="154" t="s">
        <v>1473</v>
      </c>
      <c r="AL395" s="154">
        <v>28169</v>
      </c>
      <c r="AM395" s="154" t="s">
        <v>1418</v>
      </c>
      <c r="AN395" s="154" t="s">
        <v>1547</v>
      </c>
      <c r="AO395" s="154">
        <v>28</v>
      </c>
      <c r="AP395" s="154" t="s">
        <v>1416</v>
      </c>
      <c r="AQ395" s="154">
        <v>0</v>
      </c>
      <c r="AR395" s="154" t="s">
        <v>1410</v>
      </c>
      <c r="AS395" s="154"/>
      <c r="AT395" s="154" t="s">
        <v>1417</v>
      </c>
      <c r="AU395" s="154" t="s">
        <v>1412</v>
      </c>
    </row>
    <row r="396" spans="1:47" x14ac:dyDescent="0.45">
      <c r="A396" s="154">
        <v>2513150032</v>
      </c>
      <c r="B396" s="154">
        <v>131</v>
      </c>
      <c r="C396" s="154" t="s">
        <v>1462</v>
      </c>
      <c r="D396" s="154">
        <v>130</v>
      </c>
      <c r="E396" s="154" t="s">
        <v>1402</v>
      </c>
      <c r="F396" s="154" t="s">
        <v>2363</v>
      </c>
      <c r="G396" s="154" t="s">
        <v>2364</v>
      </c>
      <c r="H396" s="154">
        <v>1</v>
      </c>
      <c r="I396" s="154" t="s">
        <v>531</v>
      </c>
      <c r="J396" s="154" t="s">
        <v>1403</v>
      </c>
      <c r="K396" s="154">
        <v>2025</v>
      </c>
      <c r="L396" s="155">
        <v>2025</v>
      </c>
      <c r="M396" s="156">
        <v>45589</v>
      </c>
      <c r="N396" s="154" t="s">
        <v>36</v>
      </c>
      <c r="O396" s="154" t="s">
        <v>704</v>
      </c>
      <c r="P396" s="154">
        <v>968</v>
      </c>
      <c r="Q396" s="154" t="s">
        <v>1474</v>
      </c>
      <c r="R396" s="154">
        <v>2</v>
      </c>
      <c r="S396" s="154">
        <v>2</v>
      </c>
      <c r="T396" s="154" t="s">
        <v>1464</v>
      </c>
      <c r="U396" s="154">
        <v>1</v>
      </c>
      <c r="V396" s="155">
        <v>0</v>
      </c>
      <c r="W396" s="155">
        <v>0</v>
      </c>
      <c r="X396" s="155" t="s">
        <v>1406</v>
      </c>
      <c r="Y396" s="156">
        <v>45730</v>
      </c>
      <c r="Z396" s="154" t="s">
        <v>32</v>
      </c>
      <c r="AA396" s="154"/>
      <c r="AB396" s="154">
        <v>0</v>
      </c>
      <c r="AC396" s="154">
        <v>0</v>
      </c>
      <c r="AD396" s="154">
        <v>0</v>
      </c>
      <c r="AE396" s="154" t="s">
        <v>1446</v>
      </c>
      <c r="AF396" s="154"/>
      <c r="AG396" s="154" t="s">
        <v>1446</v>
      </c>
      <c r="AH396" s="154"/>
      <c r="AI396" s="154"/>
      <c r="AJ396" s="154">
        <v>0</v>
      </c>
      <c r="AK396" s="154" t="s">
        <v>1410</v>
      </c>
      <c r="AL396" s="154">
        <v>28178</v>
      </c>
      <c r="AM396" s="154" t="s">
        <v>1418</v>
      </c>
      <c r="AN396" s="154" t="s">
        <v>1507</v>
      </c>
      <c r="AO396" s="154">
        <v>28</v>
      </c>
      <c r="AP396" s="154" t="s">
        <v>1416</v>
      </c>
      <c r="AQ396" s="154">
        <v>0</v>
      </c>
      <c r="AR396" s="154" t="s">
        <v>1410</v>
      </c>
      <c r="AS396" s="154"/>
      <c r="AT396" s="154" t="s">
        <v>1417</v>
      </c>
      <c r="AU396" s="154" t="s">
        <v>1412</v>
      </c>
    </row>
    <row r="397" spans="1:47" x14ac:dyDescent="0.45">
      <c r="A397" s="154">
        <v>2513150033</v>
      </c>
      <c r="B397" s="154">
        <v>131</v>
      </c>
      <c r="C397" s="154" t="s">
        <v>1462</v>
      </c>
      <c r="D397" s="154">
        <v>130</v>
      </c>
      <c r="E397" s="154" t="s">
        <v>1402</v>
      </c>
      <c r="F397" s="154" t="s">
        <v>2365</v>
      </c>
      <c r="G397" s="154" t="s">
        <v>2366</v>
      </c>
      <c r="H397" s="154">
        <v>2</v>
      </c>
      <c r="I397" s="154" t="s">
        <v>589</v>
      </c>
      <c r="J397" s="154" t="s">
        <v>1403</v>
      </c>
      <c r="K397" s="154">
        <v>2025</v>
      </c>
      <c r="L397" s="155">
        <v>2025</v>
      </c>
      <c r="M397" s="156">
        <v>45587</v>
      </c>
      <c r="N397" s="154" t="s">
        <v>36</v>
      </c>
      <c r="O397" s="154" t="s">
        <v>704</v>
      </c>
      <c r="P397" s="154">
        <v>859</v>
      </c>
      <c r="Q397" s="154" t="s">
        <v>1494</v>
      </c>
      <c r="R397" s="154">
        <v>2</v>
      </c>
      <c r="S397" s="154">
        <v>2</v>
      </c>
      <c r="T397" s="154" t="s">
        <v>1464</v>
      </c>
      <c r="U397" s="154">
        <v>1</v>
      </c>
      <c r="V397" s="155">
        <v>0</v>
      </c>
      <c r="W397" s="155">
        <v>0</v>
      </c>
      <c r="X397" s="155" t="s">
        <v>1406</v>
      </c>
      <c r="Y397" s="156">
        <v>45614</v>
      </c>
      <c r="Z397" s="154" t="s">
        <v>32</v>
      </c>
      <c r="AA397" s="154"/>
      <c r="AB397" s="154">
        <v>0</v>
      </c>
      <c r="AC397" s="154">
        <v>0</v>
      </c>
      <c r="AD397" s="154">
        <v>0</v>
      </c>
      <c r="AE397" s="154" t="s">
        <v>1446</v>
      </c>
      <c r="AF397" s="154"/>
      <c r="AG397" s="154" t="s">
        <v>1446</v>
      </c>
      <c r="AH397" s="154"/>
      <c r="AI397" s="154"/>
      <c r="AJ397" s="154">
        <v>0</v>
      </c>
      <c r="AK397" s="154" t="s">
        <v>1473</v>
      </c>
      <c r="AL397" s="154">
        <v>28098</v>
      </c>
      <c r="AM397" s="154" t="s">
        <v>1418</v>
      </c>
      <c r="AN397" s="154" t="s">
        <v>1448</v>
      </c>
      <c r="AO397" s="154">
        <v>28</v>
      </c>
      <c r="AP397" s="154" t="s">
        <v>1416</v>
      </c>
      <c r="AQ397" s="154">
        <v>0</v>
      </c>
      <c r="AR397" s="154" t="s">
        <v>1410</v>
      </c>
      <c r="AS397" s="154"/>
      <c r="AT397" s="154" t="s">
        <v>1417</v>
      </c>
      <c r="AU397" s="154" t="s">
        <v>1412</v>
      </c>
    </row>
    <row r="398" spans="1:47" x14ac:dyDescent="0.45">
      <c r="A398" s="154">
        <v>2513150034</v>
      </c>
      <c r="B398" s="154">
        <v>131</v>
      </c>
      <c r="C398" s="154" t="s">
        <v>1462</v>
      </c>
      <c r="D398" s="154">
        <v>130</v>
      </c>
      <c r="E398" s="154" t="s">
        <v>1402</v>
      </c>
      <c r="F398" s="154" t="s">
        <v>2367</v>
      </c>
      <c r="G398" s="154" t="s">
        <v>2368</v>
      </c>
      <c r="H398" s="154">
        <v>2</v>
      </c>
      <c r="I398" s="154" t="s">
        <v>2172</v>
      </c>
      <c r="J398" s="154" t="s">
        <v>1403</v>
      </c>
      <c r="K398" s="154">
        <v>2025</v>
      </c>
      <c r="L398" s="155">
        <v>2025</v>
      </c>
      <c r="M398" s="156">
        <v>45554</v>
      </c>
      <c r="N398" s="154" t="s">
        <v>36</v>
      </c>
      <c r="O398" s="154" t="s">
        <v>708</v>
      </c>
      <c r="P398" s="154">
        <v>202</v>
      </c>
      <c r="Q398" s="154" t="s">
        <v>1504</v>
      </c>
      <c r="R398" s="154">
        <v>2</v>
      </c>
      <c r="S398" s="154">
        <v>8</v>
      </c>
      <c r="T398" s="154" t="s">
        <v>1503</v>
      </c>
      <c r="U398" s="154">
        <v>6</v>
      </c>
      <c r="V398" s="155">
        <v>2522515</v>
      </c>
      <c r="W398" s="155">
        <v>0</v>
      </c>
      <c r="X398" s="155" t="s">
        <v>1406</v>
      </c>
      <c r="Y398" s="154"/>
      <c r="Z398" s="154" t="s">
        <v>32</v>
      </c>
      <c r="AA398" s="156">
        <v>45574</v>
      </c>
      <c r="AB398" s="154">
        <v>25</v>
      </c>
      <c r="AC398" s="154">
        <v>22515</v>
      </c>
      <c r="AD398" s="154">
        <v>131</v>
      </c>
      <c r="AE398" s="154" t="s">
        <v>1462</v>
      </c>
      <c r="AF398" s="154">
        <v>130</v>
      </c>
      <c r="AG398" s="154" t="s">
        <v>1402</v>
      </c>
      <c r="AH398" s="154" t="s">
        <v>36</v>
      </c>
      <c r="AI398" s="154" t="s">
        <v>708</v>
      </c>
      <c r="AJ398" s="154">
        <v>202</v>
      </c>
      <c r="AK398" s="154" t="s">
        <v>1407</v>
      </c>
      <c r="AL398" s="154">
        <v>28175</v>
      </c>
      <c r="AM398" s="154" t="s">
        <v>1418</v>
      </c>
      <c r="AN398" s="154" t="s">
        <v>1459</v>
      </c>
      <c r="AO398" s="154">
        <v>28</v>
      </c>
      <c r="AP398" s="154" t="s">
        <v>1416</v>
      </c>
      <c r="AQ398" s="154">
        <v>0</v>
      </c>
      <c r="AR398" s="154" t="s">
        <v>1410</v>
      </c>
      <c r="AS398" s="154"/>
      <c r="AT398" s="154" t="s">
        <v>1417</v>
      </c>
      <c r="AU398" s="154" t="s">
        <v>1412</v>
      </c>
    </row>
    <row r="399" spans="1:47" x14ac:dyDescent="0.45">
      <c r="A399" s="154">
        <v>2513150037</v>
      </c>
      <c r="B399" s="154">
        <v>131</v>
      </c>
      <c r="C399" s="154" t="s">
        <v>1462</v>
      </c>
      <c r="D399" s="154">
        <v>130</v>
      </c>
      <c r="E399" s="154" t="s">
        <v>1402</v>
      </c>
      <c r="F399" s="154" t="s">
        <v>2376</v>
      </c>
      <c r="G399" s="154" t="s">
        <v>2377</v>
      </c>
      <c r="H399" s="154">
        <v>1</v>
      </c>
      <c r="I399" s="154" t="s">
        <v>2378</v>
      </c>
      <c r="J399" s="154" t="s">
        <v>1560</v>
      </c>
      <c r="K399" s="154">
        <v>2025</v>
      </c>
      <c r="L399" s="155">
        <v>2025</v>
      </c>
      <c r="M399" s="156">
        <v>45593</v>
      </c>
      <c r="N399" s="154" t="s">
        <v>36</v>
      </c>
      <c r="O399" s="154" t="s">
        <v>698</v>
      </c>
      <c r="P399" s="154">
        <v>502</v>
      </c>
      <c r="Q399" s="154" t="s">
        <v>1500</v>
      </c>
      <c r="R399" s="154">
        <v>2</v>
      </c>
      <c r="S399" s="154">
        <v>5</v>
      </c>
      <c r="T399" s="154" t="s">
        <v>1470</v>
      </c>
      <c r="U399" s="154">
        <v>15</v>
      </c>
      <c r="V399" s="155">
        <v>2522578</v>
      </c>
      <c r="W399" s="155">
        <v>0</v>
      </c>
      <c r="X399" s="155" t="s">
        <v>1406</v>
      </c>
      <c r="Y399" s="154"/>
      <c r="Z399" s="154" t="s">
        <v>32</v>
      </c>
      <c r="AA399" s="156">
        <v>45646</v>
      </c>
      <c r="AB399" s="154">
        <v>25</v>
      </c>
      <c r="AC399" s="154">
        <v>22578</v>
      </c>
      <c r="AD399" s="154">
        <v>131</v>
      </c>
      <c r="AE399" s="154" t="s">
        <v>1462</v>
      </c>
      <c r="AF399" s="154">
        <v>130</v>
      </c>
      <c r="AG399" s="154" t="s">
        <v>1402</v>
      </c>
      <c r="AH399" s="154" t="s">
        <v>36</v>
      </c>
      <c r="AI399" s="154" t="s">
        <v>698</v>
      </c>
      <c r="AJ399" s="154">
        <v>502</v>
      </c>
      <c r="AK399" s="154" t="s">
        <v>1407</v>
      </c>
      <c r="AL399" s="154">
        <v>38059</v>
      </c>
      <c r="AM399" s="154" t="s">
        <v>1418</v>
      </c>
      <c r="AN399" s="154" t="s">
        <v>2841</v>
      </c>
      <c r="AO399" s="154">
        <v>38</v>
      </c>
      <c r="AP399" s="154" t="s">
        <v>1596</v>
      </c>
      <c r="AQ399" s="154">
        <v>0</v>
      </c>
      <c r="AR399" s="154" t="s">
        <v>1410</v>
      </c>
      <c r="AS399" s="154"/>
      <c r="AT399" s="154" t="s">
        <v>1417</v>
      </c>
      <c r="AU399" s="154" t="s">
        <v>1412</v>
      </c>
    </row>
    <row r="400" spans="1:47" x14ac:dyDescent="0.45">
      <c r="A400" s="154">
        <v>2513150039</v>
      </c>
      <c r="B400" s="154">
        <v>131</v>
      </c>
      <c r="C400" s="154" t="s">
        <v>1462</v>
      </c>
      <c r="D400" s="154">
        <v>130</v>
      </c>
      <c r="E400" s="154" t="s">
        <v>1402</v>
      </c>
      <c r="F400" s="154" t="s">
        <v>2384</v>
      </c>
      <c r="G400" s="154" t="s">
        <v>2385</v>
      </c>
      <c r="H400" s="154">
        <v>1</v>
      </c>
      <c r="I400" s="154" t="s">
        <v>2386</v>
      </c>
      <c r="J400" s="154" t="s">
        <v>1403</v>
      </c>
      <c r="K400" s="154">
        <v>2025</v>
      </c>
      <c r="L400" s="155">
        <v>2025</v>
      </c>
      <c r="M400" s="156">
        <v>45541</v>
      </c>
      <c r="N400" s="154" t="s">
        <v>36</v>
      </c>
      <c r="O400" s="154" t="s">
        <v>708</v>
      </c>
      <c r="P400" s="154">
        <v>1756</v>
      </c>
      <c r="Q400" s="154" t="s">
        <v>2784</v>
      </c>
      <c r="R400" s="154">
        <v>2</v>
      </c>
      <c r="S400" s="154">
        <v>3</v>
      </c>
      <c r="T400" s="154" t="s">
        <v>1477</v>
      </c>
      <c r="U400" s="154">
        <v>4</v>
      </c>
      <c r="V400" s="155">
        <v>2522541</v>
      </c>
      <c r="W400" s="155">
        <v>0</v>
      </c>
      <c r="X400" s="155" t="s">
        <v>1406</v>
      </c>
      <c r="Y400" s="154"/>
      <c r="Z400" s="154" t="s">
        <v>32</v>
      </c>
      <c r="AA400" s="156">
        <v>45594</v>
      </c>
      <c r="AB400" s="154">
        <v>25</v>
      </c>
      <c r="AC400" s="154">
        <v>22541</v>
      </c>
      <c r="AD400" s="154">
        <v>131</v>
      </c>
      <c r="AE400" s="154" t="s">
        <v>1462</v>
      </c>
      <c r="AF400" s="154">
        <v>130</v>
      </c>
      <c r="AG400" s="154" t="s">
        <v>1402</v>
      </c>
      <c r="AH400" s="154" t="s">
        <v>36</v>
      </c>
      <c r="AI400" s="154" t="s">
        <v>708</v>
      </c>
      <c r="AJ400" s="154">
        <v>1756</v>
      </c>
      <c r="AK400" s="154" t="s">
        <v>1407</v>
      </c>
      <c r="AL400" s="154">
        <v>28094</v>
      </c>
      <c r="AM400" s="154" t="s">
        <v>1421</v>
      </c>
      <c r="AN400" s="154" t="s">
        <v>1437</v>
      </c>
      <c r="AO400" s="154">
        <v>28</v>
      </c>
      <c r="AP400" s="154" t="s">
        <v>1416</v>
      </c>
      <c r="AQ400" s="154">
        <v>0</v>
      </c>
      <c r="AR400" s="154" t="s">
        <v>1410</v>
      </c>
      <c r="AS400" s="154"/>
      <c r="AT400" s="154" t="s">
        <v>1417</v>
      </c>
      <c r="AU400" s="154" t="s">
        <v>1412</v>
      </c>
    </row>
    <row r="401" spans="1:47" x14ac:dyDescent="0.45">
      <c r="A401" s="154">
        <v>2513150040</v>
      </c>
      <c r="B401" s="154">
        <v>131</v>
      </c>
      <c r="C401" s="154" t="s">
        <v>1462</v>
      </c>
      <c r="D401" s="154">
        <v>130</v>
      </c>
      <c r="E401" s="154" t="s">
        <v>1402</v>
      </c>
      <c r="F401" s="154" t="s">
        <v>2387</v>
      </c>
      <c r="G401" s="154" t="s">
        <v>2388</v>
      </c>
      <c r="H401" s="154">
        <v>1</v>
      </c>
      <c r="I401" s="154" t="s">
        <v>2389</v>
      </c>
      <c r="J401" s="154" t="s">
        <v>1403</v>
      </c>
      <c r="K401" s="154">
        <v>2025</v>
      </c>
      <c r="L401" s="155">
        <v>2025</v>
      </c>
      <c r="M401" s="156">
        <v>45593</v>
      </c>
      <c r="N401" s="154" t="s">
        <v>36</v>
      </c>
      <c r="O401" s="154" t="s">
        <v>698</v>
      </c>
      <c r="P401" s="154">
        <v>1046</v>
      </c>
      <c r="Q401" s="154" t="s">
        <v>2790</v>
      </c>
      <c r="R401" s="154">
        <v>2</v>
      </c>
      <c r="S401" s="154">
        <v>5</v>
      </c>
      <c r="T401" s="154" t="s">
        <v>1470</v>
      </c>
      <c r="U401" s="154">
        <v>15</v>
      </c>
      <c r="V401" s="155">
        <v>2522565</v>
      </c>
      <c r="W401" s="155">
        <v>0</v>
      </c>
      <c r="X401" s="155" t="s">
        <v>1406</v>
      </c>
      <c r="Y401" s="154"/>
      <c r="Z401" s="154" t="s">
        <v>32</v>
      </c>
      <c r="AA401" s="156">
        <v>45614</v>
      </c>
      <c r="AB401" s="154">
        <v>25</v>
      </c>
      <c r="AC401" s="154">
        <v>22565</v>
      </c>
      <c r="AD401" s="154">
        <v>131</v>
      </c>
      <c r="AE401" s="154" t="s">
        <v>1462</v>
      </c>
      <c r="AF401" s="154">
        <v>130</v>
      </c>
      <c r="AG401" s="154" t="s">
        <v>1402</v>
      </c>
      <c r="AH401" s="154" t="s">
        <v>36</v>
      </c>
      <c r="AI401" s="154" t="s">
        <v>698</v>
      </c>
      <c r="AJ401" s="154">
        <v>1046</v>
      </c>
      <c r="AK401" s="154" t="s">
        <v>1407</v>
      </c>
      <c r="AL401" s="154">
        <v>28108</v>
      </c>
      <c r="AM401" s="154" t="s">
        <v>1418</v>
      </c>
      <c r="AN401" s="154" t="s">
        <v>1534</v>
      </c>
      <c r="AO401" s="154">
        <v>28</v>
      </c>
      <c r="AP401" s="154" t="s">
        <v>1416</v>
      </c>
      <c r="AQ401" s="154">
        <v>0</v>
      </c>
      <c r="AR401" s="154" t="s">
        <v>1410</v>
      </c>
      <c r="AS401" s="154"/>
      <c r="AT401" s="154" t="s">
        <v>1417</v>
      </c>
      <c r="AU401" s="154" t="s">
        <v>1412</v>
      </c>
    </row>
    <row r="402" spans="1:47" x14ac:dyDescent="0.45">
      <c r="A402" s="154">
        <v>2513150041</v>
      </c>
      <c r="B402" s="154">
        <v>131</v>
      </c>
      <c r="C402" s="154" t="s">
        <v>1462</v>
      </c>
      <c r="D402" s="154">
        <v>130</v>
      </c>
      <c r="E402" s="154" t="s">
        <v>1402</v>
      </c>
      <c r="F402" s="154" t="s">
        <v>2391</v>
      </c>
      <c r="G402" s="154" t="s">
        <v>2392</v>
      </c>
      <c r="H402" s="154">
        <v>1</v>
      </c>
      <c r="I402" s="154" t="s">
        <v>2393</v>
      </c>
      <c r="J402" s="154" t="s">
        <v>1468</v>
      </c>
      <c r="K402" s="154">
        <v>2025</v>
      </c>
      <c r="L402" s="155">
        <v>2025</v>
      </c>
      <c r="M402" s="156">
        <v>45539</v>
      </c>
      <c r="N402" s="154" t="s">
        <v>36</v>
      </c>
      <c r="O402" s="154" t="s">
        <v>704</v>
      </c>
      <c r="P402" s="154">
        <v>968</v>
      </c>
      <c r="Q402" s="154" t="s">
        <v>1474</v>
      </c>
      <c r="R402" s="154">
        <v>2</v>
      </c>
      <c r="S402" s="154">
        <v>2</v>
      </c>
      <c r="T402" s="154" t="s">
        <v>1464</v>
      </c>
      <c r="U402" s="154">
        <v>1</v>
      </c>
      <c r="V402" s="155">
        <v>2522501</v>
      </c>
      <c r="W402" s="155">
        <v>0</v>
      </c>
      <c r="X402" s="155" t="s">
        <v>1406</v>
      </c>
      <c r="Y402" s="154"/>
      <c r="Z402" s="154" t="s">
        <v>32</v>
      </c>
      <c r="AA402" s="156">
        <v>45565</v>
      </c>
      <c r="AB402" s="154">
        <v>25</v>
      </c>
      <c r="AC402" s="154">
        <v>22501</v>
      </c>
      <c r="AD402" s="154">
        <v>131</v>
      </c>
      <c r="AE402" s="154" t="s">
        <v>1462</v>
      </c>
      <c r="AF402" s="154">
        <v>130</v>
      </c>
      <c r="AG402" s="154" t="s">
        <v>1402</v>
      </c>
      <c r="AH402" s="154" t="s">
        <v>36</v>
      </c>
      <c r="AI402" s="154" t="s">
        <v>704</v>
      </c>
      <c r="AJ402" s="154">
        <v>968</v>
      </c>
      <c r="AK402" s="154" t="s">
        <v>1407</v>
      </c>
      <c r="AL402" s="154">
        <v>33048</v>
      </c>
      <c r="AM402" s="154" t="s">
        <v>1421</v>
      </c>
      <c r="AN402" s="154" t="s">
        <v>2842</v>
      </c>
      <c r="AO402" s="154">
        <v>33</v>
      </c>
      <c r="AP402" s="154" t="s">
        <v>1427</v>
      </c>
      <c r="AQ402" s="154">
        <v>0</v>
      </c>
      <c r="AR402" s="154" t="s">
        <v>1410</v>
      </c>
      <c r="AS402" s="154"/>
      <c r="AT402" s="154" t="s">
        <v>1417</v>
      </c>
      <c r="AU402" s="154" t="s">
        <v>1412</v>
      </c>
    </row>
    <row r="403" spans="1:47" x14ac:dyDescent="0.45">
      <c r="A403" s="154">
        <v>2513150042</v>
      </c>
      <c r="B403" s="154">
        <v>131</v>
      </c>
      <c r="C403" s="154" t="s">
        <v>1462</v>
      </c>
      <c r="D403" s="154">
        <v>130</v>
      </c>
      <c r="E403" s="154" t="s">
        <v>1402</v>
      </c>
      <c r="F403" s="154" t="s">
        <v>2394</v>
      </c>
      <c r="G403" s="154" t="s">
        <v>2395</v>
      </c>
      <c r="H403" s="154">
        <v>1</v>
      </c>
      <c r="I403" s="154" t="s">
        <v>2396</v>
      </c>
      <c r="J403" s="154" t="s">
        <v>1403</v>
      </c>
      <c r="K403" s="154">
        <v>2025</v>
      </c>
      <c r="L403" s="155">
        <v>2025</v>
      </c>
      <c r="M403" s="156">
        <v>45580</v>
      </c>
      <c r="N403" s="154" t="s">
        <v>36</v>
      </c>
      <c r="O403" s="154" t="s">
        <v>704</v>
      </c>
      <c r="P403" s="154">
        <v>428</v>
      </c>
      <c r="Q403" s="154" t="s">
        <v>1463</v>
      </c>
      <c r="R403" s="154">
        <v>2</v>
      </c>
      <c r="S403" s="154">
        <v>2</v>
      </c>
      <c r="T403" s="154" t="s">
        <v>1464</v>
      </c>
      <c r="U403" s="154">
        <v>1</v>
      </c>
      <c r="V403" s="155">
        <v>0</v>
      </c>
      <c r="W403" s="155">
        <v>0</v>
      </c>
      <c r="X403" s="155" t="s">
        <v>1406</v>
      </c>
      <c r="Y403" s="156">
        <v>45595</v>
      </c>
      <c r="Z403" s="154" t="s">
        <v>32</v>
      </c>
      <c r="AA403" s="154"/>
      <c r="AB403" s="154">
        <v>0</v>
      </c>
      <c r="AC403" s="154">
        <v>0</v>
      </c>
      <c r="AD403" s="154">
        <v>0</v>
      </c>
      <c r="AE403" s="154" t="s">
        <v>1446</v>
      </c>
      <c r="AF403" s="154"/>
      <c r="AG403" s="154" t="s">
        <v>1446</v>
      </c>
      <c r="AH403" s="154"/>
      <c r="AI403" s="154"/>
      <c r="AJ403" s="154">
        <v>0</v>
      </c>
      <c r="AK403" s="154" t="s">
        <v>1473</v>
      </c>
      <c r="AL403" s="154">
        <v>28187</v>
      </c>
      <c r="AM403" s="154" t="s">
        <v>1418</v>
      </c>
      <c r="AN403" s="154" t="s">
        <v>1425</v>
      </c>
      <c r="AO403" s="154">
        <v>28</v>
      </c>
      <c r="AP403" s="154" t="s">
        <v>1416</v>
      </c>
      <c r="AQ403" s="154">
        <v>0</v>
      </c>
      <c r="AR403" s="154" t="s">
        <v>1410</v>
      </c>
      <c r="AS403" s="154"/>
      <c r="AT403" s="154" t="s">
        <v>1417</v>
      </c>
      <c r="AU403" s="154" t="s">
        <v>1412</v>
      </c>
    </row>
    <row r="404" spans="1:47" x14ac:dyDescent="0.45">
      <c r="A404" s="154">
        <v>2513150044</v>
      </c>
      <c r="B404" s="154">
        <v>131</v>
      </c>
      <c r="C404" s="154" t="s">
        <v>1462</v>
      </c>
      <c r="D404" s="154">
        <v>130</v>
      </c>
      <c r="E404" s="154" t="s">
        <v>1402</v>
      </c>
      <c r="F404" s="154" t="s">
        <v>2399</v>
      </c>
      <c r="G404" s="154" t="s">
        <v>2400</v>
      </c>
      <c r="H404" s="154">
        <v>1</v>
      </c>
      <c r="I404" s="154" t="s">
        <v>531</v>
      </c>
      <c r="J404" s="154" t="s">
        <v>1403</v>
      </c>
      <c r="K404" s="154">
        <v>2025</v>
      </c>
      <c r="L404" s="155">
        <v>2025</v>
      </c>
      <c r="M404" s="156">
        <v>45580</v>
      </c>
      <c r="N404" s="154" t="s">
        <v>36</v>
      </c>
      <c r="O404" s="154" t="s">
        <v>704</v>
      </c>
      <c r="P404" s="154">
        <v>428</v>
      </c>
      <c r="Q404" s="154" t="s">
        <v>1463</v>
      </c>
      <c r="R404" s="154">
        <v>2</v>
      </c>
      <c r="S404" s="154">
        <v>2</v>
      </c>
      <c r="T404" s="154" t="s">
        <v>1464</v>
      </c>
      <c r="U404" s="154">
        <v>1</v>
      </c>
      <c r="V404" s="155">
        <v>2522545</v>
      </c>
      <c r="W404" s="155">
        <v>0</v>
      </c>
      <c r="X404" s="155" t="s">
        <v>1406</v>
      </c>
      <c r="Y404" s="154"/>
      <c r="Z404" s="154" t="s">
        <v>32</v>
      </c>
      <c r="AA404" s="156">
        <v>45595</v>
      </c>
      <c r="AB404" s="154">
        <v>25</v>
      </c>
      <c r="AC404" s="154">
        <v>22545</v>
      </c>
      <c r="AD404" s="154">
        <v>131</v>
      </c>
      <c r="AE404" s="154" t="s">
        <v>1462</v>
      </c>
      <c r="AF404" s="154">
        <v>130</v>
      </c>
      <c r="AG404" s="154" t="s">
        <v>1402</v>
      </c>
      <c r="AH404" s="154" t="s">
        <v>36</v>
      </c>
      <c r="AI404" s="154" t="s">
        <v>704</v>
      </c>
      <c r="AJ404" s="154">
        <v>428</v>
      </c>
      <c r="AK404" s="154" t="s">
        <v>1407</v>
      </c>
      <c r="AL404" s="154">
        <v>46118</v>
      </c>
      <c r="AM404" s="154" t="s">
        <v>1421</v>
      </c>
      <c r="AN404" s="154" t="s">
        <v>1432</v>
      </c>
      <c r="AO404" s="154">
        <v>46</v>
      </c>
      <c r="AP404" s="154" t="s">
        <v>1433</v>
      </c>
      <c r="AQ404" s="154">
        <v>0</v>
      </c>
      <c r="AR404" s="154" t="s">
        <v>1410</v>
      </c>
      <c r="AS404" s="154"/>
      <c r="AT404" s="154" t="s">
        <v>1417</v>
      </c>
      <c r="AU404" s="154" t="s">
        <v>1412</v>
      </c>
    </row>
    <row r="405" spans="1:47" x14ac:dyDescent="0.45">
      <c r="A405" s="154">
        <v>2513150045</v>
      </c>
      <c r="B405" s="154">
        <v>131</v>
      </c>
      <c r="C405" s="154" t="s">
        <v>1462</v>
      </c>
      <c r="D405" s="154">
        <v>130</v>
      </c>
      <c r="E405" s="154" t="s">
        <v>1402</v>
      </c>
      <c r="F405" s="154" t="s">
        <v>2401</v>
      </c>
      <c r="G405" s="154" t="s">
        <v>2402</v>
      </c>
      <c r="H405" s="154">
        <v>1</v>
      </c>
      <c r="I405" s="154" t="s">
        <v>2403</v>
      </c>
      <c r="J405" s="154" t="s">
        <v>1403</v>
      </c>
      <c r="K405" s="154">
        <v>2025</v>
      </c>
      <c r="L405" s="155">
        <v>2025</v>
      </c>
      <c r="M405" s="156">
        <v>45567</v>
      </c>
      <c r="N405" s="154" t="s">
        <v>36</v>
      </c>
      <c r="O405" s="154" t="s">
        <v>704</v>
      </c>
      <c r="P405" s="154">
        <v>428</v>
      </c>
      <c r="Q405" s="154" t="s">
        <v>1463</v>
      </c>
      <c r="R405" s="154">
        <v>2</v>
      </c>
      <c r="S405" s="154">
        <v>2</v>
      </c>
      <c r="T405" s="154" t="s">
        <v>1464</v>
      </c>
      <c r="U405" s="154">
        <v>1</v>
      </c>
      <c r="V405" s="155">
        <v>2522538</v>
      </c>
      <c r="W405" s="155">
        <v>0</v>
      </c>
      <c r="X405" s="155" t="s">
        <v>1406</v>
      </c>
      <c r="Y405" s="154"/>
      <c r="Z405" s="154" t="s">
        <v>32</v>
      </c>
      <c r="AA405" s="156">
        <v>45588</v>
      </c>
      <c r="AB405" s="154">
        <v>25</v>
      </c>
      <c r="AC405" s="154">
        <v>22538</v>
      </c>
      <c r="AD405" s="154">
        <v>131</v>
      </c>
      <c r="AE405" s="154" t="s">
        <v>1462</v>
      </c>
      <c r="AF405" s="154">
        <v>130</v>
      </c>
      <c r="AG405" s="154" t="s">
        <v>1402</v>
      </c>
      <c r="AH405" s="154" t="s">
        <v>36</v>
      </c>
      <c r="AI405" s="154" t="s">
        <v>704</v>
      </c>
      <c r="AJ405" s="154">
        <v>428</v>
      </c>
      <c r="AK405" s="154" t="s">
        <v>1407</v>
      </c>
      <c r="AL405" s="154">
        <v>28094</v>
      </c>
      <c r="AM405" s="154" t="s">
        <v>1421</v>
      </c>
      <c r="AN405" s="154" t="s">
        <v>1437</v>
      </c>
      <c r="AO405" s="154">
        <v>28</v>
      </c>
      <c r="AP405" s="154" t="s">
        <v>1416</v>
      </c>
      <c r="AQ405" s="154">
        <v>0</v>
      </c>
      <c r="AR405" s="154" t="s">
        <v>1410</v>
      </c>
      <c r="AS405" s="154"/>
      <c r="AT405" s="154" t="s">
        <v>1417</v>
      </c>
      <c r="AU405" s="154" t="s">
        <v>1412</v>
      </c>
    </row>
    <row r="406" spans="1:47" x14ac:dyDescent="0.45">
      <c r="A406" s="154">
        <v>2513150046</v>
      </c>
      <c r="B406" s="154">
        <v>131</v>
      </c>
      <c r="C406" s="154" t="s">
        <v>1462</v>
      </c>
      <c r="D406" s="154">
        <v>130</v>
      </c>
      <c r="E406" s="154" t="s">
        <v>1402</v>
      </c>
      <c r="F406" s="154" t="s">
        <v>2404</v>
      </c>
      <c r="G406" s="154" t="s">
        <v>2405</v>
      </c>
      <c r="H406" s="154">
        <v>1</v>
      </c>
      <c r="I406" s="154" t="s">
        <v>2406</v>
      </c>
      <c r="J406" s="154" t="s">
        <v>1403</v>
      </c>
      <c r="K406" s="154">
        <v>2025</v>
      </c>
      <c r="L406" s="155">
        <v>2025</v>
      </c>
      <c r="M406" s="156">
        <v>45595</v>
      </c>
      <c r="N406" s="154" t="s">
        <v>36</v>
      </c>
      <c r="O406" s="154" t="s">
        <v>704</v>
      </c>
      <c r="P406" s="154">
        <v>428</v>
      </c>
      <c r="Q406" s="154" t="s">
        <v>1463</v>
      </c>
      <c r="R406" s="154">
        <v>2</v>
      </c>
      <c r="S406" s="154">
        <v>2</v>
      </c>
      <c r="T406" s="154" t="s">
        <v>1464</v>
      </c>
      <c r="U406" s="154">
        <v>1</v>
      </c>
      <c r="V406" s="155">
        <v>2522575</v>
      </c>
      <c r="W406" s="155">
        <v>0</v>
      </c>
      <c r="X406" s="155" t="s">
        <v>1406</v>
      </c>
      <c r="Y406" s="154"/>
      <c r="Z406" s="154" t="s">
        <v>32</v>
      </c>
      <c r="AA406" s="156">
        <v>45643</v>
      </c>
      <c r="AB406" s="154">
        <v>25</v>
      </c>
      <c r="AC406" s="154">
        <v>22575</v>
      </c>
      <c r="AD406" s="154">
        <v>131</v>
      </c>
      <c r="AE406" s="154" t="s">
        <v>1462</v>
      </c>
      <c r="AF406" s="154">
        <v>130</v>
      </c>
      <c r="AG406" s="154" t="s">
        <v>1402</v>
      </c>
      <c r="AH406" s="154" t="s">
        <v>36</v>
      </c>
      <c r="AI406" s="154" t="s">
        <v>704</v>
      </c>
      <c r="AJ406" s="154">
        <v>428</v>
      </c>
      <c r="AK406" s="154" t="s">
        <v>1407</v>
      </c>
      <c r="AL406" s="154">
        <v>28095</v>
      </c>
      <c r="AM406" s="154" t="s">
        <v>1421</v>
      </c>
      <c r="AN406" s="154" t="s">
        <v>1435</v>
      </c>
      <c r="AO406" s="154">
        <v>28</v>
      </c>
      <c r="AP406" s="154" t="s">
        <v>1416</v>
      </c>
      <c r="AQ406" s="154">
        <v>0</v>
      </c>
      <c r="AR406" s="154" t="s">
        <v>1410</v>
      </c>
      <c r="AS406" s="154"/>
      <c r="AT406" s="154" t="s">
        <v>1417</v>
      </c>
      <c r="AU406" s="154" t="s">
        <v>1412</v>
      </c>
    </row>
    <row r="407" spans="1:47" x14ac:dyDescent="0.45">
      <c r="A407" s="154">
        <v>2513150047</v>
      </c>
      <c r="B407" s="154">
        <v>131</v>
      </c>
      <c r="C407" s="154" t="s">
        <v>1462</v>
      </c>
      <c r="D407" s="154">
        <v>130</v>
      </c>
      <c r="E407" s="154" t="s">
        <v>1402</v>
      </c>
      <c r="F407" s="154" t="s">
        <v>2407</v>
      </c>
      <c r="G407" s="154" t="s">
        <v>2408</v>
      </c>
      <c r="H407" s="154">
        <v>1</v>
      </c>
      <c r="I407" s="154" t="s">
        <v>585</v>
      </c>
      <c r="J407" s="154" t="s">
        <v>1403</v>
      </c>
      <c r="K407" s="154">
        <v>2025</v>
      </c>
      <c r="L407" s="155">
        <v>2025</v>
      </c>
      <c r="M407" s="156">
        <v>45567</v>
      </c>
      <c r="N407" s="154" t="s">
        <v>36</v>
      </c>
      <c r="O407" s="154" t="s">
        <v>708</v>
      </c>
      <c r="P407" s="154">
        <v>813</v>
      </c>
      <c r="Q407" s="154" t="s">
        <v>1580</v>
      </c>
      <c r="R407" s="154">
        <v>2</v>
      </c>
      <c r="S407" s="154">
        <v>3</v>
      </c>
      <c r="T407" s="154" t="s">
        <v>1477</v>
      </c>
      <c r="U407" s="154">
        <v>4</v>
      </c>
      <c r="V407" s="155">
        <v>2522613</v>
      </c>
      <c r="W407" s="155">
        <v>0</v>
      </c>
      <c r="X407" s="155" t="s">
        <v>1406</v>
      </c>
      <c r="Y407" s="154"/>
      <c r="Z407" s="154" t="s">
        <v>32</v>
      </c>
      <c r="AA407" s="156">
        <v>45734</v>
      </c>
      <c r="AB407" s="154">
        <v>25</v>
      </c>
      <c r="AC407" s="154">
        <v>22613</v>
      </c>
      <c r="AD407" s="154">
        <v>131</v>
      </c>
      <c r="AE407" s="154" t="s">
        <v>1462</v>
      </c>
      <c r="AF407" s="154">
        <v>130</v>
      </c>
      <c r="AG407" s="154" t="s">
        <v>1402</v>
      </c>
      <c r="AH407" s="154" t="s">
        <v>36</v>
      </c>
      <c r="AI407" s="154" t="s">
        <v>708</v>
      </c>
      <c r="AJ407" s="154">
        <v>813</v>
      </c>
      <c r="AK407" s="154" t="s">
        <v>1407</v>
      </c>
      <c r="AL407" s="154">
        <v>28200</v>
      </c>
      <c r="AM407" s="154" t="s">
        <v>1418</v>
      </c>
      <c r="AN407" s="154" t="s">
        <v>1520</v>
      </c>
      <c r="AO407" s="154">
        <v>28</v>
      </c>
      <c r="AP407" s="154" t="s">
        <v>1416</v>
      </c>
      <c r="AQ407" s="154">
        <v>0</v>
      </c>
      <c r="AR407" s="154" t="s">
        <v>1410</v>
      </c>
      <c r="AS407" s="154"/>
      <c r="AT407" s="154" t="s">
        <v>1417</v>
      </c>
      <c r="AU407" s="154" t="s">
        <v>1412</v>
      </c>
    </row>
    <row r="408" spans="1:47" x14ac:dyDescent="0.45">
      <c r="A408" s="154">
        <v>2513150048</v>
      </c>
      <c r="B408" s="154">
        <v>131</v>
      </c>
      <c r="C408" s="154" t="s">
        <v>1462</v>
      </c>
      <c r="D408" s="154">
        <v>130</v>
      </c>
      <c r="E408" s="154" t="s">
        <v>1402</v>
      </c>
      <c r="F408" s="154" t="s">
        <v>2409</v>
      </c>
      <c r="G408" s="154" t="s">
        <v>2410</v>
      </c>
      <c r="H408" s="154">
        <v>2</v>
      </c>
      <c r="I408" s="154" t="s">
        <v>2411</v>
      </c>
      <c r="J408" s="154" t="s">
        <v>1485</v>
      </c>
      <c r="K408" s="154">
        <v>2025</v>
      </c>
      <c r="L408" s="155">
        <v>2025</v>
      </c>
      <c r="M408" s="156">
        <v>45555</v>
      </c>
      <c r="N408" s="154" t="s">
        <v>36</v>
      </c>
      <c r="O408" s="154" t="s">
        <v>708</v>
      </c>
      <c r="P408" s="154">
        <v>1044</v>
      </c>
      <c r="Q408" s="154" t="s">
        <v>1476</v>
      </c>
      <c r="R408" s="154">
        <v>2</v>
      </c>
      <c r="S408" s="154">
        <v>3</v>
      </c>
      <c r="T408" s="154" t="s">
        <v>1477</v>
      </c>
      <c r="U408" s="154">
        <v>4</v>
      </c>
      <c r="V408" s="155">
        <v>2522604</v>
      </c>
      <c r="W408" s="155">
        <v>0</v>
      </c>
      <c r="X408" s="155" t="s">
        <v>1406</v>
      </c>
      <c r="Y408" s="154"/>
      <c r="Z408" s="154" t="s">
        <v>32</v>
      </c>
      <c r="AA408" s="156">
        <v>45706</v>
      </c>
      <c r="AB408" s="154">
        <v>25</v>
      </c>
      <c r="AC408" s="154">
        <v>22604</v>
      </c>
      <c r="AD408" s="154">
        <v>131</v>
      </c>
      <c r="AE408" s="154" t="s">
        <v>1462</v>
      </c>
      <c r="AF408" s="154">
        <v>130</v>
      </c>
      <c r="AG408" s="154" t="s">
        <v>1402</v>
      </c>
      <c r="AH408" s="154" t="s">
        <v>36</v>
      </c>
      <c r="AI408" s="154" t="s">
        <v>708</v>
      </c>
      <c r="AJ408" s="154">
        <v>1044</v>
      </c>
      <c r="AK408" s="154" t="s">
        <v>1407</v>
      </c>
      <c r="AL408" s="154">
        <v>31049</v>
      </c>
      <c r="AM408" s="154" t="s">
        <v>1421</v>
      </c>
      <c r="AN408" s="154" t="s">
        <v>2820</v>
      </c>
      <c r="AO408" s="154">
        <v>31</v>
      </c>
      <c r="AP408" s="154" t="s">
        <v>1487</v>
      </c>
      <c r="AQ408" s="154">
        <v>0</v>
      </c>
      <c r="AR408" s="154" t="s">
        <v>1410</v>
      </c>
      <c r="AS408" s="154"/>
      <c r="AT408" s="154" t="s">
        <v>1417</v>
      </c>
      <c r="AU408" s="154" t="s">
        <v>1412</v>
      </c>
    </row>
    <row r="409" spans="1:47" x14ac:dyDescent="0.45">
      <c r="A409" s="154">
        <v>2513150049</v>
      </c>
      <c r="B409" s="154">
        <v>131</v>
      </c>
      <c r="C409" s="154" t="s">
        <v>1462</v>
      </c>
      <c r="D409" s="154">
        <v>130</v>
      </c>
      <c r="E409" s="154" t="s">
        <v>1402</v>
      </c>
      <c r="F409" s="154" t="s">
        <v>2412</v>
      </c>
      <c r="G409" s="154" t="s">
        <v>2413</v>
      </c>
      <c r="H409" s="154">
        <v>2</v>
      </c>
      <c r="I409" s="154" t="s">
        <v>2297</v>
      </c>
      <c r="J409" s="154" t="s">
        <v>1403</v>
      </c>
      <c r="K409" s="154">
        <v>2025</v>
      </c>
      <c r="L409" s="155">
        <v>2025</v>
      </c>
      <c r="M409" s="156">
        <v>45561</v>
      </c>
      <c r="N409" s="154" t="s">
        <v>36</v>
      </c>
      <c r="O409" s="154" t="s">
        <v>708</v>
      </c>
      <c r="P409" s="154">
        <v>1044</v>
      </c>
      <c r="Q409" s="154" t="s">
        <v>1476</v>
      </c>
      <c r="R409" s="154">
        <v>2</v>
      </c>
      <c r="S409" s="154">
        <v>3</v>
      </c>
      <c r="T409" s="154" t="s">
        <v>1477</v>
      </c>
      <c r="U409" s="154">
        <v>4</v>
      </c>
      <c r="V409" s="155">
        <v>2522529</v>
      </c>
      <c r="W409" s="155">
        <v>0</v>
      </c>
      <c r="X409" s="155" t="s">
        <v>1406</v>
      </c>
      <c r="Y409" s="154"/>
      <c r="Z409" s="154" t="s">
        <v>32</v>
      </c>
      <c r="AA409" s="156">
        <v>45580</v>
      </c>
      <c r="AB409" s="154">
        <v>25</v>
      </c>
      <c r="AC409" s="154">
        <v>22529</v>
      </c>
      <c r="AD409" s="154">
        <v>131</v>
      </c>
      <c r="AE409" s="154" t="s">
        <v>1462</v>
      </c>
      <c r="AF409" s="154">
        <v>130</v>
      </c>
      <c r="AG409" s="154" t="s">
        <v>1402</v>
      </c>
      <c r="AH409" s="154" t="s">
        <v>36</v>
      </c>
      <c r="AI409" s="154" t="s">
        <v>708</v>
      </c>
      <c r="AJ409" s="154">
        <v>1044</v>
      </c>
      <c r="AK409" s="154" t="s">
        <v>1407</v>
      </c>
      <c r="AL409" s="154">
        <v>28107</v>
      </c>
      <c r="AM409" s="154" t="s">
        <v>1418</v>
      </c>
      <c r="AN409" s="154" t="s">
        <v>1484</v>
      </c>
      <c r="AO409" s="154">
        <v>28</v>
      </c>
      <c r="AP409" s="154" t="s">
        <v>1416</v>
      </c>
      <c r="AQ409" s="154">
        <v>0</v>
      </c>
      <c r="AR409" s="154" t="s">
        <v>1410</v>
      </c>
      <c r="AS409" s="154"/>
      <c r="AT409" s="154" t="s">
        <v>1417</v>
      </c>
      <c r="AU409" s="154" t="s">
        <v>1412</v>
      </c>
    </row>
    <row r="410" spans="1:47" x14ac:dyDescent="0.45">
      <c r="A410" s="154">
        <v>2513150050</v>
      </c>
      <c r="B410" s="154">
        <v>131</v>
      </c>
      <c r="C410" s="154" t="s">
        <v>1462</v>
      </c>
      <c r="D410" s="154">
        <v>130</v>
      </c>
      <c r="E410" s="154" t="s">
        <v>1402</v>
      </c>
      <c r="F410" s="154" t="s">
        <v>2414</v>
      </c>
      <c r="G410" s="154" t="s">
        <v>2415</v>
      </c>
      <c r="H410" s="154">
        <v>2</v>
      </c>
      <c r="I410" s="154" t="s">
        <v>878</v>
      </c>
      <c r="J410" s="154" t="s">
        <v>1403</v>
      </c>
      <c r="K410" s="154">
        <v>0</v>
      </c>
      <c r="L410" s="155">
        <v>2025</v>
      </c>
      <c r="M410" s="156">
        <v>45537</v>
      </c>
      <c r="N410" s="154" t="s">
        <v>36</v>
      </c>
      <c r="O410" s="154" t="s">
        <v>708</v>
      </c>
      <c r="P410" s="154">
        <v>1044</v>
      </c>
      <c r="Q410" s="154" t="s">
        <v>1476</v>
      </c>
      <c r="R410" s="154">
        <v>2</v>
      </c>
      <c r="S410" s="154">
        <v>3</v>
      </c>
      <c r="T410" s="154" t="s">
        <v>1477</v>
      </c>
      <c r="U410" s="154">
        <v>4</v>
      </c>
      <c r="V410" s="155">
        <v>2522582</v>
      </c>
      <c r="W410" s="155">
        <v>0</v>
      </c>
      <c r="X410" s="155" t="s">
        <v>1406</v>
      </c>
      <c r="Y410" s="154"/>
      <c r="Z410" s="154" t="s">
        <v>32</v>
      </c>
      <c r="AA410" s="156">
        <v>45664</v>
      </c>
      <c r="AB410" s="154">
        <v>25</v>
      </c>
      <c r="AC410" s="154">
        <v>22582</v>
      </c>
      <c r="AD410" s="154">
        <v>131</v>
      </c>
      <c r="AE410" s="154" t="s">
        <v>1462</v>
      </c>
      <c r="AF410" s="154">
        <v>130</v>
      </c>
      <c r="AG410" s="154" t="s">
        <v>1402</v>
      </c>
      <c r="AH410" s="154" t="s">
        <v>36</v>
      </c>
      <c r="AI410" s="154" t="s">
        <v>708</v>
      </c>
      <c r="AJ410" s="154">
        <v>1044</v>
      </c>
      <c r="AK410" s="154" t="s">
        <v>1407</v>
      </c>
      <c r="AL410" s="154">
        <v>28232</v>
      </c>
      <c r="AM410" s="154" t="s">
        <v>1418</v>
      </c>
      <c r="AN410" s="154" t="s">
        <v>1548</v>
      </c>
      <c r="AO410" s="154">
        <v>28</v>
      </c>
      <c r="AP410" s="154" t="s">
        <v>1416</v>
      </c>
      <c r="AQ410" s="154">
        <v>0</v>
      </c>
      <c r="AR410" s="154" t="s">
        <v>1410</v>
      </c>
      <c r="AS410" s="154"/>
      <c r="AT410" s="154" t="s">
        <v>1411</v>
      </c>
      <c r="AU410" s="154" t="s">
        <v>1412</v>
      </c>
    </row>
  </sheetData>
  <autoFilter ref="A1:AU371" xr:uid="{00000000-0009-0000-0000-000001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12A6-7A84-48D4-BE33-3BB590616139}">
  <dimension ref="A1:AU410"/>
  <sheetViews>
    <sheetView topLeftCell="G1" workbookViewId="0">
      <selection activeCell="T1" sqref="T1"/>
    </sheetView>
  </sheetViews>
  <sheetFormatPr defaultColWidth="8.59765625" defaultRowHeight="18" x14ac:dyDescent="0.45"/>
  <cols>
    <col min="1" max="1" width="16.09765625" style="155" customWidth="1"/>
    <col min="2" max="5" width="8.59765625" style="154"/>
    <col min="6" max="6" width="20" style="154" customWidth="1"/>
    <col min="7" max="12" width="8.59765625" style="154"/>
    <col min="13" max="13" width="12.09765625" style="4" customWidth="1"/>
    <col min="14" max="26" width="8.59765625" style="154"/>
    <col min="27" max="27" width="11.09765625" style="46" bestFit="1" customWidth="1"/>
    <col min="28" max="16384" width="8.59765625" style="154"/>
  </cols>
  <sheetData>
    <row r="1" spans="1:47" x14ac:dyDescent="0.45">
      <c r="A1" s="155" t="s">
        <v>16</v>
      </c>
      <c r="B1" s="154" t="s">
        <v>1366</v>
      </c>
      <c r="C1" s="154" t="s">
        <v>1367</v>
      </c>
      <c r="D1" s="154" t="s">
        <v>1368</v>
      </c>
      <c r="E1" s="154" t="s">
        <v>1369</v>
      </c>
      <c r="F1" s="154" t="s">
        <v>17</v>
      </c>
      <c r="G1" s="154" t="s">
        <v>18</v>
      </c>
      <c r="H1" s="154" t="s">
        <v>1370</v>
      </c>
      <c r="I1" s="154" t="s">
        <v>19</v>
      </c>
      <c r="J1" s="154" t="s">
        <v>22</v>
      </c>
      <c r="K1" s="154" t="s">
        <v>1371</v>
      </c>
      <c r="L1" s="155" t="s">
        <v>1372</v>
      </c>
      <c r="M1" s="43" t="s">
        <v>1373</v>
      </c>
      <c r="N1" s="154" t="s">
        <v>1374</v>
      </c>
      <c r="O1" s="154" t="s">
        <v>1375</v>
      </c>
      <c r="P1" s="154" t="s">
        <v>1376</v>
      </c>
      <c r="Q1" s="154" t="s">
        <v>1377</v>
      </c>
      <c r="R1" s="154" t="s">
        <v>23</v>
      </c>
      <c r="S1" s="154" t="s">
        <v>8</v>
      </c>
      <c r="T1" s="154" t="s">
        <v>9</v>
      </c>
      <c r="U1" s="154" t="s">
        <v>1378</v>
      </c>
      <c r="V1" s="155" t="s">
        <v>1379</v>
      </c>
      <c r="W1" s="155" t="s">
        <v>1380</v>
      </c>
      <c r="X1" s="155" t="s">
        <v>1381</v>
      </c>
      <c r="Y1" s="156" t="s">
        <v>1382</v>
      </c>
      <c r="Z1" s="154" t="s">
        <v>15</v>
      </c>
      <c r="AA1" s="45" t="s">
        <v>1383</v>
      </c>
      <c r="AB1" s="154" t="s">
        <v>1384</v>
      </c>
      <c r="AC1" s="154" t="s">
        <v>1385</v>
      </c>
      <c r="AD1" s="154" t="s">
        <v>1386</v>
      </c>
      <c r="AE1" s="154" t="s">
        <v>1387</v>
      </c>
      <c r="AF1" s="154" t="s">
        <v>1388</v>
      </c>
      <c r="AG1" s="154" t="s">
        <v>1389</v>
      </c>
      <c r="AH1" s="154" t="s">
        <v>1390</v>
      </c>
      <c r="AI1" s="154" t="s">
        <v>1391</v>
      </c>
      <c r="AJ1" s="154" t="s">
        <v>1392</v>
      </c>
      <c r="AK1" s="154" t="s">
        <v>1393</v>
      </c>
      <c r="AL1" s="154" t="s">
        <v>10</v>
      </c>
      <c r="AM1" s="154" t="s">
        <v>1394</v>
      </c>
      <c r="AN1" s="154" t="s">
        <v>12</v>
      </c>
      <c r="AO1" s="154" t="s">
        <v>1395</v>
      </c>
      <c r="AP1" s="154" t="s">
        <v>11</v>
      </c>
      <c r="AQ1" s="154" t="s">
        <v>1396</v>
      </c>
      <c r="AR1" s="154" t="s">
        <v>1397</v>
      </c>
      <c r="AS1" s="154" t="s">
        <v>1398</v>
      </c>
      <c r="AT1" s="154" t="s">
        <v>1399</v>
      </c>
      <c r="AU1" s="154" t="s">
        <v>1400</v>
      </c>
    </row>
    <row r="2" spans="1:47" x14ac:dyDescent="0.45">
      <c r="A2" s="169">
        <v>2605700001</v>
      </c>
      <c r="B2" s="169">
        <v>57</v>
      </c>
      <c r="C2" s="169" t="s">
        <v>1551</v>
      </c>
      <c r="D2" s="169">
        <v>57</v>
      </c>
      <c r="E2" s="169" t="s">
        <v>1552</v>
      </c>
      <c r="F2" s="169" t="s">
        <v>3557</v>
      </c>
      <c r="G2" s="169" t="s">
        <v>3558</v>
      </c>
      <c r="H2" s="169">
        <v>1</v>
      </c>
      <c r="I2" s="169" t="s">
        <v>3559</v>
      </c>
      <c r="J2" s="169" t="s">
        <v>1403</v>
      </c>
      <c r="K2" s="169">
        <v>2026</v>
      </c>
      <c r="L2" s="170">
        <v>2026</v>
      </c>
      <c r="M2" s="171">
        <v>45931</v>
      </c>
      <c r="N2" s="169" t="s">
        <v>36</v>
      </c>
      <c r="O2" s="169">
        <v>58</v>
      </c>
      <c r="P2" s="169">
        <v>968</v>
      </c>
      <c r="Q2" s="169" t="s">
        <v>1474</v>
      </c>
      <c r="R2" s="169">
        <v>2</v>
      </c>
      <c r="S2" s="169">
        <v>2</v>
      </c>
      <c r="T2" s="169" t="s">
        <v>1464</v>
      </c>
      <c r="U2" s="169">
        <v>1</v>
      </c>
      <c r="V2" s="170">
        <v>2680027</v>
      </c>
      <c r="W2" s="170">
        <v>0</v>
      </c>
      <c r="X2" s="170" t="s">
        <v>1406</v>
      </c>
      <c r="Y2" s="169"/>
      <c r="Z2" s="169" t="s">
        <v>1407</v>
      </c>
      <c r="AA2" s="171">
        <v>45951</v>
      </c>
      <c r="AB2" s="169">
        <v>26</v>
      </c>
      <c r="AC2" s="169">
        <v>80027</v>
      </c>
      <c r="AD2" s="169">
        <v>57</v>
      </c>
      <c r="AE2" s="169" t="s">
        <v>1551</v>
      </c>
      <c r="AF2" s="169">
        <v>57</v>
      </c>
      <c r="AG2" s="169" t="s">
        <v>1552</v>
      </c>
      <c r="AH2" s="169" t="s">
        <v>36</v>
      </c>
      <c r="AI2" s="169">
        <v>58</v>
      </c>
      <c r="AJ2" s="169">
        <v>968</v>
      </c>
      <c r="AK2" s="169" t="s">
        <v>1407</v>
      </c>
      <c r="AL2" s="169">
        <v>28009</v>
      </c>
      <c r="AM2" s="169" t="s">
        <v>1418</v>
      </c>
      <c r="AN2" s="169" t="s">
        <v>1607</v>
      </c>
      <c r="AO2" s="169">
        <v>28</v>
      </c>
      <c r="AP2" s="169" t="s">
        <v>1416</v>
      </c>
      <c r="AQ2" s="169">
        <v>0</v>
      </c>
      <c r="AR2" s="169" t="s">
        <v>1410</v>
      </c>
      <c r="AS2" s="169"/>
      <c r="AT2" s="169" t="s">
        <v>1417</v>
      </c>
      <c r="AU2" s="169" t="s">
        <v>1412</v>
      </c>
    </row>
    <row r="3" spans="1:47" x14ac:dyDescent="0.45">
      <c r="A3" s="169">
        <v>2605700002</v>
      </c>
      <c r="B3" s="169">
        <v>57</v>
      </c>
      <c r="C3" s="169" t="s">
        <v>1551</v>
      </c>
      <c r="D3" s="169">
        <v>57</v>
      </c>
      <c r="E3" s="169" t="s">
        <v>1552</v>
      </c>
      <c r="F3" s="169" t="s">
        <v>3560</v>
      </c>
      <c r="G3" s="169" t="s">
        <v>3561</v>
      </c>
      <c r="H3" s="169">
        <v>2</v>
      </c>
      <c r="I3" s="169" t="s">
        <v>3562</v>
      </c>
      <c r="J3" s="169" t="s">
        <v>1403</v>
      </c>
      <c r="K3" s="169">
        <v>2026</v>
      </c>
      <c r="L3" s="170">
        <v>2026</v>
      </c>
      <c r="M3" s="171">
        <v>45937</v>
      </c>
      <c r="N3" s="169" t="s">
        <v>36</v>
      </c>
      <c r="O3" s="169" t="s">
        <v>94</v>
      </c>
      <c r="P3" s="169">
        <v>121</v>
      </c>
      <c r="Q3" s="169" t="s">
        <v>1502</v>
      </c>
      <c r="R3" s="169">
        <v>2</v>
      </c>
      <c r="S3" s="169">
        <v>8</v>
      </c>
      <c r="T3" s="169" t="s">
        <v>1503</v>
      </c>
      <c r="U3" s="169">
        <v>6</v>
      </c>
      <c r="V3" s="170">
        <v>2680030</v>
      </c>
      <c r="W3" s="170">
        <v>0</v>
      </c>
      <c r="X3" s="170" t="s">
        <v>1406</v>
      </c>
      <c r="Y3" s="169"/>
      <c r="Z3" s="169" t="s">
        <v>3563</v>
      </c>
      <c r="AA3" s="171">
        <v>45953</v>
      </c>
      <c r="AB3" s="169">
        <v>26</v>
      </c>
      <c r="AC3" s="169">
        <v>80030</v>
      </c>
      <c r="AD3" s="169">
        <v>57</v>
      </c>
      <c r="AE3" s="169" t="s">
        <v>1551</v>
      </c>
      <c r="AF3" s="169">
        <v>57</v>
      </c>
      <c r="AG3" s="169" t="s">
        <v>1552</v>
      </c>
      <c r="AH3" s="169" t="s">
        <v>36</v>
      </c>
      <c r="AI3" s="169" t="s">
        <v>94</v>
      </c>
      <c r="AJ3" s="169">
        <v>121</v>
      </c>
      <c r="AK3" s="169" t="s">
        <v>1407</v>
      </c>
      <c r="AL3" s="169">
        <v>28120</v>
      </c>
      <c r="AM3" s="169" t="s">
        <v>1418</v>
      </c>
      <c r="AN3" s="169" t="s">
        <v>1593</v>
      </c>
      <c r="AO3" s="169">
        <v>28</v>
      </c>
      <c r="AP3" s="169" t="s">
        <v>1416</v>
      </c>
      <c r="AQ3" s="169">
        <v>0</v>
      </c>
      <c r="AR3" s="169" t="s">
        <v>1410</v>
      </c>
      <c r="AS3" s="169"/>
      <c r="AT3" s="169" t="s">
        <v>1417</v>
      </c>
      <c r="AU3" s="169" t="s">
        <v>1412</v>
      </c>
    </row>
    <row r="4" spans="1:47" x14ac:dyDescent="0.45">
      <c r="A4" s="169">
        <v>2605700003</v>
      </c>
      <c r="B4" s="169">
        <v>57</v>
      </c>
      <c r="C4" s="169" t="s">
        <v>1551</v>
      </c>
      <c r="D4" s="169">
        <v>57</v>
      </c>
      <c r="E4" s="169" t="s">
        <v>1552</v>
      </c>
      <c r="F4" s="169" t="s">
        <v>3564</v>
      </c>
      <c r="G4" s="169" t="s">
        <v>3565</v>
      </c>
      <c r="H4" s="169">
        <v>1</v>
      </c>
      <c r="I4" s="169" t="s">
        <v>3566</v>
      </c>
      <c r="J4" s="169" t="s">
        <v>1403</v>
      </c>
      <c r="K4" s="169">
        <v>2026</v>
      </c>
      <c r="L4" s="170">
        <v>2026</v>
      </c>
      <c r="M4" s="171">
        <v>45937</v>
      </c>
      <c r="N4" s="169" t="s">
        <v>36</v>
      </c>
      <c r="O4" s="169">
        <v>58</v>
      </c>
      <c r="P4" s="169">
        <v>427</v>
      </c>
      <c r="Q4" s="169" t="s">
        <v>1479</v>
      </c>
      <c r="R4" s="169">
        <v>2</v>
      </c>
      <c r="S4" s="169">
        <v>2</v>
      </c>
      <c r="T4" s="169" t="s">
        <v>1464</v>
      </c>
      <c r="U4" s="169">
        <v>1</v>
      </c>
      <c r="V4" s="170">
        <v>2680058</v>
      </c>
      <c r="W4" s="170">
        <v>0</v>
      </c>
      <c r="X4" s="170" t="s">
        <v>1406</v>
      </c>
      <c r="Y4" s="169"/>
      <c r="Z4" s="169" t="s">
        <v>3563</v>
      </c>
      <c r="AA4" s="171">
        <v>45981</v>
      </c>
      <c r="AB4" s="169">
        <v>26</v>
      </c>
      <c r="AC4" s="169">
        <v>80058</v>
      </c>
      <c r="AD4" s="169">
        <v>57</v>
      </c>
      <c r="AE4" s="169" t="s">
        <v>1551</v>
      </c>
      <c r="AF4" s="169">
        <v>57</v>
      </c>
      <c r="AG4" s="169" t="s">
        <v>1552</v>
      </c>
      <c r="AH4" s="169" t="s">
        <v>36</v>
      </c>
      <c r="AI4" s="169">
        <v>58</v>
      </c>
      <c r="AJ4" s="169">
        <v>427</v>
      </c>
      <c r="AK4" s="169" t="s">
        <v>1407</v>
      </c>
      <c r="AL4" s="169">
        <v>28282</v>
      </c>
      <c r="AM4" s="169" t="s">
        <v>1414</v>
      </c>
      <c r="AN4" s="169" t="s">
        <v>1572</v>
      </c>
      <c r="AO4" s="169">
        <v>28</v>
      </c>
      <c r="AP4" s="169" t="s">
        <v>1416</v>
      </c>
      <c r="AQ4" s="169">
        <v>0</v>
      </c>
      <c r="AR4" s="169" t="s">
        <v>1410</v>
      </c>
      <c r="AS4" s="169"/>
      <c r="AT4" s="169" t="s">
        <v>1417</v>
      </c>
      <c r="AU4" s="169" t="s">
        <v>1412</v>
      </c>
    </row>
    <row r="5" spans="1:47" x14ac:dyDescent="0.45">
      <c r="A5" s="169">
        <v>2605700004</v>
      </c>
      <c r="B5" s="169">
        <v>57</v>
      </c>
      <c r="C5" s="169" t="s">
        <v>1551</v>
      </c>
      <c r="D5" s="169">
        <v>57</v>
      </c>
      <c r="E5" s="169" t="s">
        <v>1552</v>
      </c>
      <c r="F5" s="169" t="s">
        <v>3567</v>
      </c>
      <c r="G5" s="169" t="s">
        <v>3568</v>
      </c>
      <c r="H5" s="169">
        <v>1</v>
      </c>
      <c r="I5" s="169" t="s">
        <v>204</v>
      </c>
      <c r="J5" s="169" t="s">
        <v>1403</v>
      </c>
      <c r="K5" s="169">
        <v>2026</v>
      </c>
      <c r="L5" s="170">
        <v>2026</v>
      </c>
      <c r="M5" s="171">
        <v>45937</v>
      </c>
      <c r="N5" s="169" t="s">
        <v>36</v>
      </c>
      <c r="O5" s="169">
        <v>6</v>
      </c>
      <c r="P5" s="169">
        <v>488</v>
      </c>
      <c r="Q5" s="169" t="s">
        <v>1553</v>
      </c>
      <c r="R5" s="169">
        <v>2</v>
      </c>
      <c r="S5" s="169">
        <v>1</v>
      </c>
      <c r="T5" s="169" t="s">
        <v>1527</v>
      </c>
      <c r="U5" s="169">
        <v>3</v>
      </c>
      <c r="V5" s="170">
        <v>2680125</v>
      </c>
      <c r="W5" s="170">
        <v>0</v>
      </c>
      <c r="X5" s="170" t="s">
        <v>1406</v>
      </c>
      <c r="Y5" s="169"/>
      <c r="Z5" s="169" t="s">
        <v>2929</v>
      </c>
      <c r="AA5" s="171">
        <v>46035</v>
      </c>
      <c r="AB5" s="169">
        <v>26</v>
      </c>
      <c r="AC5" s="169">
        <v>80125</v>
      </c>
      <c r="AD5" s="169">
        <v>57</v>
      </c>
      <c r="AE5" s="169" t="s">
        <v>1551</v>
      </c>
      <c r="AF5" s="169">
        <v>57</v>
      </c>
      <c r="AG5" s="169" t="s">
        <v>1552</v>
      </c>
      <c r="AH5" s="169" t="s">
        <v>36</v>
      </c>
      <c r="AI5" s="169">
        <v>6</v>
      </c>
      <c r="AJ5" s="169">
        <v>488</v>
      </c>
      <c r="AK5" s="169" t="s">
        <v>1407</v>
      </c>
      <c r="AL5" s="169">
        <v>28030</v>
      </c>
      <c r="AM5" s="169" t="s">
        <v>1418</v>
      </c>
      <c r="AN5" s="169" t="s">
        <v>1566</v>
      </c>
      <c r="AO5" s="169">
        <v>28</v>
      </c>
      <c r="AP5" s="169" t="s">
        <v>1416</v>
      </c>
      <c r="AQ5" s="169">
        <v>0</v>
      </c>
      <c r="AR5" s="169" t="s">
        <v>1410</v>
      </c>
      <c r="AS5" s="169"/>
      <c r="AT5" s="169" t="s">
        <v>1417</v>
      </c>
      <c r="AU5" s="169" t="s">
        <v>1412</v>
      </c>
    </row>
    <row r="6" spans="1:47" x14ac:dyDescent="0.45">
      <c r="A6" s="169">
        <v>2600350083</v>
      </c>
      <c r="B6" s="169">
        <v>57</v>
      </c>
      <c r="C6" s="169" t="s">
        <v>1551</v>
      </c>
      <c r="D6" s="169">
        <v>57</v>
      </c>
      <c r="E6" s="169" t="s">
        <v>1552</v>
      </c>
      <c r="F6" s="169" t="s">
        <v>3569</v>
      </c>
      <c r="G6" s="169" t="s">
        <v>3570</v>
      </c>
      <c r="H6" s="169">
        <v>2</v>
      </c>
      <c r="I6" s="169" t="s">
        <v>193</v>
      </c>
      <c r="J6" s="169" t="s">
        <v>1403</v>
      </c>
      <c r="K6" s="169">
        <v>2026</v>
      </c>
      <c r="L6" s="170">
        <v>2026</v>
      </c>
      <c r="M6" s="171">
        <v>45959</v>
      </c>
      <c r="N6" s="169" t="s">
        <v>36</v>
      </c>
      <c r="O6" s="169">
        <v>57</v>
      </c>
      <c r="P6" s="169">
        <v>1044</v>
      </c>
      <c r="Q6" s="169" t="s">
        <v>1476</v>
      </c>
      <c r="R6" s="169">
        <v>2</v>
      </c>
      <c r="S6" s="169">
        <v>3</v>
      </c>
      <c r="T6" s="169" t="s">
        <v>1477</v>
      </c>
      <c r="U6" s="169">
        <v>4</v>
      </c>
      <c r="V6" s="170">
        <v>2680092</v>
      </c>
      <c r="W6" s="170">
        <v>0</v>
      </c>
      <c r="X6" s="170" t="s">
        <v>1406</v>
      </c>
      <c r="Y6" s="169"/>
      <c r="Z6" s="169" t="s">
        <v>32</v>
      </c>
      <c r="AA6" s="171">
        <v>46010</v>
      </c>
      <c r="AB6" s="169">
        <v>26</v>
      </c>
      <c r="AC6" s="169">
        <v>80092</v>
      </c>
      <c r="AD6" s="169">
        <v>57</v>
      </c>
      <c r="AE6" s="169" t="s">
        <v>1551</v>
      </c>
      <c r="AF6" s="169">
        <v>57</v>
      </c>
      <c r="AG6" s="169" t="s">
        <v>1552</v>
      </c>
      <c r="AH6" s="169" t="s">
        <v>36</v>
      </c>
      <c r="AI6" s="169">
        <v>57</v>
      </c>
      <c r="AJ6" s="169">
        <v>1044</v>
      </c>
      <c r="AK6" s="169" t="s">
        <v>1410</v>
      </c>
      <c r="AL6" s="169">
        <v>28282</v>
      </c>
      <c r="AM6" s="169" t="s">
        <v>1414</v>
      </c>
      <c r="AN6" s="169" t="s">
        <v>1572</v>
      </c>
      <c r="AO6" s="169">
        <v>28</v>
      </c>
      <c r="AP6" s="169" t="s">
        <v>1416</v>
      </c>
      <c r="AQ6" s="169">
        <v>0</v>
      </c>
      <c r="AR6" s="169" t="s">
        <v>1410</v>
      </c>
      <c r="AS6" s="169"/>
      <c r="AT6" s="169" t="s">
        <v>1417</v>
      </c>
      <c r="AU6" s="169" t="s">
        <v>1412</v>
      </c>
    </row>
    <row r="7" spans="1:47" x14ac:dyDescent="0.45">
      <c r="A7" s="169">
        <v>2605700006</v>
      </c>
      <c r="B7" s="169">
        <v>57</v>
      </c>
      <c r="C7" s="169" t="s">
        <v>1551</v>
      </c>
      <c r="D7" s="169">
        <v>57</v>
      </c>
      <c r="E7" s="169" t="s">
        <v>1552</v>
      </c>
      <c r="F7" s="169" t="s">
        <v>3571</v>
      </c>
      <c r="G7" s="169" t="s">
        <v>3572</v>
      </c>
      <c r="H7" s="169">
        <v>2</v>
      </c>
      <c r="I7" s="169" t="s">
        <v>3573</v>
      </c>
      <c r="J7" s="169" t="s">
        <v>1403</v>
      </c>
      <c r="K7" s="169">
        <v>2026</v>
      </c>
      <c r="L7" s="170">
        <v>2026</v>
      </c>
      <c r="M7" s="171">
        <v>45961</v>
      </c>
      <c r="N7" s="169" t="s">
        <v>36</v>
      </c>
      <c r="O7" s="169">
        <v>7</v>
      </c>
      <c r="P7" s="169">
        <v>266</v>
      </c>
      <c r="Q7" s="169" t="s">
        <v>1526</v>
      </c>
      <c r="R7" s="169">
        <v>2</v>
      </c>
      <c r="S7" s="169">
        <v>1</v>
      </c>
      <c r="T7" s="169" t="s">
        <v>1527</v>
      </c>
      <c r="U7" s="169">
        <v>3</v>
      </c>
      <c r="V7" s="170">
        <v>0</v>
      </c>
      <c r="W7" s="170">
        <v>0</v>
      </c>
      <c r="X7" s="170" t="s">
        <v>1406</v>
      </c>
      <c r="Y7" s="169"/>
      <c r="Z7" s="169" t="s">
        <v>1407</v>
      </c>
      <c r="AA7" s="169"/>
      <c r="AB7" s="169">
        <v>0</v>
      </c>
      <c r="AC7" s="169">
        <v>0</v>
      </c>
      <c r="AD7" s="169">
        <v>0</v>
      </c>
      <c r="AE7" s="169" t="s">
        <v>1446</v>
      </c>
      <c r="AF7" s="169"/>
      <c r="AG7" s="169" t="s">
        <v>1446</v>
      </c>
      <c r="AH7" s="169"/>
      <c r="AI7" s="169"/>
      <c r="AJ7" s="169">
        <v>0</v>
      </c>
      <c r="AK7" s="169" t="s">
        <v>1410</v>
      </c>
      <c r="AL7" s="169">
        <v>28204</v>
      </c>
      <c r="AM7" s="169" t="s">
        <v>1418</v>
      </c>
      <c r="AN7" s="169" t="s">
        <v>2809</v>
      </c>
      <c r="AO7" s="169">
        <v>28</v>
      </c>
      <c r="AP7" s="169" t="s">
        <v>1416</v>
      </c>
      <c r="AQ7" s="169">
        <v>0</v>
      </c>
      <c r="AR7" s="169" t="s">
        <v>1410</v>
      </c>
      <c r="AS7" s="169"/>
      <c r="AT7" s="169" t="s">
        <v>1417</v>
      </c>
      <c r="AU7" s="169" t="s">
        <v>1412</v>
      </c>
    </row>
    <row r="8" spans="1:47" x14ac:dyDescent="0.45">
      <c r="A8" s="169">
        <v>2605700007</v>
      </c>
      <c r="B8" s="169">
        <v>57</v>
      </c>
      <c r="C8" s="169" t="s">
        <v>1551</v>
      </c>
      <c r="D8" s="169">
        <v>57</v>
      </c>
      <c r="E8" s="169" t="s">
        <v>1552</v>
      </c>
      <c r="F8" s="169" t="s">
        <v>3574</v>
      </c>
      <c r="G8" s="169" t="s">
        <v>3575</v>
      </c>
      <c r="H8" s="169">
        <v>1</v>
      </c>
      <c r="I8" s="169" t="s">
        <v>3576</v>
      </c>
      <c r="J8" s="169" t="s">
        <v>1403</v>
      </c>
      <c r="K8" s="169">
        <v>2026</v>
      </c>
      <c r="L8" s="170">
        <v>2026</v>
      </c>
      <c r="M8" s="171">
        <v>45970</v>
      </c>
      <c r="N8" s="169" t="s">
        <v>36</v>
      </c>
      <c r="O8" s="169" t="s">
        <v>51</v>
      </c>
      <c r="P8" s="169">
        <v>428</v>
      </c>
      <c r="Q8" s="169" t="s">
        <v>1463</v>
      </c>
      <c r="R8" s="169">
        <v>1</v>
      </c>
      <c r="S8" s="169">
        <v>2</v>
      </c>
      <c r="T8" s="169" t="s">
        <v>1464</v>
      </c>
      <c r="U8" s="169">
        <v>1</v>
      </c>
      <c r="V8" s="170">
        <v>2680064</v>
      </c>
      <c r="W8" s="170">
        <v>0</v>
      </c>
      <c r="X8" s="170" t="s">
        <v>1406</v>
      </c>
      <c r="Y8" s="169"/>
      <c r="Z8" s="169" t="s">
        <v>3563</v>
      </c>
      <c r="AA8" s="171">
        <v>45987</v>
      </c>
      <c r="AB8" s="169">
        <v>26</v>
      </c>
      <c r="AC8" s="169">
        <v>80064</v>
      </c>
      <c r="AD8" s="169">
        <v>57</v>
      </c>
      <c r="AE8" s="169" t="s">
        <v>1551</v>
      </c>
      <c r="AF8" s="169">
        <v>57</v>
      </c>
      <c r="AG8" s="169" t="s">
        <v>1552</v>
      </c>
      <c r="AH8" s="169" t="s">
        <v>36</v>
      </c>
      <c r="AI8" s="169" t="s">
        <v>51</v>
      </c>
      <c r="AJ8" s="169">
        <v>428</v>
      </c>
      <c r="AK8" s="169" t="s">
        <v>1407</v>
      </c>
      <c r="AL8" s="169">
        <v>28137</v>
      </c>
      <c r="AM8" s="169" t="s">
        <v>1418</v>
      </c>
      <c r="AN8" s="169" t="s">
        <v>1609</v>
      </c>
      <c r="AO8" s="169">
        <v>28</v>
      </c>
      <c r="AP8" s="169" t="s">
        <v>1416</v>
      </c>
      <c r="AQ8" s="169">
        <v>0</v>
      </c>
      <c r="AR8" s="169" t="s">
        <v>1410</v>
      </c>
      <c r="AS8" s="169"/>
      <c r="AT8" s="169" t="s">
        <v>1417</v>
      </c>
      <c r="AU8" s="169" t="s">
        <v>1412</v>
      </c>
    </row>
    <row r="9" spans="1:47" x14ac:dyDescent="0.45">
      <c r="A9" s="169">
        <v>2605700008</v>
      </c>
      <c r="B9" s="169">
        <v>57</v>
      </c>
      <c r="C9" s="169" t="s">
        <v>1551</v>
      </c>
      <c r="D9" s="169">
        <v>57</v>
      </c>
      <c r="E9" s="169" t="s">
        <v>1552</v>
      </c>
      <c r="F9" s="169" t="s">
        <v>3577</v>
      </c>
      <c r="G9" s="169" t="s">
        <v>3578</v>
      </c>
      <c r="H9" s="169">
        <v>1</v>
      </c>
      <c r="I9" s="169" t="s">
        <v>66</v>
      </c>
      <c r="J9" s="169" t="s">
        <v>1403</v>
      </c>
      <c r="K9" s="169">
        <v>2026</v>
      </c>
      <c r="L9" s="170">
        <v>2026</v>
      </c>
      <c r="M9" s="171">
        <v>45974</v>
      </c>
      <c r="N9" s="169" t="s">
        <v>36</v>
      </c>
      <c r="O9" s="169">
        <v>58</v>
      </c>
      <c r="P9" s="169">
        <v>428</v>
      </c>
      <c r="Q9" s="169" t="s">
        <v>1463</v>
      </c>
      <c r="R9" s="169">
        <v>2</v>
      </c>
      <c r="S9" s="169">
        <v>2</v>
      </c>
      <c r="T9" s="169" t="s">
        <v>1464</v>
      </c>
      <c r="U9" s="169">
        <v>1</v>
      </c>
      <c r="V9" s="170">
        <v>2680088</v>
      </c>
      <c r="W9" s="170">
        <v>0</v>
      </c>
      <c r="X9" s="170" t="s">
        <v>1406</v>
      </c>
      <c r="Y9" s="169"/>
      <c r="Z9" s="169" t="s">
        <v>3563</v>
      </c>
      <c r="AA9" s="171">
        <v>46008</v>
      </c>
      <c r="AB9" s="169">
        <v>26</v>
      </c>
      <c r="AC9" s="169">
        <v>80088</v>
      </c>
      <c r="AD9" s="169">
        <v>57</v>
      </c>
      <c r="AE9" s="169" t="s">
        <v>1551</v>
      </c>
      <c r="AF9" s="169">
        <v>57</v>
      </c>
      <c r="AG9" s="169" t="s">
        <v>1552</v>
      </c>
      <c r="AH9" s="169" t="s">
        <v>36</v>
      </c>
      <c r="AI9" s="169">
        <v>58</v>
      </c>
      <c r="AJ9" s="169">
        <v>428</v>
      </c>
      <c r="AK9" s="169" t="s">
        <v>1407</v>
      </c>
      <c r="AL9" s="169">
        <v>28185</v>
      </c>
      <c r="AM9" s="169" t="s">
        <v>1418</v>
      </c>
      <c r="AN9" s="169" t="s">
        <v>1438</v>
      </c>
      <c r="AO9" s="169">
        <v>28</v>
      </c>
      <c r="AP9" s="169" t="s">
        <v>1416</v>
      </c>
      <c r="AQ9" s="169">
        <v>0</v>
      </c>
      <c r="AR9" s="169" t="s">
        <v>1410</v>
      </c>
      <c r="AS9" s="169"/>
      <c r="AT9" s="169" t="s">
        <v>1417</v>
      </c>
      <c r="AU9" s="169" t="s">
        <v>1412</v>
      </c>
    </row>
    <row r="10" spans="1:47" x14ac:dyDescent="0.45">
      <c r="A10" s="169">
        <v>2605700009</v>
      </c>
      <c r="B10" s="169">
        <v>57</v>
      </c>
      <c r="C10" s="169" t="s">
        <v>1551</v>
      </c>
      <c r="D10" s="169">
        <v>57</v>
      </c>
      <c r="E10" s="169" t="s">
        <v>1552</v>
      </c>
      <c r="F10" s="169" t="s">
        <v>3579</v>
      </c>
      <c r="G10" s="169" t="s">
        <v>3580</v>
      </c>
      <c r="H10" s="169">
        <v>1</v>
      </c>
      <c r="I10" s="169" t="s">
        <v>3581</v>
      </c>
      <c r="J10" s="169" t="s">
        <v>1403</v>
      </c>
      <c r="K10" s="169">
        <v>2026</v>
      </c>
      <c r="L10" s="170">
        <v>2026</v>
      </c>
      <c r="M10" s="171">
        <v>45974</v>
      </c>
      <c r="N10" s="169" t="s">
        <v>36</v>
      </c>
      <c r="O10" s="169">
        <v>7</v>
      </c>
      <c r="P10" s="169">
        <v>266</v>
      </c>
      <c r="Q10" s="169" t="s">
        <v>1526</v>
      </c>
      <c r="R10" s="169">
        <v>2</v>
      </c>
      <c r="S10" s="169">
        <v>1</v>
      </c>
      <c r="T10" s="169" t="s">
        <v>1527</v>
      </c>
      <c r="U10" s="169">
        <v>3</v>
      </c>
      <c r="V10" s="170">
        <v>2680069</v>
      </c>
      <c r="W10" s="170">
        <v>0</v>
      </c>
      <c r="X10" s="170" t="s">
        <v>1406</v>
      </c>
      <c r="Y10" s="169"/>
      <c r="Z10" s="169" t="s">
        <v>3563</v>
      </c>
      <c r="AA10" s="171">
        <v>45989</v>
      </c>
      <c r="AB10" s="169">
        <v>26</v>
      </c>
      <c r="AC10" s="169">
        <v>80069</v>
      </c>
      <c r="AD10" s="169">
        <v>57</v>
      </c>
      <c r="AE10" s="169" t="s">
        <v>1551</v>
      </c>
      <c r="AF10" s="169">
        <v>57</v>
      </c>
      <c r="AG10" s="169" t="s">
        <v>1552</v>
      </c>
      <c r="AH10" s="169" t="s">
        <v>36</v>
      </c>
      <c r="AI10" s="169">
        <v>7</v>
      </c>
      <c r="AJ10" s="169">
        <v>266</v>
      </c>
      <c r="AK10" s="169" t="s">
        <v>1407</v>
      </c>
      <c r="AL10" s="169">
        <v>28282</v>
      </c>
      <c r="AM10" s="169" t="s">
        <v>1414</v>
      </c>
      <c r="AN10" s="169" t="s">
        <v>1572</v>
      </c>
      <c r="AO10" s="169">
        <v>28</v>
      </c>
      <c r="AP10" s="169" t="s">
        <v>1416</v>
      </c>
      <c r="AQ10" s="169">
        <v>0</v>
      </c>
      <c r="AR10" s="169" t="s">
        <v>1410</v>
      </c>
      <c r="AS10" s="169"/>
      <c r="AT10" s="169" t="s">
        <v>1417</v>
      </c>
      <c r="AU10" s="169" t="s">
        <v>1412</v>
      </c>
    </row>
    <row r="11" spans="1:47" x14ac:dyDescent="0.45">
      <c r="A11" s="169">
        <v>2605700010</v>
      </c>
      <c r="B11" s="169">
        <v>57</v>
      </c>
      <c r="C11" s="169" t="s">
        <v>1551</v>
      </c>
      <c r="D11" s="169">
        <v>57</v>
      </c>
      <c r="E11" s="169" t="s">
        <v>1552</v>
      </c>
      <c r="F11" s="169" t="s">
        <v>3582</v>
      </c>
      <c r="G11" s="169" t="s">
        <v>3583</v>
      </c>
      <c r="H11" s="169">
        <v>2</v>
      </c>
      <c r="I11" s="169" t="s">
        <v>3584</v>
      </c>
      <c r="J11" s="169" t="s">
        <v>1403</v>
      </c>
      <c r="K11" s="169">
        <v>2026</v>
      </c>
      <c r="L11" s="170">
        <v>2026</v>
      </c>
      <c r="M11" s="171">
        <v>45989</v>
      </c>
      <c r="N11" s="169" t="s">
        <v>36</v>
      </c>
      <c r="O11" s="169" t="s">
        <v>51</v>
      </c>
      <c r="P11" s="169">
        <v>857</v>
      </c>
      <c r="Q11" s="169" t="s">
        <v>1481</v>
      </c>
      <c r="R11" s="169">
        <v>1</v>
      </c>
      <c r="S11" s="169">
        <v>2</v>
      </c>
      <c r="T11" s="169" t="s">
        <v>1464</v>
      </c>
      <c r="U11" s="169">
        <v>1</v>
      </c>
      <c r="V11" s="170">
        <v>2680138</v>
      </c>
      <c r="W11" s="170">
        <v>0</v>
      </c>
      <c r="X11" s="170" t="s">
        <v>1406</v>
      </c>
      <c r="Y11" s="169"/>
      <c r="Z11" s="169" t="s">
        <v>1424</v>
      </c>
      <c r="AA11" s="171">
        <v>46059</v>
      </c>
      <c r="AB11" s="169">
        <v>26</v>
      </c>
      <c r="AC11" s="169">
        <v>80138</v>
      </c>
      <c r="AD11" s="169">
        <v>57</v>
      </c>
      <c r="AE11" s="169" t="s">
        <v>1551</v>
      </c>
      <c r="AF11" s="169">
        <v>57</v>
      </c>
      <c r="AG11" s="169" t="s">
        <v>1552</v>
      </c>
      <c r="AH11" s="169" t="s">
        <v>36</v>
      </c>
      <c r="AI11" s="169" t="s">
        <v>51</v>
      </c>
      <c r="AJ11" s="169">
        <v>857</v>
      </c>
      <c r="AK11" s="169" t="s">
        <v>1407</v>
      </c>
      <c r="AL11" s="169">
        <v>28120</v>
      </c>
      <c r="AM11" s="169" t="s">
        <v>1418</v>
      </c>
      <c r="AN11" s="169" t="s">
        <v>1593</v>
      </c>
      <c r="AO11" s="169">
        <v>28</v>
      </c>
      <c r="AP11" s="169" t="s">
        <v>1416</v>
      </c>
      <c r="AQ11" s="169">
        <v>0</v>
      </c>
      <c r="AR11" s="169" t="s">
        <v>1410</v>
      </c>
      <c r="AS11" s="169"/>
      <c r="AT11" s="169" t="s">
        <v>1417</v>
      </c>
      <c r="AU11" s="169" t="s">
        <v>1412</v>
      </c>
    </row>
    <row r="12" spans="1:47" x14ac:dyDescent="0.45">
      <c r="A12" s="169">
        <v>2605700012</v>
      </c>
      <c r="B12" s="169">
        <v>57</v>
      </c>
      <c r="C12" s="169" t="s">
        <v>1551</v>
      </c>
      <c r="D12" s="169">
        <v>57</v>
      </c>
      <c r="E12" s="169" t="s">
        <v>1552</v>
      </c>
      <c r="F12" s="169" t="s">
        <v>3585</v>
      </c>
      <c r="G12" s="169" t="s">
        <v>3586</v>
      </c>
      <c r="H12" s="169">
        <v>1</v>
      </c>
      <c r="I12" s="169" t="s">
        <v>3103</v>
      </c>
      <c r="J12" s="169" t="s">
        <v>1403</v>
      </c>
      <c r="K12" s="169">
        <v>0</v>
      </c>
      <c r="L12" s="170">
        <v>2026</v>
      </c>
      <c r="M12" s="171">
        <v>45996</v>
      </c>
      <c r="N12" s="169" t="s">
        <v>36</v>
      </c>
      <c r="O12" s="169" t="s">
        <v>3553</v>
      </c>
      <c r="P12" s="169">
        <v>95</v>
      </c>
      <c r="Q12" s="169" t="s">
        <v>3554</v>
      </c>
      <c r="R12" s="169">
        <v>1</v>
      </c>
      <c r="S12" s="169">
        <v>37</v>
      </c>
      <c r="T12" s="169" t="s">
        <v>3548</v>
      </c>
      <c r="U12" s="169">
        <v>28</v>
      </c>
      <c r="V12" s="170">
        <v>2680081</v>
      </c>
      <c r="W12" s="170">
        <v>0</v>
      </c>
      <c r="X12" s="170" t="s">
        <v>1406</v>
      </c>
      <c r="Y12" s="169"/>
      <c r="Z12" s="169" t="s">
        <v>3587</v>
      </c>
      <c r="AA12" s="171">
        <v>46006</v>
      </c>
      <c r="AB12" s="169">
        <v>26</v>
      </c>
      <c r="AC12" s="169">
        <v>80081</v>
      </c>
      <c r="AD12" s="169">
        <v>57</v>
      </c>
      <c r="AE12" s="169" t="s">
        <v>1551</v>
      </c>
      <c r="AF12" s="169">
        <v>57</v>
      </c>
      <c r="AG12" s="169" t="s">
        <v>1552</v>
      </c>
      <c r="AH12" s="169" t="s">
        <v>36</v>
      </c>
      <c r="AI12" s="169" t="s">
        <v>3553</v>
      </c>
      <c r="AJ12" s="169">
        <v>95</v>
      </c>
      <c r="AK12" s="169" t="s">
        <v>1407</v>
      </c>
      <c r="AL12" s="169">
        <v>28030</v>
      </c>
      <c r="AM12" s="169" t="s">
        <v>1418</v>
      </c>
      <c r="AN12" s="169" t="s">
        <v>1566</v>
      </c>
      <c r="AO12" s="169">
        <v>28</v>
      </c>
      <c r="AP12" s="169" t="s">
        <v>1416</v>
      </c>
      <c r="AQ12" s="169">
        <v>0</v>
      </c>
      <c r="AR12" s="169" t="s">
        <v>1410</v>
      </c>
      <c r="AS12" s="169"/>
      <c r="AT12" s="169" t="s">
        <v>1411</v>
      </c>
      <c r="AU12" s="169" t="s">
        <v>1412</v>
      </c>
    </row>
    <row r="13" spans="1:47" x14ac:dyDescent="0.45">
      <c r="A13" s="169">
        <v>2605700013</v>
      </c>
      <c r="B13" s="169">
        <v>57</v>
      </c>
      <c r="C13" s="169" t="s">
        <v>1551</v>
      </c>
      <c r="D13" s="169">
        <v>57</v>
      </c>
      <c r="E13" s="169" t="s">
        <v>1552</v>
      </c>
      <c r="F13" s="169" t="s">
        <v>3588</v>
      </c>
      <c r="G13" s="169" t="s">
        <v>3589</v>
      </c>
      <c r="H13" s="169">
        <v>1</v>
      </c>
      <c r="I13" s="169" t="s">
        <v>3590</v>
      </c>
      <c r="J13" s="169" t="s">
        <v>1403</v>
      </c>
      <c r="K13" s="169">
        <v>2026</v>
      </c>
      <c r="L13" s="170">
        <v>2026</v>
      </c>
      <c r="M13" s="171">
        <v>46001</v>
      </c>
      <c r="N13" s="169" t="s">
        <v>36</v>
      </c>
      <c r="O13" s="169" t="s">
        <v>51</v>
      </c>
      <c r="P13" s="169">
        <v>428</v>
      </c>
      <c r="Q13" s="169" t="s">
        <v>1463</v>
      </c>
      <c r="R13" s="169">
        <v>1</v>
      </c>
      <c r="S13" s="169">
        <v>2</v>
      </c>
      <c r="T13" s="169" t="s">
        <v>1464</v>
      </c>
      <c r="U13" s="169">
        <v>1</v>
      </c>
      <c r="V13" s="170">
        <v>2680141</v>
      </c>
      <c r="W13" s="170">
        <v>0</v>
      </c>
      <c r="X13" s="170" t="s">
        <v>1406</v>
      </c>
      <c r="Y13" s="169"/>
      <c r="Z13" s="169" t="s">
        <v>3563</v>
      </c>
      <c r="AA13" s="171">
        <v>46065</v>
      </c>
      <c r="AB13" s="169">
        <v>26</v>
      </c>
      <c r="AC13" s="169">
        <v>80141</v>
      </c>
      <c r="AD13" s="169">
        <v>57</v>
      </c>
      <c r="AE13" s="169" t="s">
        <v>1551</v>
      </c>
      <c r="AF13" s="169">
        <v>57</v>
      </c>
      <c r="AG13" s="169" t="s">
        <v>1552</v>
      </c>
      <c r="AH13" s="169" t="s">
        <v>36</v>
      </c>
      <c r="AI13" s="169" t="s">
        <v>51</v>
      </c>
      <c r="AJ13" s="169">
        <v>428</v>
      </c>
      <c r="AK13" s="169" t="s">
        <v>1407</v>
      </c>
      <c r="AL13" s="169">
        <v>28120</v>
      </c>
      <c r="AM13" s="169" t="s">
        <v>1418</v>
      </c>
      <c r="AN13" s="169" t="s">
        <v>1593</v>
      </c>
      <c r="AO13" s="169">
        <v>28</v>
      </c>
      <c r="AP13" s="169" t="s">
        <v>1416</v>
      </c>
      <c r="AQ13" s="169">
        <v>0</v>
      </c>
      <c r="AR13" s="169" t="s">
        <v>1410</v>
      </c>
      <c r="AS13" s="169"/>
      <c r="AT13" s="169" t="s">
        <v>1417</v>
      </c>
      <c r="AU13" s="169" t="s">
        <v>1412</v>
      </c>
    </row>
    <row r="14" spans="1:47" x14ac:dyDescent="0.45">
      <c r="A14" s="169">
        <v>2605700014</v>
      </c>
      <c r="B14" s="169">
        <v>57</v>
      </c>
      <c r="C14" s="169" t="s">
        <v>1551</v>
      </c>
      <c r="D14" s="169">
        <v>57</v>
      </c>
      <c r="E14" s="169" t="s">
        <v>1552</v>
      </c>
      <c r="F14" s="169" t="s">
        <v>3591</v>
      </c>
      <c r="G14" s="169" t="s">
        <v>3592</v>
      </c>
      <c r="H14" s="169">
        <v>2</v>
      </c>
      <c r="I14" s="169" t="s">
        <v>3593</v>
      </c>
      <c r="J14" s="169" t="s">
        <v>1403</v>
      </c>
      <c r="K14" s="169">
        <v>0</v>
      </c>
      <c r="L14" s="170">
        <v>2026</v>
      </c>
      <c r="M14" s="171">
        <v>46027</v>
      </c>
      <c r="N14" s="169" t="s">
        <v>36</v>
      </c>
      <c r="O14" s="169">
        <v>7</v>
      </c>
      <c r="P14" s="169">
        <v>266</v>
      </c>
      <c r="Q14" s="169" t="s">
        <v>1526</v>
      </c>
      <c r="R14" s="169">
        <v>2</v>
      </c>
      <c r="S14" s="169">
        <v>1</v>
      </c>
      <c r="T14" s="169" t="s">
        <v>1527</v>
      </c>
      <c r="U14" s="169">
        <v>3</v>
      </c>
      <c r="V14" s="170">
        <v>2680130</v>
      </c>
      <c r="W14" s="170">
        <v>0</v>
      </c>
      <c r="X14" s="170" t="s">
        <v>1406</v>
      </c>
      <c r="Y14" s="169"/>
      <c r="Z14" s="169" t="s">
        <v>1407</v>
      </c>
      <c r="AA14" s="171">
        <v>46041</v>
      </c>
      <c r="AB14" s="169">
        <v>26</v>
      </c>
      <c r="AC14" s="169">
        <v>80130</v>
      </c>
      <c r="AD14" s="169">
        <v>57</v>
      </c>
      <c r="AE14" s="169" t="s">
        <v>1551</v>
      </c>
      <c r="AF14" s="169">
        <v>57</v>
      </c>
      <c r="AG14" s="169" t="s">
        <v>1552</v>
      </c>
      <c r="AH14" s="169" t="s">
        <v>36</v>
      </c>
      <c r="AI14" s="169">
        <v>7</v>
      </c>
      <c r="AJ14" s="169">
        <v>266</v>
      </c>
      <c r="AK14" s="169" t="s">
        <v>1407</v>
      </c>
      <c r="AL14" s="169">
        <v>28198</v>
      </c>
      <c r="AM14" s="169" t="s">
        <v>1418</v>
      </c>
      <c r="AN14" s="169" t="s">
        <v>2808</v>
      </c>
      <c r="AO14" s="169">
        <v>28</v>
      </c>
      <c r="AP14" s="169" t="s">
        <v>1416</v>
      </c>
      <c r="AQ14" s="169">
        <v>0</v>
      </c>
      <c r="AR14" s="169" t="s">
        <v>1410</v>
      </c>
      <c r="AS14" s="169"/>
      <c r="AT14" s="169" t="s">
        <v>1411</v>
      </c>
      <c r="AU14" s="169" t="s">
        <v>1412</v>
      </c>
    </row>
    <row r="15" spans="1:47" x14ac:dyDescent="0.45">
      <c r="A15" s="169">
        <v>2605700015</v>
      </c>
      <c r="B15" s="169">
        <v>57</v>
      </c>
      <c r="C15" s="169" t="s">
        <v>1551</v>
      </c>
      <c r="D15" s="169">
        <v>57</v>
      </c>
      <c r="E15" s="169" t="s">
        <v>1552</v>
      </c>
      <c r="F15" s="169" t="s">
        <v>3594</v>
      </c>
      <c r="G15" s="169" t="s">
        <v>3595</v>
      </c>
      <c r="H15" s="169">
        <v>2</v>
      </c>
      <c r="I15" s="169" t="s">
        <v>3596</v>
      </c>
      <c r="J15" s="169" t="s">
        <v>1403</v>
      </c>
      <c r="K15" s="169">
        <v>2026</v>
      </c>
      <c r="L15" s="170">
        <v>2026</v>
      </c>
      <c r="M15" s="171">
        <v>46030</v>
      </c>
      <c r="N15" s="169" t="s">
        <v>36</v>
      </c>
      <c r="O15" s="169">
        <v>58</v>
      </c>
      <c r="P15" s="169">
        <v>290</v>
      </c>
      <c r="Q15" s="169" t="s">
        <v>1496</v>
      </c>
      <c r="R15" s="169">
        <v>2</v>
      </c>
      <c r="S15" s="169">
        <v>2</v>
      </c>
      <c r="T15" s="169" t="s">
        <v>1464</v>
      </c>
      <c r="U15" s="169">
        <v>1</v>
      </c>
      <c r="V15" s="170">
        <v>0</v>
      </c>
      <c r="W15" s="170">
        <v>0</v>
      </c>
      <c r="X15" s="170" t="s">
        <v>1406</v>
      </c>
      <c r="Y15" s="169"/>
      <c r="Z15" s="169" t="s">
        <v>1407</v>
      </c>
      <c r="AA15" s="169"/>
      <c r="AB15" s="169">
        <v>0</v>
      </c>
      <c r="AC15" s="169">
        <v>0</v>
      </c>
      <c r="AD15" s="169">
        <v>0</v>
      </c>
      <c r="AE15" s="169" t="s">
        <v>1446</v>
      </c>
      <c r="AF15" s="169"/>
      <c r="AG15" s="169" t="s">
        <v>1446</v>
      </c>
      <c r="AH15" s="169"/>
      <c r="AI15" s="169"/>
      <c r="AJ15" s="169">
        <v>0</v>
      </c>
      <c r="AK15" s="169" t="s">
        <v>1410</v>
      </c>
      <c r="AL15" s="169">
        <v>28210</v>
      </c>
      <c r="AM15" s="169" t="s">
        <v>1418</v>
      </c>
      <c r="AN15" s="169" t="s">
        <v>1617</v>
      </c>
      <c r="AO15" s="169">
        <v>28</v>
      </c>
      <c r="AP15" s="169" t="s">
        <v>1416</v>
      </c>
      <c r="AQ15" s="169">
        <v>0</v>
      </c>
      <c r="AR15" s="169" t="s">
        <v>1410</v>
      </c>
      <c r="AS15" s="169"/>
      <c r="AT15" s="169" t="s">
        <v>1417</v>
      </c>
      <c r="AU15" s="169" t="s">
        <v>1412</v>
      </c>
    </row>
    <row r="16" spans="1:47" x14ac:dyDescent="0.45">
      <c r="A16" s="169">
        <v>2605700016</v>
      </c>
      <c r="B16" s="169">
        <v>57</v>
      </c>
      <c r="C16" s="169" t="s">
        <v>1551</v>
      </c>
      <c r="D16" s="169">
        <v>57</v>
      </c>
      <c r="E16" s="169" t="s">
        <v>1552</v>
      </c>
      <c r="F16" s="169" t="s">
        <v>3597</v>
      </c>
      <c r="G16" s="169" t="s">
        <v>3598</v>
      </c>
      <c r="H16" s="169">
        <v>1</v>
      </c>
      <c r="I16" s="169" t="s">
        <v>3599</v>
      </c>
      <c r="J16" s="169" t="s">
        <v>1403</v>
      </c>
      <c r="K16" s="169">
        <v>0</v>
      </c>
      <c r="L16" s="170">
        <v>2026</v>
      </c>
      <c r="M16" s="171">
        <v>46031</v>
      </c>
      <c r="N16" s="169" t="s">
        <v>36</v>
      </c>
      <c r="O16" s="169" t="s">
        <v>51</v>
      </c>
      <c r="P16" s="169">
        <v>56</v>
      </c>
      <c r="Q16" s="169" t="s">
        <v>3600</v>
      </c>
      <c r="R16" s="169">
        <v>1</v>
      </c>
      <c r="S16" s="169">
        <v>36</v>
      </c>
      <c r="T16" s="169" t="s">
        <v>3601</v>
      </c>
      <c r="U16" s="169">
        <v>27</v>
      </c>
      <c r="V16" s="170">
        <v>2680133</v>
      </c>
      <c r="W16" s="170">
        <v>0</v>
      </c>
      <c r="X16" s="170" t="s">
        <v>1406</v>
      </c>
      <c r="Y16" s="169"/>
      <c r="Z16" s="169" t="s">
        <v>3587</v>
      </c>
      <c r="AA16" s="171">
        <v>46049</v>
      </c>
      <c r="AB16" s="169">
        <v>26</v>
      </c>
      <c r="AC16" s="169">
        <v>80133</v>
      </c>
      <c r="AD16" s="169">
        <v>57</v>
      </c>
      <c r="AE16" s="169" t="s">
        <v>1551</v>
      </c>
      <c r="AF16" s="169">
        <v>57</v>
      </c>
      <c r="AG16" s="169" t="s">
        <v>1552</v>
      </c>
      <c r="AH16" s="169" t="s">
        <v>36</v>
      </c>
      <c r="AI16" s="169" t="s">
        <v>51</v>
      </c>
      <c r="AJ16" s="169">
        <v>56</v>
      </c>
      <c r="AK16" s="169" t="s">
        <v>1407</v>
      </c>
      <c r="AL16" s="169">
        <v>28033</v>
      </c>
      <c r="AM16" s="169" t="s">
        <v>1418</v>
      </c>
      <c r="AN16" s="169" t="s">
        <v>1604</v>
      </c>
      <c r="AO16" s="169">
        <v>28</v>
      </c>
      <c r="AP16" s="169" t="s">
        <v>1416</v>
      </c>
      <c r="AQ16" s="169">
        <v>0</v>
      </c>
      <c r="AR16" s="169" t="s">
        <v>1410</v>
      </c>
      <c r="AS16" s="169"/>
      <c r="AT16" s="169" t="s">
        <v>1411</v>
      </c>
      <c r="AU16" s="169" t="s">
        <v>1412</v>
      </c>
    </row>
    <row r="17" spans="1:47" x14ac:dyDescent="0.45">
      <c r="A17" s="169">
        <v>2605700017</v>
      </c>
      <c r="B17" s="169">
        <v>57</v>
      </c>
      <c r="C17" s="169" t="s">
        <v>1551</v>
      </c>
      <c r="D17" s="169">
        <v>57</v>
      </c>
      <c r="E17" s="169" t="s">
        <v>1552</v>
      </c>
      <c r="F17" s="169" t="s">
        <v>3602</v>
      </c>
      <c r="G17" s="169" t="s">
        <v>3603</v>
      </c>
      <c r="H17" s="169">
        <v>1</v>
      </c>
      <c r="I17" s="169" t="s">
        <v>3604</v>
      </c>
      <c r="J17" s="169" t="s">
        <v>1403</v>
      </c>
      <c r="K17" s="169">
        <v>2026</v>
      </c>
      <c r="L17" s="170">
        <v>2026</v>
      </c>
      <c r="M17" s="171">
        <v>46033</v>
      </c>
      <c r="N17" s="169" t="s">
        <v>36</v>
      </c>
      <c r="O17" s="169" t="s">
        <v>135</v>
      </c>
      <c r="P17" s="169">
        <v>502</v>
      </c>
      <c r="Q17" s="169" t="s">
        <v>1500</v>
      </c>
      <c r="R17" s="169">
        <v>2</v>
      </c>
      <c r="S17" s="169">
        <v>5</v>
      </c>
      <c r="T17" s="169" t="s">
        <v>1470</v>
      </c>
      <c r="U17" s="169">
        <v>15</v>
      </c>
      <c r="V17" s="170">
        <v>2680135</v>
      </c>
      <c r="W17" s="170">
        <v>0</v>
      </c>
      <c r="X17" s="170" t="s">
        <v>1406</v>
      </c>
      <c r="Y17" s="169"/>
      <c r="Z17" s="169" t="s">
        <v>1424</v>
      </c>
      <c r="AA17" s="171">
        <v>46050</v>
      </c>
      <c r="AB17" s="169">
        <v>26</v>
      </c>
      <c r="AC17" s="169">
        <v>80135</v>
      </c>
      <c r="AD17" s="169">
        <v>57</v>
      </c>
      <c r="AE17" s="169" t="s">
        <v>1551</v>
      </c>
      <c r="AF17" s="169">
        <v>57</v>
      </c>
      <c r="AG17" s="169" t="s">
        <v>1552</v>
      </c>
      <c r="AH17" s="169" t="s">
        <v>36</v>
      </c>
      <c r="AI17" s="169" t="s">
        <v>135</v>
      </c>
      <c r="AJ17" s="169">
        <v>502</v>
      </c>
      <c r="AK17" s="169" t="s">
        <v>1407</v>
      </c>
      <c r="AL17" s="169">
        <v>28180</v>
      </c>
      <c r="AM17" s="169" t="s">
        <v>1418</v>
      </c>
      <c r="AN17" s="169" t="s">
        <v>3033</v>
      </c>
      <c r="AO17" s="169">
        <v>28</v>
      </c>
      <c r="AP17" s="169" t="s">
        <v>1416</v>
      </c>
      <c r="AQ17" s="169">
        <v>0</v>
      </c>
      <c r="AR17" s="169" t="s">
        <v>1410</v>
      </c>
      <c r="AS17" s="169"/>
      <c r="AT17" s="169" t="s">
        <v>1417</v>
      </c>
      <c r="AU17" s="169" t="s">
        <v>1412</v>
      </c>
    </row>
    <row r="18" spans="1:47" x14ac:dyDescent="0.45">
      <c r="A18" s="169">
        <v>2605700018</v>
      </c>
      <c r="B18" s="169">
        <v>57</v>
      </c>
      <c r="C18" s="169" t="s">
        <v>1551</v>
      </c>
      <c r="D18" s="169">
        <v>57</v>
      </c>
      <c r="E18" s="169" t="s">
        <v>1552</v>
      </c>
      <c r="F18" s="169" t="s">
        <v>3605</v>
      </c>
      <c r="G18" s="169" t="s">
        <v>3606</v>
      </c>
      <c r="H18" s="169">
        <v>1</v>
      </c>
      <c r="I18" s="169" t="s">
        <v>3607</v>
      </c>
      <c r="J18" s="169" t="s">
        <v>1511</v>
      </c>
      <c r="K18" s="169">
        <v>2026</v>
      </c>
      <c r="L18" s="170">
        <v>2026</v>
      </c>
      <c r="M18" s="171">
        <v>46037</v>
      </c>
      <c r="N18" s="169" t="s">
        <v>36</v>
      </c>
      <c r="O18" s="169">
        <v>58</v>
      </c>
      <c r="P18" s="169">
        <v>428</v>
      </c>
      <c r="Q18" s="169" t="s">
        <v>1463</v>
      </c>
      <c r="R18" s="169">
        <v>2</v>
      </c>
      <c r="S18" s="169">
        <v>2</v>
      </c>
      <c r="T18" s="169" t="s">
        <v>1464</v>
      </c>
      <c r="U18" s="169">
        <v>1</v>
      </c>
      <c r="V18" s="170">
        <v>0</v>
      </c>
      <c r="W18" s="170">
        <v>0</v>
      </c>
      <c r="X18" s="170" t="s">
        <v>1406</v>
      </c>
      <c r="Y18" s="169"/>
      <c r="Z18" s="169" t="s">
        <v>1407</v>
      </c>
      <c r="AA18" s="169"/>
      <c r="AB18" s="169">
        <v>0</v>
      </c>
      <c r="AC18" s="169">
        <v>0</v>
      </c>
      <c r="AD18" s="169">
        <v>0</v>
      </c>
      <c r="AE18" s="169" t="s">
        <v>1446</v>
      </c>
      <c r="AF18" s="169"/>
      <c r="AG18" s="169" t="s">
        <v>1446</v>
      </c>
      <c r="AH18" s="169"/>
      <c r="AI18" s="169"/>
      <c r="AJ18" s="169">
        <v>0</v>
      </c>
      <c r="AK18" s="169" t="s">
        <v>1410</v>
      </c>
      <c r="AL18" s="169">
        <v>26069</v>
      </c>
      <c r="AM18" s="169" t="s">
        <v>1512</v>
      </c>
      <c r="AN18" s="169" t="s">
        <v>3608</v>
      </c>
      <c r="AO18" s="169">
        <v>26</v>
      </c>
      <c r="AP18" s="169" t="s">
        <v>1514</v>
      </c>
      <c r="AQ18" s="169">
        <v>0</v>
      </c>
      <c r="AR18" s="169" t="s">
        <v>1410</v>
      </c>
      <c r="AS18" s="169"/>
      <c r="AT18" s="169" t="s">
        <v>1417</v>
      </c>
      <c r="AU18" s="169" t="s">
        <v>1412</v>
      </c>
    </row>
    <row r="19" spans="1:47" x14ac:dyDescent="0.45">
      <c r="A19" s="169">
        <v>2605700019</v>
      </c>
      <c r="B19" s="169">
        <v>57</v>
      </c>
      <c r="C19" s="169" t="s">
        <v>1551</v>
      </c>
      <c r="D19" s="169">
        <v>57</v>
      </c>
      <c r="E19" s="169" t="s">
        <v>1552</v>
      </c>
      <c r="F19" s="169" t="s">
        <v>3609</v>
      </c>
      <c r="G19" s="169" t="s">
        <v>3610</v>
      </c>
      <c r="H19" s="169">
        <v>2</v>
      </c>
      <c r="I19" s="169" t="s">
        <v>3611</v>
      </c>
      <c r="J19" s="169" t="s">
        <v>1403</v>
      </c>
      <c r="K19" s="169">
        <v>2026</v>
      </c>
      <c r="L19" s="170">
        <v>2026</v>
      </c>
      <c r="M19" s="171">
        <v>46043</v>
      </c>
      <c r="N19" s="169" t="s">
        <v>36</v>
      </c>
      <c r="O19" s="169">
        <v>58</v>
      </c>
      <c r="P19" s="169">
        <v>857</v>
      </c>
      <c r="Q19" s="169" t="s">
        <v>1481</v>
      </c>
      <c r="R19" s="169">
        <v>2</v>
      </c>
      <c r="S19" s="169">
        <v>2</v>
      </c>
      <c r="T19" s="169" t="s">
        <v>1464</v>
      </c>
      <c r="U19" s="169">
        <v>1</v>
      </c>
      <c r="V19" s="170">
        <v>2680136</v>
      </c>
      <c r="W19" s="170">
        <v>0</v>
      </c>
      <c r="X19" s="170" t="s">
        <v>1406</v>
      </c>
      <c r="Y19" s="169"/>
      <c r="Z19" s="169" t="s">
        <v>1424</v>
      </c>
      <c r="AA19" s="171">
        <v>46057</v>
      </c>
      <c r="AB19" s="169">
        <v>26</v>
      </c>
      <c r="AC19" s="169">
        <v>80136</v>
      </c>
      <c r="AD19" s="169">
        <v>57</v>
      </c>
      <c r="AE19" s="169" t="s">
        <v>1551</v>
      </c>
      <c r="AF19" s="169">
        <v>57</v>
      </c>
      <c r="AG19" s="169" t="s">
        <v>1552</v>
      </c>
      <c r="AH19" s="169" t="s">
        <v>36</v>
      </c>
      <c r="AI19" s="169">
        <v>58</v>
      </c>
      <c r="AJ19" s="169">
        <v>857</v>
      </c>
      <c r="AK19" s="169" t="s">
        <v>1407</v>
      </c>
      <c r="AL19" s="169">
        <v>28150</v>
      </c>
      <c r="AM19" s="169" t="s">
        <v>1418</v>
      </c>
      <c r="AN19" s="169" t="s">
        <v>1620</v>
      </c>
      <c r="AO19" s="169">
        <v>28</v>
      </c>
      <c r="AP19" s="169" t="s">
        <v>1416</v>
      </c>
      <c r="AQ19" s="169">
        <v>0</v>
      </c>
      <c r="AR19" s="169" t="s">
        <v>1410</v>
      </c>
      <c r="AS19" s="169"/>
      <c r="AT19" s="169" t="s">
        <v>1417</v>
      </c>
      <c r="AU19" s="169" t="s">
        <v>1412</v>
      </c>
    </row>
    <row r="20" spans="1:47" x14ac:dyDescent="0.45">
      <c r="A20" s="169">
        <v>2605700020</v>
      </c>
      <c r="B20" s="169">
        <v>57</v>
      </c>
      <c r="C20" s="169" t="s">
        <v>1551</v>
      </c>
      <c r="D20" s="169">
        <v>57</v>
      </c>
      <c r="E20" s="169" t="s">
        <v>1552</v>
      </c>
      <c r="F20" s="169" t="s">
        <v>3612</v>
      </c>
      <c r="G20" s="169" t="s">
        <v>3613</v>
      </c>
      <c r="H20" s="169">
        <v>1</v>
      </c>
      <c r="I20" s="169" t="s">
        <v>1131</v>
      </c>
      <c r="J20" s="169" t="s">
        <v>1403</v>
      </c>
      <c r="K20" s="169">
        <v>2026</v>
      </c>
      <c r="L20" s="170">
        <v>2026</v>
      </c>
      <c r="M20" s="171">
        <v>46046</v>
      </c>
      <c r="N20" s="169" t="s">
        <v>36</v>
      </c>
      <c r="O20" s="169">
        <v>58</v>
      </c>
      <c r="P20" s="169">
        <v>856</v>
      </c>
      <c r="Q20" s="169" t="s">
        <v>1533</v>
      </c>
      <c r="R20" s="169">
        <v>2</v>
      </c>
      <c r="S20" s="169">
        <v>2</v>
      </c>
      <c r="T20" s="169" t="s">
        <v>1464</v>
      </c>
      <c r="U20" s="169">
        <v>1</v>
      </c>
      <c r="V20" s="170">
        <v>2680140</v>
      </c>
      <c r="W20" s="170">
        <v>0</v>
      </c>
      <c r="X20" s="170" t="s">
        <v>1406</v>
      </c>
      <c r="Y20" s="169"/>
      <c r="Z20" s="169" t="s">
        <v>1424</v>
      </c>
      <c r="AA20" s="171">
        <v>46062</v>
      </c>
      <c r="AB20" s="169">
        <v>26</v>
      </c>
      <c r="AC20" s="169">
        <v>80140</v>
      </c>
      <c r="AD20" s="169">
        <v>57</v>
      </c>
      <c r="AE20" s="169" t="s">
        <v>1551</v>
      </c>
      <c r="AF20" s="169">
        <v>57</v>
      </c>
      <c r="AG20" s="169" t="s">
        <v>1552</v>
      </c>
      <c r="AH20" s="169" t="s">
        <v>36</v>
      </c>
      <c r="AI20" s="169">
        <v>58</v>
      </c>
      <c r="AJ20" s="169">
        <v>856</v>
      </c>
      <c r="AK20" s="169" t="s">
        <v>1407</v>
      </c>
      <c r="AL20" s="169">
        <v>28030</v>
      </c>
      <c r="AM20" s="169" t="s">
        <v>1418</v>
      </c>
      <c r="AN20" s="169" t="s">
        <v>1566</v>
      </c>
      <c r="AO20" s="169">
        <v>28</v>
      </c>
      <c r="AP20" s="169" t="s">
        <v>1416</v>
      </c>
      <c r="AQ20" s="169">
        <v>0</v>
      </c>
      <c r="AR20" s="169" t="s">
        <v>1410</v>
      </c>
      <c r="AS20" s="169"/>
      <c r="AT20" s="169" t="s">
        <v>1417</v>
      </c>
      <c r="AU20" s="169" t="s">
        <v>1412</v>
      </c>
    </row>
    <row r="21" spans="1:47" x14ac:dyDescent="0.45">
      <c r="A21" s="169">
        <v>2605700021</v>
      </c>
      <c r="B21" s="169">
        <v>57</v>
      </c>
      <c r="C21" s="169" t="s">
        <v>1551</v>
      </c>
      <c r="D21" s="169">
        <v>57</v>
      </c>
      <c r="E21" s="169" t="s">
        <v>1552</v>
      </c>
      <c r="F21" s="169" t="s">
        <v>3614</v>
      </c>
      <c r="G21" s="169" t="s">
        <v>3615</v>
      </c>
      <c r="H21" s="169">
        <v>1</v>
      </c>
      <c r="I21" s="169" t="s">
        <v>3616</v>
      </c>
      <c r="J21" s="169" t="s">
        <v>1403</v>
      </c>
      <c r="K21" s="169">
        <v>2026</v>
      </c>
      <c r="L21" s="170">
        <v>2026</v>
      </c>
      <c r="M21" s="171">
        <v>46046</v>
      </c>
      <c r="N21" s="169" t="s">
        <v>36</v>
      </c>
      <c r="O21" s="169">
        <v>58</v>
      </c>
      <c r="P21" s="169">
        <v>428</v>
      </c>
      <c r="Q21" s="169" t="s">
        <v>1463</v>
      </c>
      <c r="R21" s="169">
        <v>2</v>
      </c>
      <c r="S21" s="169">
        <v>2</v>
      </c>
      <c r="T21" s="169" t="s">
        <v>1464</v>
      </c>
      <c r="U21" s="169">
        <v>1</v>
      </c>
      <c r="V21" s="170">
        <v>2680139</v>
      </c>
      <c r="W21" s="170">
        <v>0</v>
      </c>
      <c r="X21" s="170" t="s">
        <v>1406</v>
      </c>
      <c r="Y21" s="169"/>
      <c r="Z21" s="169" t="s">
        <v>1407</v>
      </c>
      <c r="AA21" s="171">
        <v>46062</v>
      </c>
      <c r="AB21" s="169">
        <v>26</v>
      </c>
      <c r="AC21" s="169">
        <v>80139</v>
      </c>
      <c r="AD21" s="169">
        <v>57</v>
      </c>
      <c r="AE21" s="169" t="s">
        <v>1551</v>
      </c>
      <c r="AF21" s="169">
        <v>57</v>
      </c>
      <c r="AG21" s="169" t="s">
        <v>1552</v>
      </c>
      <c r="AH21" s="169" t="s">
        <v>36</v>
      </c>
      <c r="AI21" s="169">
        <v>58</v>
      </c>
      <c r="AJ21" s="169">
        <v>428</v>
      </c>
      <c r="AK21" s="169" t="s">
        <v>1407</v>
      </c>
      <c r="AL21" s="169">
        <v>28009</v>
      </c>
      <c r="AM21" s="169" t="s">
        <v>1418</v>
      </c>
      <c r="AN21" s="169" t="s">
        <v>1607</v>
      </c>
      <c r="AO21" s="169">
        <v>28</v>
      </c>
      <c r="AP21" s="169" t="s">
        <v>1416</v>
      </c>
      <c r="AQ21" s="169">
        <v>0</v>
      </c>
      <c r="AR21" s="169" t="s">
        <v>1410</v>
      </c>
      <c r="AS21" s="169"/>
      <c r="AT21" s="169" t="s">
        <v>1417</v>
      </c>
      <c r="AU21" s="169" t="s">
        <v>1412</v>
      </c>
    </row>
    <row r="22" spans="1:47" x14ac:dyDescent="0.45">
      <c r="A22" s="169">
        <v>2605700022</v>
      </c>
      <c r="B22" s="169">
        <v>57</v>
      </c>
      <c r="C22" s="169" t="s">
        <v>1551</v>
      </c>
      <c r="D22" s="169">
        <v>57</v>
      </c>
      <c r="E22" s="169" t="s">
        <v>1552</v>
      </c>
      <c r="F22" s="169" t="s">
        <v>3617</v>
      </c>
      <c r="G22" s="169" t="s">
        <v>3618</v>
      </c>
      <c r="H22" s="169">
        <v>2</v>
      </c>
      <c r="I22" s="169" t="s">
        <v>3619</v>
      </c>
      <c r="J22" s="169" t="s">
        <v>1403</v>
      </c>
      <c r="K22" s="169">
        <v>2026</v>
      </c>
      <c r="L22" s="170">
        <v>2026</v>
      </c>
      <c r="M22" s="171">
        <v>46046</v>
      </c>
      <c r="N22" s="169" t="s">
        <v>36</v>
      </c>
      <c r="O22" s="169">
        <v>57</v>
      </c>
      <c r="P22" s="169">
        <v>1775</v>
      </c>
      <c r="Q22" s="169" t="s">
        <v>3620</v>
      </c>
      <c r="R22" s="169">
        <v>2</v>
      </c>
      <c r="S22" s="169">
        <v>3</v>
      </c>
      <c r="T22" s="169" t="s">
        <v>1477</v>
      </c>
      <c r="U22" s="169">
        <v>4</v>
      </c>
      <c r="V22" s="170">
        <v>2680143</v>
      </c>
      <c r="W22" s="170">
        <v>0</v>
      </c>
      <c r="X22" s="170" t="s">
        <v>1406</v>
      </c>
      <c r="Y22" s="169"/>
      <c r="Z22" s="169" t="s">
        <v>1424</v>
      </c>
      <c r="AA22" s="171">
        <v>46065</v>
      </c>
      <c r="AB22" s="169">
        <v>26</v>
      </c>
      <c r="AC22" s="169">
        <v>80143</v>
      </c>
      <c r="AD22" s="169">
        <v>57</v>
      </c>
      <c r="AE22" s="169" t="s">
        <v>1551</v>
      </c>
      <c r="AF22" s="169">
        <v>57</v>
      </c>
      <c r="AG22" s="169" t="s">
        <v>1552</v>
      </c>
      <c r="AH22" s="169" t="s">
        <v>36</v>
      </c>
      <c r="AI22" s="169">
        <v>57</v>
      </c>
      <c r="AJ22" s="169">
        <v>1775</v>
      </c>
      <c r="AK22" s="169" t="s">
        <v>1407</v>
      </c>
      <c r="AL22" s="169">
        <v>28282</v>
      </c>
      <c r="AM22" s="169" t="s">
        <v>1414</v>
      </c>
      <c r="AN22" s="169" t="s">
        <v>1572</v>
      </c>
      <c r="AO22" s="169">
        <v>28</v>
      </c>
      <c r="AP22" s="169" t="s">
        <v>1416</v>
      </c>
      <c r="AQ22" s="169">
        <v>0</v>
      </c>
      <c r="AR22" s="169" t="s">
        <v>1410</v>
      </c>
      <c r="AS22" s="169"/>
      <c r="AT22" s="169" t="s">
        <v>1417</v>
      </c>
      <c r="AU22" s="169" t="s">
        <v>1412</v>
      </c>
    </row>
    <row r="23" spans="1:47" x14ac:dyDescent="0.45">
      <c r="A23" s="169">
        <v>2605700023</v>
      </c>
      <c r="B23" s="169">
        <v>57</v>
      </c>
      <c r="C23" s="169" t="s">
        <v>1551</v>
      </c>
      <c r="D23" s="169">
        <v>57</v>
      </c>
      <c r="E23" s="169" t="s">
        <v>1552</v>
      </c>
      <c r="F23" s="169" t="s">
        <v>3621</v>
      </c>
      <c r="G23" s="169" t="s">
        <v>3622</v>
      </c>
      <c r="H23" s="169">
        <v>2</v>
      </c>
      <c r="I23" s="169" t="s">
        <v>1363</v>
      </c>
      <c r="J23" s="169" t="s">
        <v>1403</v>
      </c>
      <c r="K23" s="169">
        <v>0</v>
      </c>
      <c r="L23" s="170">
        <v>2026</v>
      </c>
      <c r="M23" s="171">
        <v>46048</v>
      </c>
      <c r="N23" s="169" t="s">
        <v>36</v>
      </c>
      <c r="O23" s="169">
        <v>6</v>
      </c>
      <c r="P23" s="169">
        <v>488</v>
      </c>
      <c r="Q23" s="169" t="s">
        <v>1553</v>
      </c>
      <c r="R23" s="169">
        <v>2</v>
      </c>
      <c r="S23" s="169">
        <v>1</v>
      </c>
      <c r="T23" s="169" t="s">
        <v>1527</v>
      </c>
      <c r="U23" s="169">
        <v>3</v>
      </c>
      <c r="V23" s="170">
        <v>0</v>
      </c>
      <c r="W23" s="170">
        <v>0</v>
      </c>
      <c r="X23" s="170" t="s">
        <v>1406</v>
      </c>
      <c r="Y23" s="169"/>
      <c r="Z23" s="169" t="s">
        <v>1407</v>
      </c>
      <c r="AA23" s="169"/>
      <c r="AB23" s="169">
        <v>0</v>
      </c>
      <c r="AC23" s="169">
        <v>0</v>
      </c>
      <c r="AD23" s="169">
        <v>0</v>
      </c>
      <c r="AE23" s="169" t="s">
        <v>1446</v>
      </c>
      <c r="AF23" s="169"/>
      <c r="AG23" s="169" t="s">
        <v>1446</v>
      </c>
      <c r="AH23" s="169"/>
      <c r="AI23" s="169"/>
      <c r="AJ23" s="169">
        <v>0</v>
      </c>
      <c r="AK23" s="169" t="s">
        <v>1407</v>
      </c>
      <c r="AL23" s="169">
        <v>28102</v>
      </c>
      <c r="AM23" s="169" t="s">
        <v>1418</v>
      </c>
      <c r="AN23" s="169" t="s">
        <v>3095</v>
      </c>
      <c r="AO23" s="169">
        <v>28</v>
      </c>
      <c r="AP23" s="169" t="s">
        <v>1416</v>
      </c>
      <c r="AQ23" s="169">
        <v>0</v>
      </c>
      <c r="AR23" s="169" t="s">
        <v>1410</v>
      </c>
      <c r="AS23" s="169"/>
      <c r="AT23" s="169" t="s">
        <v>1411</v>
      </c>
      <c r="AU23" s="169" t="s">
        <v>1412</v>
      </c>
    </row>
    <row r="24" spans="1:47" x14ac:dyDescent="0.45">
      <c r="A24" s="169">
        <v>2605700024</v>
      </c>
      <c r="B24" s="169">
        <v>57</v>
      </c>
      <c r="C24" s="169" t="s">
        <v>1551</v>
      </c>
      <c r="D24" s="169">
        <v>57</v>
      </c>
      <c r="E24" s="169" t="s">
        <v>1552</v>
      </c>
      <c r="F24" s="169" t="s">
        <v>3623</v>
      </c>
      <c r="G24" s="169" t="s">
        <v>3624</v>
      </c>
      <c r="H24" s="169">
        <v>2</v>
      </c>
      <c r="I24" s="169" t="s">
        <v>3625</v>
      </c>
      <c r="J24" s="169" t="s">
        <v>1403</v>
      </c>
      <c r="K24" s="169">
        <v>2026</v>
      </c>
      <c r="L24" s="170">
        <v>2026</v>
      </c>
      <c r="M24" s="171">
        <v>46053</v>
      </c>
      <c r="N24" s="169" t="s">
        <v>36</v>
      </c>
      <c r="O24" s="169">
        <v>6</v>
      </c>
      <c r="P24" s="169">
        <v>488</v>
      </c>
      <c r="Q24" s="169" t="s">
        <v>1553</v>
      </c>
      <c r="R24" s="169">
        <v>2</v>
      </c>
      <c r="S24" s="169">
        <v>1</v>
      </c>
      <c r="T24" s="169" t="s">
        <v>1527</v>
      </c>
      <c r="U24" s="169">
        <v>3</v>
      </c>
      <c r="V24" s="170">
        <v>0</v>
      </c>
      <c r="W24" s="170">
        <v>0</v>
      </c>
      <c r="X24" s="170" t="s">
        <v>1406</v>
      </c>
      <c r="Y24" s="169"/>
      <c r="Z24" s="169" t="s">
        <v>1407</v>
      </c>
      <c r="AA24" s="169"/>
      <c r="AB24" s="169">
        <v>0</v>
      </c>
      <c r="AC24" s="169">
        <v>0</v>
      </c>
      <c r="AD24" s="169">
        <v>0</v>
      </c>
      <c r="AE24" s="169" t="s">
        <v>1446</v>
      </c>
      <c r="AF24" s="169"/>
      <c r="AG24" s="169" t="s">
        <v>1446</v>
      </c>
      <c r="AH24" s="169"/>
      <c r="AI24" s="169"/>
      <c r="AJ24" s="169">
        <v>0</v>
      </c>
      <c r="AK24" s="169" t="s">
        <v>1407</v>
      </c>
      <c r="AL24" s="169">
        <v>28041</v>
      </c>
      <c r="AM24" s="169" t="s">
        <v>1421</v>
      </c>
      <c r="AN24" s="169" t="s">
        <v>3626</v>
      </c>
      <c r="AO24" s="169">
        <v>28</v>
      </c>
      <c r="AP24" s="169" t="s">
        <v>1416</v>
      </c>
      <c r="AQ24" s="169">
        <v>0</v>
      </c>
      <c r="AR24" s="169" t="s">
        <v>1410</v>
      </c>
      <c r="AS24" s="169"/>
      <c r="AT24" s="169" t="s">
        <v>1417</v>
      </c>
      <c r="AU24" s="169" t="s">
        <v>1412</v>
      </c>
    </row>
    <row r="25" spans="1:47" x14ac:dyDescent="0.45">
      <c r="A25" s="169">
        <v>2605700025</v>
      </c>
      <c r="B25" s="169">
        <v>57</v>
      </c>
      <c r="C25" s="169" t="s">
        <v>1551</v>
      </c>
      <c r="D25" s="169">
        <v>57</v>
      </c>
      <c r="E25" s="169" t="s">
        <v>1552</v>
      </c>
      <c r="F25" s="169" t="s">
        <v>4234</v>
      </c>
      <c r="G25" s="169" t="s">
        <v>4235</v>
      </c>
      <c r="H25" s="169">
        <v>2</v>
      </c>
      <c r="I25" s="169" t="s">
        <v>4236</v>
      </c>
      <c r="J25" s="169" t="s">
        <v>1403</v>
      </c>
      <c r="K25" s="169">
        <v>2026</v>
      </c>
      <c r="L25" s="170">
        <v>2026</v>
      </c>
      <c r="M25" s="171">
        <v>46056</v>
      </c>
      <c r="N25" s="169" t="s">
        <v>36</v>
      </c>
      <c r="O25" s="169">
        <v>7</v>
      </c>
      <c r="P25" s="169">
        <v>266</v>
      </c>
      <c r="Q25" s="169" t="s">
        <v>1526</v>
      </c>
      <c r="R25" s="169">
        <v>2</v>
      </c>
      <c r="S25" s="169">
        <v>1</v>
      </c>
      <c r="T25" s="169" t="s">
        <v>1527</v>
      </c>
      <c r="U25" s="169">
        <v>3</v>
      </c>
      <c r="V25" s="170">
        <v>0</v>
      </c>
      <c r="W25" s="170">
        <v>0</v>
      </c>
      <c r="X25" s="170" t="s">
        <v>1406</v>
      </c>
      <c r="Y25" s="169"/>
      <c r="Z25" s="169" t="s">
        <v>1407</v>
      </c>
      <c r="AA25" s="169"/>
      <c r="AB25" s="169">
        <v>0</v>
      </c>
      <c r="AC25" s="169">
        <v>0</v>
      </c>
      <c r="AD25" s="169">
        <v>0</v>
      </c>
      <c r="AE25" s="169" t="s">
        <v>1446</v>
      </c>
      <c r="AF25" s="169"/>
      <c r="AG25" s="169" t="s">
        <v>1446</v>
      </c>
      <c r="AH25" s="169"/>
      <c r="AI25" s="169"/>
      <c r="AJ25" s="169">
        <v>0</v>
      </c>
      <c r="AK25" s="169" t="s">
        <v>1407</v>
      </c>
      <c r="AL25" s="169">
        <v>28246</v>
      </c>
      <c r="AM25" s="169" t="s">
        <v>1418</v>
      </c>
      <c r="AN25" s="169" t="s">
        <v>1567</v>
      </c>
      <c r="AO25" s="169">
        <v>28</v>
      </c>
      <c r="AP25" s="169" t="s">
        <v>1416</v>
      </c>
      <c r="AQ25" s="169">
        <v>0</v>
      </c>
      <c r="AR25" s="169" t="s">
        <v>1410</v>
      </c>
      <c r="AS25" s="169"/>
      <c r="AT25" s="169" t="s">
        <v>1417</v>
      </c>
      <c r="AU25" s="169" t="s">
        <v>1412</v>
      </c>
    </row>
    <row r="26" spans="1:47" x14ac:dyDescent="0.45">
      <c r="A26" s="169">
        <v>2605700801</v>
      </c>
      <c r="B26" s="169">
        <v>57</v>
      </c>
      <c r="C26" s="169" t="s">
        <v>1551</v>
      </c>
      <c r="D26" s="169">
        <v>57</v>
      </c>
      <c r="E26" s="169" t="s">
        <v>1552</v>
      </c>
      <c r="F26" s="169" t="s">
        <v>3627</v>
      </c>
      <c r="G26" s="169" t="s">
        <v>3628</v>
      </c>
      <c r="H26" s="169">
        <v>2</v>
      </c>
      <c r="I26" s="169" t="s">
        <v>3629</v>
      </c>
      <c r="J26" s="169" t="s">
        <v>1403</v>
      </c>
      <c r="K26" s="169">
        <v>2026</v>
      </c>
      <c r="L26" s="170">
        <v>2026</v>
      </c>
      <c r="M26" s="171">
        <v>45901</v>
      </c>
      <c r="N26" s="169" t="s">
        <v>36</v>
      </c>
      <c r="O26" s="169">
        <v>57</v>
      </c>
      <c r="P26" s="169">
        <v>1044</v>
      </c>
      <c r="Q26" s="169" t="s">
        <v>1476</v>
      </c>
      <c r="R26" s="169">
        <v>2</v>
      </c>
      <c r="S26" s="169">
        <v>3</v>
      </c>
      <c r="T26" s="169" t="s">
        <v>1477</v>
      </c>
      <c r="U26" s="169">
        <v>4</v>
      </c>
      <c r="V26" s="170">
        <v>2680034</v>
      </c>
      <c r="W26" s="170">
        <v>0</v>
      </c>
      <c r="X26" s="170" t="s">
        <v>1406</v>
      </c>
      <c r="Y26" s="169"/>
      <c r="Z26" s="169" t="s">
        <v>3067</v>
      </c>
      <c r="AA26" s="171">
        <v>45960</v>
      </c>
      <c r="AB26" s="169">
        <v>26</v>
      </c>
      <c r="AC26" s="169">
        <v>80034</v>
      </c>
      <c r="AD26" s="169">
        <v>57</v>
      </c>
      <c r="AE26" s="169" t="s">
        <v>1551</v>
      </c>
      <c r="AF26" s="169">
        <v>57</v>
      </c>
      <c r="AG26" s="169" t="s">
        <v>1552</v>
      </c>
      <c r="AH26" s="169" t="s">
        <v>36</v>
      </c>
      <c r="AI26" s="169" t="s">
        <v>3630</v>
      </c>
      <c r="AJ26" s="169">
        <v>1170</v>
      </c>
      <c r="AK26" s="169" t="s">
        <v>1407</v>
      </c>
      <c r="AL26" s="169">
        <v>50448</v>
      </c>
      <c r="AM26" s="169" t="s">
        <v>1408</v>
      </c>
      <c r="AN26" s="169" t="s">
        <v>3185</v>
      </c>
      <c r="AO26" s="169">
        <v>28</v>
      </c>
      <c r="AP26" s="169" t="s">
        <v>1416</v>
      </c>
      <c r="AQ26" s="169">
        <v>1</v>
      </c>
      <c r="AR26" s="169" t="s">
        <v>1410</v>
      </c>
      <c r="AS26" s="169"/>
      <c r="AT26" s="169" t="s">
        <v>1417</v>
      </c>
      <c r="AU26" s="169" t="s">
        <v>1412</v>
      </c>
    </row>
    <row r="27" spans="1:47" x14ac:dyDescent="0.45">
      <c r="A27" s="169">
        <v>2605700802</v>
      </c>
      <c r="B27" s="169">
        <v>57</v>
      </c>
      <c r="C27" s="169" t="s">
        <v>1551</v>
      </c>
      <c r="D27" s="169">
        <v>57</v>
      </c>
      <c r="E27" s="169" t="s">
        <v>1552</v>
      </c>
      <c r="F27" s="169" t="s">
        <v>3631</v>
      </c>
      <c r="G27" s="169" t="s">
        <v>3632</v>
      </c>
      <c r="H27" s="169">
        <v>1</v>
      </c>
      <c r="I27" s="169" t="s">
        <v>1685</v>
      </c>
      <c r="J27" s="169" t="s">
        <v>1403</v>
      </c>
      <c r="K27" s="169">
        <v>2026</v>
      </c>
      <c r="L27" s="170">
        <v>2026</v>
      </c>
      <c r="M27" s="171">
        <v>45901</v>
      </c>
      <c r="N27" s="169" t="s">
        <v>36</v>
      </c>
      <c r="O27" s="169">
        <v>57</v>
      </c>
      <c r="P27" s="169">
        <v>1044</v>
      </c>
      <c r="Q27" s="169" t="s">
        <v>1476</v>
      </c>
      <c r="R27" s="169">
        <v>2</v>
      </c>
      <c r="S27" s="169">
        <v>3</v>
      </c>
      <c r="T27" s="169" t="s">
        <v>1477</v>
      </c>
      <c r="U27" s="169">
        <v>4</v>
      </c>
      <c r="V27" s="170">
        <v>0</v>
      </c>
      <c r="W27" s="170">
        <v>0</v>
      </c>
      <c r="X27" s="170" t="s">
        <v>1406</v>
      </c>
      <c r="Y27" s="169"/>
      <c r="Z27" s="169" t="s">
        <v>3067</v>
      </c>
      <c r="AA27" s="169"/>
      <c r="AB27" s="169">
        <v>0</v>
      </c>
      <c r="AC27" s="169">
        <v>0</v>
      </c>
      <c r="AD27" s="169">
        <v>0</v>
      </c>
      <c r="AE27" s="169" t="s">
        <v>1446</v>
      </c>
      <c r="AF27" s="169"/>
      <c r="AG27" s="169" t="s">
        <v>1446</v>
      </c>
      <c r="AH27" s="169"/>
      <c r="AI27" s="169"/>
      <c r="AJ27" s="169">
        <v>0</v>
      </c>
      <c r="AK27" s="169" t="s">
        <v>1407</v>
      </c>
      <c r="AL27" s="169">
        <v>50448</v>
      </c>
      <c r="AM27" s="169" t="s">
        <v>1408</v>
      </c>
      <c r="AN27" s="169" t="s">
        <v>3185</v>
      </c>
      <c r="AO27" s="169">
        <v>28</v>
      </c>
      <c r="AP27" s="169" t="s">
        <v>1416</v>
      </c>
      <c r="AQ27" s="169">
        <v>1</v>
      </c>
      <c r="AR27" s="169" t="s">
        <v>1499</v>
      </c>
      <c r="AS27" s="169"/>
      <c r="AT27" s="169" t="s">
        <v>1417</v>
      </c>
      <c r="AU27" s="169" t="s">
        <v>1412</v>
      </c>
    </row>
    <row r="28" spans="1:47" x14ac:dyDescent="0.45">
      <c r="A28" s="169">
        <v>2605700803</v>
      </c>
      <c r="B28" s="169">
        <v>57</v>
      </c>
      <c r="C28" s="169" t="s">
        <v>1551</v>
      </c>
      <c r="D28" s="169">
        <v>57</v>
      </c>
      <c r="E28" s="169" t="s">
        <v>1552</v>
      </c>
      <c r="F28" s="169" t="s">
        <v>3633</v>
      </c>
      <c r="G28" s="169" t="s">
        <v>3634</v>
      </c>
      <c r="H28" s="169">
        <v>1</v>
      </c>
      <c r="I28" s="169" t="s">
        <v>1201</v>
      </c>
      <c r="J28" s="169" t="s">
        <v>1403</v>
      </c>
      <c r="K28" s="169">
        <v>2026</v>
      </c>
      <c r="L28" s="170">
        <v>2026</v>
      </c>
      <c r="M28" s="171">
        <v>45921</v>
      </c>
      <c r="N28" s="169" t="s">
        <v>36</v>
      </c>
      <c r="O28" s="169" t="s">
        <v>3630</v>
      </c>
      <c r="P28" s="169">
        <v>1170</v>
      </c>
      <c r="Q28" s="169" t="s">
        <v>3635</v>
      </c>
      <c r="R28" s="169">
        <v>1</v>
      </c>
      <c r="S28" s="169">
        <v>15</v>
      </c>
      <c r="T28" s="169" t="s">
        <v>1396</v>
      </c>
      <c r="U28" s="169">
        <v>37</v>
      </c>
      <c r="V28" s="170">
        <v>2680045</v>
      </c>
      <c r="W28" s="170">
        <v>0</v>
      </c>
      <c r="X28" s="170" t="s">
        <v>1406</v>
      </c>
      <c r="Y28" s="169"/>
      <c r="Z28" s="169" t="s">
        <v>3067</v>
      </c>
      <c r="AA28" s="171">
        <v>45974</v>
      </c>
      <c r="AB28" s="169">
        <v>26</v>
      </c>
      <c r="AC28" s="169">
        <v>80045</v>
      </c>
      <c r="AD28" s="169">
        <v>57</v>
      </c>
      <c r="AE28" s="169" t="s">
        <v>1551</v>
      </c>
      <c r="AF28" s="169">
        <v>57</v>
      </c>
      <c r="AG28" s="169" t="s">
        <v>1552</v>
      </c>
      <c r="AH28" s="169" t="s">
        <v>36</v>
      </c>
      <c r="AI28" s="169" t="s">
        <v>3630</v>
      </c>
      <c r="AJ28" s="169">
        <v>1170</v>
      </c>
      <c r="AK28" s="169" t="s">
        <v>1407</v>
      </c>
      <c r="AL28" s="169">
        <v>50446</v>
      </c>
      <c r="AM28" s="169" t="s">
        <v>1408</v>
      </c>
      <c r="AN28" s="169" t="s">
        <v>3636</v>
      </c>
      <c r="AO28" s="169">
        <v>28</v>
      </c>
      <c r="AP28" s="169" t="s">
        <v>1416</v>
      </c>
      <c r="AQ28" s="169">
        <v>1</v>
      </c>
      <c r="AR28" s="169" t="s">
        <v>1410</v>
      </c>
      <c r="AS28" s="169"/>
      <c r="AT28" s="169" t="s">
        <v>1417</v>
      </c>
      <c r="AU28" s="169" t="s">
        <v>1412</v>
      </c>
    </row>
    <row r="29" spans="1:47" x14ac:dyDescent="0.45">
      <c r="A29" s="169">
        <v>2605700804</v>
      </c>
      <c r="B29" s="169">
        <v>57</v>
      </c>
      <c r="C29" s="169" t="s">
        <v>1551</v>
      </c>
      <c r="D29" s="169">
        <v>57</v>
      </c>
      <c r="E29" s="169" t="s">
        <v>1552</v>
      </c>
      <c r="F29" s="169" t="s">
        <v>3637</v>
      </c>
      <c r="G29" s="169" t="s">
        <v>3638</v>
      </c>
      <c r="H29" s="169">
        <v>1</v>
      </c>
      <c r="I29" s="169" t="s">
        <v>3639</v>
      </c>
      <c r="J29" s="169" t="s">
        <v>1403</v>
      </c>
      <c r="K29" s="169">
        <v>2026</v>
      </c>
      <c r="L29" s="170">
        <v>2026</v>
      </c>
      <c r="M29" s="171">
        <v>45930</v>
      </c>
      <c r="N29" s="169" t="s">
        <v>36</v>
      </c>
      <c r="O29" s="169" t="s">
        <v>3630</v>
      </c>
      <c r="P29" s="169">
        <v>1170</v>
      </c>
      <c r="Q29" s="169" t="s">
        <v>3635</v>
      </c>
      <c r="R29" s="169">
        <v>1</v>
      </c>
      <c r="S29" s="169">
        <v>15</v>
      </c>
      <c r="T29" s="169" t="s">
        <v>1396</v>
      </c>
      <c r="U29" s="169">
        <v>37</v>
      </c>
      <c r="V29" s="170">
        <v>2680062</v>
      </c>
      <c r="W29" s="170">
        <v>0</v>
      </c>
      <c r="X29" s="170" t="s">
        <v>1406</v>
      </c>
      <c r="Y29" s="169"/>
      <c r="Z29" s="169" t="s">
        <v>3067</v>
      </c>
      <c r="AA29" s="171">
        <v>45986</v>
      </c>
      <c r="AB29" s="169">
        <v>26</v>
      </c>
      <c r="AC29" s="169">
        <v>80062</v>
      </c>
      <c r="AD29" s="169">
        <v>57</v>
      </c>
      <c r="AE29" s="169" t="s">
        <v>1551</v>
      </c>
      <c r="AF29" s="169">
        <v>57</v>
      </c>
      <c r="AG29" s="169" t="s">
        <v>1552</v>
      </c>
      <c r="AH29" s="169" t="s">
        <v>36</v>
      </c>
      <c r="AI29" s="169" t="s">
        <v>3630</v>
      </c>
      <c r="AJ29" s="169">
        <v>1170</v>
      </c>
      <c r="AK29" s="169" t="s">
        <v>1407</v>
      </c>
      <c r="AL29" s="169">
        <v>50740</v>
      </c>
      <c r="AM29" s="169" t="s">
        <v>1408</v>
      </c>
      <c r="AN29" s="169" t="s">
        <v>3640</v>
      </c>
      <c r="AO29" s="169">
        <v>28</v>
      </c>
      <c r="AP29" s="169" t="s">
        <v>1416</v>
      </c>
      <c r="AQ29" s="169">
        <v>1</v>
      </c>
      <c r="AR29" s="169" t="s">
        <v>1410</v>
      </c>
      <c r="AS29" s="169"/>
      <c r="AT29" s="169" t="s">
        <v>1417</v>
      </c>
      <c r="AU29" s="169" t="s">
        <v>1412</v>
      </c>
    </row>
    <row r="30" spans="1:47" x14ac:dyDescent="0.45">
      <c r="A30" s="169">
        <v>2605700805</v>
      </c>
      <c r="B30" s="169">
        <v>57</v>
      </c>
      <c r="C30" s="169" t="s">
        <v>1551</v>
      </c>
      <c r="D30" s="169">
        <v>57</v>
      </c>
      <c r="E30" s="169" t="s">
        <v>1552</v>
      </c>
      <c r="F30" s="169" t="s">
        <v>3641</v>
      </c>
      <c r="G30" s="169" t="s">
        <v>3642</v>
      </c>
      <c r="H30" s="169">
        <v>2</v>
      </c>
      <c r="I30" s="169" t="s">
        <v>3639</v>
      </c>
      <c r="J30" s="169" t="s">
        <v>1403</v>
      </c>
      <c r="K30" s="169">
        <v>2026</v>
      </c>
      <c r="L30" s="170">
        <v>2026</v>
      </c>
      <c r="M30" s="171">
        <v>45934</v>
      </c>
      <c r="N30" s="169" t="s">
        <v>36</v>
      </c>
      <c r="O30" s="169" t="s">
        <v>3630</v>
      </c>
      <c r="P30" s="169">
        <v>1170</v>
      </c>
      <c r="Q30" s="169" t="s">
        <v>3635</v>
      </c>
      <c r="R30" s="169">
        <v>1</v>
      </c>
      <c r="S30" s="169">
        <v>15</v>
      </c>
      <c r="T30" s="169" t="s">
        <v>1396</v>
      </c>
      <c r="U30" s="169">
        <v>37</v>
      </c>
      <c r="V30" s="170">
        <v>2680057</v>
      </c>
      <c r="W30" s="170">
        <v>0</v>
      </c>
      <c r="X30" s="170" t="s">
        <v>1406</v>
      </c>
      <c r="Y30" s="169"/>
      <c r="Z30" s="169" t="s">
        <v>3067</v>
      </c>
      <c r="AA30" s="171">
        <v>45981</v>
      </c>
      <c r="AB30" s="169">
        <v>26</v>
      </c>
      <c r="AC30" s="169">
        <v>80057</v>
      </c>
      <c r="AD30" s="169">
        <v>57</v>
      </c>
      <c r="AE30" s="169" t="s">
        <v>1551</v>
      </c>
      <c r="AF30" s="169">
        <v>57</v>
      </c>
      <c r="AG30" s="169" t="s">
        <v>1552</v>
      </c>
      <c r="AH30" s="169" t="s">
        <v>36</v>
      </c>
      <c r="AI30" s="169" t="s">
        <v>3630</v>
      </c>
      <c r="AJ30" s="169">
        <v>1170</v>
      </c>
      <c r="AK30" s="169" t="s">
        <v>1407</v>
      </c>
      <c r="AL30" s="169">
        <v>50740</v>
      </c>
      <c r="AM30" s="169" t="s">
        <v>1408</v>
      </c>
      <c r="AN30" s="169" t="s">
        <v>3640</v>
      </c>
      <c r="AO30" s="169">
        <v>28</v>
      </c>
      <c r="AP30" s="169" t="s">
        <v>1416</v>
      </c>
      <c r="AQ30" s="169">
        <v>1</v>
      </c>
      <c r="AR30" s="169" t="s">
        <v>1410</v>
      </c>
      <c r="AS30" s="169"/>
      <c r="AT30" s="169" t="s">
        <v>1417</v>
      </c>
      <c r="AU30" s="169" t="s">
        <v>1412</v>
      </c>
    </row>
    <row r="31" spans="1:47" x14ac:dyDescent="0.45">
      <c r="A31" s="169">
        <v>2605700806</v>
      </c>
      <c r="B31" s="169">
        <v>57</v>
      </c>
      <c r="C31" s="169" t="s">
        <v>1551</v>
      </c>
      <c r="D31" s="169">
        <v>57</v>
      </c>
      <c r="E31" s="169" t="s">
        <v>1552</v>
      </c>
      <c r="F31" s="169" t="s">
        <v>3643</v>
      </c>
      <c r="G31" s="169" t="s">
        <v>3644</v>
      </c>
      <c r="H31" s="169">
        <v>2</v>
      </c>
      <c r="I31" s="169" t="s">
        <v>3645</v>
      </c>
      <c r="J31" s="169" t="s">
        <v>1403</v>
      </c>
      <c r="K31" s="169">
        <v>2026</v>
      </c>
      <c r="L31" s="170">
        <v>2026</v>
      </c>
      <c r="M31" s="171">
        <v>45936</v>
      </c>
      <c r="N31" s="169" t="s">
        <v>36</v>
      </c>
      <c r="O31" s="169" t="s">
        <v>3630</v>
      </c>
      <c r="P31" s="169">
        <v>1170</v>
      </c>
      <c r="Q31" s="169" t="s">
        <v>3635</v>
      </c>
      <c r="R31" s="169">
        <v>1</v>
      </c>
      <c r="S31" s="169">
        <v>15</v>
      </c>
      <c r="T31" s="169" t="s">
        <v>1396</v>
      </c>
      <c r="U31" s="169">
        <v>37</v>
      </c>
      <c r="V31" s="170">
        <v>2680043</v>
      </c>
      <c r="W31" s="170">
        <v>0</v>
      </c>
      <c r="X31" s="170" t="s">
        <v>1406</v>
      </c>
      <c r="Y31" s="169"/>
      <c r="Z31" s="169" t="s">
        <v>3067</v>
      </c>
      <c r="AA31" s="171">
        <v>45972</v>
      </c>
      <c r="AB31" s="169">
        <v>26</v>
      </c>
      <c r="AC31" s="169">
        <v>80043</v>
      </c>
      <c r="AD31" s="169">
        <v>57</v>
      </c>
      <c r="AE31" s="169" t="s">
        <v>1551</v>
      </c>
      <c r="AF31" s="169">
        <v>57</v>
      </c>
      <c r="AG31" s="169" t="s">
        <v>1552</v>
      </c>
      <c r="AH31" s="169" t="s">
        <v>36</v>
      </c>
      <c r="AI31" s="169" t="s">
        <v>3630</v>
      </c>
      <c r="AJ31" s="169">
        <v>1170</v>
      </c>
      <c r="AK31" s="169" t="s">
        <v>1407</v>
      </c>
      <c r="AL31" s="169">
        <v>50446</v>
      </c>
      <c r="AM31" s="169" t="s">
        <v>1408</v>
      </c>
      <c r="AN31" s="169" t="s">
        <v>3636</v>
      </c>
      <c r="AO31" s="169">
        <v>28</v>
      </c>
      <c r="AP31" s="169" t="s">
        <v>1416</v>
      </c>
      <c r="AQ31" s="169">
        <v>1</v>
      </c>
      <c r="AR31" s="169" t="s">
        <v>1410</v>
      </c>
      <c r="AS31" s="169"/>
      <c r="AT31" s="169" t="s">
        <v>1417</v>
      </c>
      <c r="AU31" s="169" t="s">
        <v>1412</v>
      </c>
    </row>
    <row r="32" spans="1:47" x14ac:dyDescent="0.45">
      <c r="A32" s="169">
        <v>2605700807</v>
      </c>
      <c r="B32" s="169">
        <v>57</v>
      </c>
      <c r="C32" s="169" t="s">
        <v>1551</v>
      </c>
      <c r="D32" s="169">
        <v>57</v>
      </c>
      <c r="E32" s="169" t="s">
        <v>1552</v>
      </c>
      <c r="F32" s="169" t="s">
        <v>3646</v>
      </c>
      <c r="G32" s="169" t="s">
        <v>3647</v>
      </c>
      <c r="H32" s="169">
        <v>2</v>
      </c>
      <c r="I32" s="169" t="s">
        <v>3648</v>
      </c>
      <c r="J32" s="169" t="s">
        <v>1403</v>
      </c>
      <c r="K32" s="169">
        <v>0</v>
      </c>
      <c r="L32" s="170">
        <v>2026</v>
      </c>
      <c r="M32" s="171">
        <v>45938</v>
      </c>
      <c r="N32" s="169" t="s">
        <v>36</v>
      </c>
      <c r="O32" s="169">
        <v>57</v>
      </c>
      <c r="P32" s="169">
        <v>1756</v>
      </c>
      <c r="Q32" s="169" t="s">
        <v>2784</v>
      </c>
      <c r="R32" s="169">
        <v>2</v>
      </c>
      <c r="S32" s="169">
        <v>3</v>
      </c>
      <c r="T32" s="169" t="s">
        <v>1477</v>
      </c>
      <c r="U32" s="169">
        <v>4</v>
      </c>
      <c r="V32" s="170">
        <v>2680050</v>
      </c>
      <c r="W32" s="170">
        <v>0</v>
      </c>
      <c r="X32" s="170" t="s">
        <v>1406</v>
      </c>
      <c r="Y32" s="169"/>
      <c r="Z32" s="169" t="s">
        <v>3067</v>
      </c>
      <c r="AA32" s="171">
        <v>45979</v>
      </c>
      <c r="AB32" s="169">
        <v>26</v>
      </c>
      <c r="AC32" s="169">
        <v>80050</v>
      </c>
      <c r="AD32" s="169">
        <v>57</v>
      </c>
      <c r="AE32" s="169" t="s">
        <v>1551</v>
      </c>
      <c r="AF32" s="169">
        <v>57</v>
      </c>
      <c r="AG32" s="169" t="s">
        <v>1552</v>
      </c>
      <c r="AH32" s="169" t="s">
        <v>36</v>
      </c>
      <c r="AI32" s="169">
        <v>57</v>
      </c>
      <c r="AJ32" s="169">
        <v>1756</v>
      </c>
      <c r="AK32" s="169" t="s">
        <v>1407</v>
      </c>
      <c r="AL32" s="169">
        <v>50811</v>
      </c>
      <c r="AM32" s="169" t="s">
        <v>1408</v>
      </c>
      <c r="AN32" s="169" t="s">
        <v>3649</v>
      </c>
      <c r="AO32" s="169">
        <v>42</v>
      </c>
      <c r="AP32" s="169" t="s">
        <v>1516</v>
      </c>
      <c r="AQ32" s="169">
        <v>1</v>
      </c>
      <c r="AR32" s="169" t="s">
        <v>1410</v>
      </c>
      <c r="AS32" s="169"/>
      <c r="AT32" s="169" t="s">
        <v>1411</v>
      </c>
      <c r="AU32" s="169" t="s">
        <v>1412</v>
      </c>
    </row>
    <row r="33" spans="1:47" x14ac:dyDescent="0.45">
      <c r="A33" s="169">
        <v>2605700808</v>
      </c>
      <c r="B33" s="169">
        <v>57</v>
      </c>
      <c r="C33" s="169" t="s">
        <v>1551</v>
      </c>
      <c r="D33" s="169">
        <v>57</v>
      </c>
      <c r="E33" s="169" t="s">
        <v>1552</v>
      </c>
      <c r="F33" s="169" t="s">
        <v>3650</v>
      </c>
      <c r="G33" s="169" t="s">
        <v>3651</v>
      </c>
      <c r="H33" s="169">
        <v>1</v>
      </c>
      <c r="I33" s="169" t="s">
        <v>3652</v>
      </c>
      <c r="J33" s="169" t="s">
        <v>1403</v>
      </c>
      <c r="K33" s="169">
        <v>2026</v>
      </c>
      <c r="L33" s="170">
        <v>2026</v>
      </c>
      <c r="M33" s="171">
        <v>45940</v>
      </c>
      <c r="N33" s="169" t="s">
        <v>36</v>
      </c>
      <c r="O33" s="169" t="s">
        <v>3630</v>
      </c>
      <c r="P33" s="169">
        <v>1170</v>
      </c>
      <c r="Q33" s="169" t="s">
        <v>3635</v>
      </c>
      <c r="R33" s="169">
        <v>1</v>
      </c>
      <c r="S33" s="169">
        <v>15</v>
      </c>
      <c r="T33" s="169" t="s">
        <v>1396</v>
      </c>
      <c r="U33" s="169">
        <v>37</v>
      </c>
      <c r="V33" s="170">
        <v>2680066</v>
      </c>
      <c r="W33" s="170">
        <v>0</v>
      </c>
      <c r="X33" s="170" t="s">
        <v>1406</v>
      </c>
      <c r="Y33" s="169"/>
      <c r="Z33" s="169" t="s">
        <v>3067</v>
      </c>
      <c r="AA33" s="171">
        <v>45988</v>
      </c>
      <c r="AB33" s="169">
        <v>26</v>
      </c>
      <c r="AC33" s="169">
        <v>80066</v>
      </c>
      <c r="AD33" s="169">
        <v>57</v>
      </c>
      <c r="AE33" s="169" t="s">
        <v>1551</v>
      </c>
      <c r="AF33" s="169">
        <v>57</v>
      </c>
      <c r="AG33" s="169" t="s">
        <v>1552</v>
      </c>
      <c r="AH33" s="169" t="s">
        <v>36</v>
      </c>
      <c r="AI33" s="169" t="s">
        <v>3630</v>
      </c>
      <c r="AJ33" s="169">
        <v>1170</v>
      </c>
      <c r="AK33" s="169" t="s">
        <v>1407</v>
      </c>
      <c r="AL33" s="169">
        <v>50446</v>
      </c>
      <c r="AM33" s="169" t="s">
        <v>1408</v>
      </c>
      <c r="AN33" s="169" t="s">
        <v>3636</v>
      </c>
      <c r="AO33" s="169">
        <v>28</v>
      </c>
      <c r="AP33" s="169" t="s">
        <v>1416</v>
      </c>
      <c r="AQ33" s="169">
        <v>1</v>
      </c>
      <c r="AR33" s="169" t="s">
        <v>1410</v>
      </c>
      <c r="AS33" s="169"/>
      <c r="AT33" s="169" t="s">
        <v>1417</v>
      </c>
      <c r="AU33" s="169" t="s">
        <v>1412</v>
      </c>
    </row>
    <row r="34" spans="1:47" x14ac:dyDescent="0.45">
      <c r="A34" s="169">
        <v>2605700809</v>
      </c>
      <c r="B34" s="169">
        <v>57</v>
      </c>
      <c r="C34" s="169" t="s">
        <v>1551</v>
      </c>
      <c r="D34" s="169">
        <v>57</v>
      </c>
      <c r="E34" s="169" t="s">
        <v>1552</v>
      </c>
      <c r="F34" s="169" t="s">
        <v>3653</v>
      </c>
      <c r="G34" s="169" t="s">
        <v>3654</v>
      </c>
      <c r="H34" s="169">
        <v>2</v>
      </c>
      <c r="I34" s="169" t="s">
        <v>3028</v>
      </c>
      <c r="J34" s="169" t="s">
        <v>1403</v>
      </c>
      <c r="K34" s="169">
        <v>2026</v>
      </c>
      <c r="L34" s="170">
        <v>2026</v>
      </c>
      <c r="M34" s="171">
        <v>45940</v>
      </c>
      <c r="N34" s="169" t="s">
        <v>36</v>
      </c>
      <c r="O34" s="169" t="s">
        <v>3630</v>
      </c>
      <c r="P34" s="169">
        <v>1170</v>
      </c>
      <c r="Q34" s="169" t="s">
        <v>3635</v>
      </c>
      <c r="R34" s="169">
        <v>1</v>
      </c>
      <c r="S34" s="169">
        <v>15</v>
      </c>
      <c r="T34" s="169" t="s">
        <v>1396</v>
      </c>
      <c r="U34" s="169">
        <v>37</v>
      </c>
      <c r="V34" s="170">
        <v>2680068</v>
      </c>
      <c r="W34" s="170">
        <v>0</v>
      </c>
      <c r="X34" s="170" t="s">
        <v>1406</v>
      </c>
      <c r="Y34" s="169"/>
      <c r="Z34" s="169" t="s">
        <v>3067</v>
      </c>
      <c r="AA34" s="171">
        <v>45989</v>
      </c>
      <c r="AB34" s="169">
        <v>26</v>
      </c>
      <c r="AC34" s="169">
        <v>80068</v>
      </c>
      <c r="AD34" s="169">
        <v>57</v>
      </c>
      <c r="AE34" s="169" t="s">
        <v>1551</v>
      </c>
      <c r="AF34" s="169">
        <v>57</v>
      </c>
      <c r="AG34" s="169" t="s">
        <v>1552</v>
      </c>
      <c r="AH34" s="169" t="s">
        <v>36</v>
      </c>
      <c r="AI34" s="169" t="s">
        <v>3630</v>
      </c>
      <c r="AJ34" s="169">
        <v>1170</v>
      </c>
      <c r="AK34" s="169" t="s">
        <v>1407</v>
      </c>
      <c r="AL34" s="169">
        <v>50446</v>
      </c>
      <c r="AM34" s="169" t="s">
        <v>1408</v>
      </c>
      <c r="AN34" s="169" t="s">
        <v>3636</v>
      </c>
      <c r="AO34" s="169">
        <v>28</v>
      </c>
      <c r="AP34" s="169" t="s">
        <v>1416</v>
      </c>
      <c r="AQ34" s="169">
        <v>1</v>
      </c>
      <c r="AR34" s="169" t="s">
        <v>1410</v>
      </c>
      <c r="AS34" s="169"/>
      <c r="AT34" s="169" t="s">
        <v>1417</v>
      </c>
      <c r="AU34" s="169" t="s">
        <v>1412</v>
      </c>
    </row>
    <row r="35" spans="1:47" x14ac:dyDescent="0.45">
      <c r="A35" s="169">
        <v>2605700810</v>
      </c>
      <c r="B35" s="169">
        <v>57</v>
      </c>
      <c r="C35" s="169" t="s">
        <v>1551</v>
      </c>
      <c r="D35" s="169">
        <v>57</v>
      </c>
      <c r="E35" s="169" t="s">
        <v>1552</v>
      </c>
      <c r="F35" s="169" t="s">
        <v>3655</v>
      </c>
      <c r="G35" s="169" t="s">
        <v>3656</v>
      </c>
      <c r="H35" s="169">
        <v>1</v>
      </c>
      <c r="I35" s="169" t="s">
        <v>3657</v>
      </c>
      <c r="J35" s="169" t="s">
        <v>1403</v>
      </c>
      <c r="K35" s="169">
        <v>2026</v>
      </c>
      <c r="L35" s="170">
        <v>2026</v>
      </c>
      <c r="M35" s="171">
        <v>45940</v>
      </c>
      <c r="N35" s="169" t="s">
        <v>36</v>
      </c>
      <c r="O35" s="169">
        <v>57</v>
      </c>
      <c r="P35" s="169">
        <v>1756</v>
      </c>
      <c r="Q35" s="169" t="s">
        <v>2784</v>
      </c>
      <c r="R35" s="169">
        <v>2</v>
      </c>
      <c r="S35" s="169">
        <v>3</v>
      </c>
      <c r="T35" s="169" t="s">
        <v>1477</v>
      </c>
      <c r="U35" s="169">
        <v>4</v>
      </c>
      <c r="V35" s="170">
        <v>2680086</v>
      </c>
      <c r="W35" s="170">
        <v>0</v>
      </c>
      <c r="X35" s="170" t="s">
        <v>1406</v>
      </c>
      <c r="Y35" s="169"/>
      <c r="Z35" s="169" t="s">
        <v>3067</v>
      </c>
      <c r="AA35" s="171">
        <v>46007</v>
      </c>
      <c r="AB35" s="169">
        <v>26</v>
      </c>
      <c r="AC35" s="169">
        <v>80086</v>
      </c>
      <c r="AD35" s="169">
        <v>57</v>
      </c>
      <c r="AE35" s="169" t="s">
        <v>1551</v>
      </c>
      <c r="AF35" s="169">
        <v>57</v>
      </c>
      <c r="AG35" s="169" t="s">
        <v>1552</v>
      </c>
      <c r="AH35" s="169" t="s">
        <v>36</v>
      </c>
      <c r="AI35" s="169" t="s">
        <v>3630</v>
      </c>
      <c r="AJ35" s="169">
        <v>1170</v>
      </c>
      <c r="AK35" s="169" t="s">
        <v>1407</v>
      </c>
      <c r="AL35" s="169">
        <v>50726</v>
      </c>
      <c r="AM35" s="169" t="s">
        <v>1408</v>
      </c>
      <c r="AN35" s="169" t="s">
        <v>3658</v>
      </c>
      <c r="AO35" s="169">
        <v>28</v>
      </c>
      <c r="AP35" s="169" t="s">
        <v>1416</v>
      </c>
      <c r="AQ35" s="169">
        <v>1</v>
      </c>
      <c r="AR35" s="169" t="s">
        <v>1410</v>
      </c>
      <c r="AS35" s="169"/>
      <c r="AT35" s="169" t="s">
        <v>1417</v>
      </c>
      <c r="AU35" s="169" t="s">
        <v>1412</v>
      </c>
    </row>
    <row r="36" spans="1:47" x14ac:dyDescent="0.45">
      <c r="A36" s="169">
        <v>2605700811</v>
      </c>
      <c r="B36" s="169">
        <v>57</v>
      </c>
      <c r="C36" s="169" t="s">
        <v>1551</v>
      </c>
      <c r="D36" s="169">
        <v>57</v>
      </c>
      <c r="E36" s="169" t="s">
        <v>1552</v>
      </c>
      <c r="F36" s="169" t="s">
        <v>3659</v>
      </c>
      <c r="G36" s="169" t="s">
        <v>3660</v>
      </c>
      <c r="H36" s="169">
        <v>1</v>
      </c>
      <c r="I36" s="169" t="s">
        <v>982</v>
      </c>
      <c r="J36" s="169" t="s">
        <v>1403</v>
      </c>
      <c r="K36" s="169">
        <v>2026</v>
      </c>
      <c r="L36" s="170">
        <v>2026</v>
      </c>
      <c r="M36" s="171">
        <v>45942</v>
      </c>
      <c r="N36" s="169" t="s">
        <v>36</v>
      </c>
      <c r="O36" s="169" t="s">
        <v>3630</v>
      </c>
      <c r="P36" s="169">
        <v>1170</v>
      </c>
      <c r="Q36" s="169" t="s">
        <v>3635</v>
      </c>
      <c r="R36" s="169">
        <v>1</v>
      </c>
      <c r="S36" s="169">
        <v>15</v>
      </c>
      <c r="T36" s="169" t="s">
        <v>1396</v>
      </c>
      <c r="U36" s="169">
        <v>37</v>
      </c>
      <c r="V36" s="170">
        <v>2680067</v>
      </c>
      <c r="W36" s="170">
        <v>0</v>
      </c>
      <c r="X36" s="170" t="s">
        <v>1406</v>
      </c>
      <c r="Y36" s="169"/>
      <c r="Z36" s="169" t="s">
        <v>3067</v>
      </c>
      <c r="AA36" s="171">
        <v>45988</v>
      </c>
      <c r="AB36" s="169">
        <v>26</v>
      </c>
      <c r="AC36" s="169">
        <v>80067</v>
      </c>
      <c r="AD36" s="169">
        <v>57</v>
      </c>
      <c r="AE36" s="169" t="s">
        <v>1551</v>
      </c>
      <c r="AF36" s="169">
        <v>57</v>
      </c>
      <c r="AG36" s="169" t="s">
        <v>1552</v>
      </c>
      <c r="AH36" s="169" t="s">
        <v>36</v>
      </c>
      <c r="AI36" s="169" t="s">
        <v>3630</v>
      </c>
      <c r="AJ36" s="169">
        <v>1170</v>
      </c>
      <c r="AK36" s="169" t="s">
        <v>1407</v>
      </c>
      <c r="AL36" s="169">
        <v>50740</v>
      </c>
      <c r="AM36" s="169" t="s">
        <v>1408</v>
      </c>
      <c r="AN36" s="169" t="s">
        <v>3640</v>
      </c>
      <c r="AO36" s="169">
        <v>28</v>
      </c>
      <c r="AP36" s="169" t="s">
        <v>1416</v>
      </c>
      <c r="AQ36" s="169">
        <v>1</v>
      </c>
      <c r="AR36" s="169" t="s">
        <v>1410</v>
      </c>
      <c r="AS36" s="169"/>
      <c r="AT36" s="169" t="s">
        <v>1417</v>
      </c>
      <c r="AU36" s="169" t="s">
        <v>1412</v>
      </c>
    </row>
    <row r="37" spans="1:47" x14ac:dyDescent="0.45">
      <c r="A37" s="169">
        <v>2605700812</v>
      </c>
      <c r="B37" s="169">
        <v>57</v>
      </c>
      <c r="C37" s="169" t="s">
        <v>1551</v>
      </c>
      <c r="D37" s="169">
        <v>57</v>
      </c>
      <c r="E37" s="169" t="s">
        <v>1552</v>
      </c>
      <c r="F37" s="169" t="s">
        <v>3661</v>
      </c>
      <c r="G37" s="169" t="s">
        <v>3662</v>
      </c>
      <c r="H37" s="169">
        <v>2</v>
      </c>
      <c r="I37" s="169" t="s">
        <v>3663</v>
      </c>
      <c r="J37" s="169" t="s">
        <v>3445</v>
      </c>
      <c r="K37" s="169">
        <v>2026</v>
      </c>
      <c r="L37" s="170">
        <v>2026</v>
      </c>
      <c r="M37" s="171">
        <v>45948</v>
      </c>
      <c r="N37" s="169" t="s">
        <v>36</v>
      </c>
      <c r="O37" s="169" t="s">
        <v>3630</v>
      </c>
      <c r="P37" s="169">
        <v>1170</v>
      </c>
      <c r="Q37" s="169" t="s">
        <v>3635</v>
      </c>
      <c r="R37" s="169">
        <v>1</v>
      </c>
      <c r="S37" s="169">
        <v>15</v>
      </c>
      <c r="T37" s="169" t="s">
        <v>1396</v>
      </c>
      <c r="U37" s="169">
        <v>37</v>
      </c>
      <c r="V37" s="170">
        <v>0</v>
      </c>
      <c r="W37" s="170">
        <v>0</v>
      </c>
      <c r="X37" s="170" t="s">
        <v>1406</v>
      </c>
      <c r="Y37" s="169"/>
      <c r="Z37" s="169" t="s">
        <v>3067</v>
      </c>
      <c r="AA37" s="169"/>
      <c r="AB37" s="169">
        <v>0</v>
      </c>
      <c r="AC37" s="169">
        <v>0</v>
      </c>
      <c r="AD37" s="169">
        <v>0</v>
      </c>
      <c r="AE37" s="169" t="s">
        <v>1446</v>
      </c>
      <c r="AF37" s="169"/>
      <c r="AG37" s="169" t="s">
        <v>1446</v>
      </c>
      <c r="AH37" s="169"/>
      <c r="AI37" s="169"/>
      <c r="AJ37" s="169">
        <v>0</v>
      </c>
      <c r="AK37" s="169" t="s">
        <v>1407</v>
      </c>
      <c r="AL37" s="169">
        <v>50058</v>
      </c>
      <c r="AM37" s="169" t="s">
        <v>1408</v>
      </c>
      <c r="AN37" s="169" t="s">
        <v>3664</v>
      </c>
      <c r="AO37" s="169">
        <v>13</v>
      </c>
      <c r="AP37" s="169" t="s">
        <v>3414</v>
      </c>
      <c r="AQ37" s="169">
        <v>1</v>
      </c>
      <c r="AR37" s="169" t="s">
        <v>1410</v>
      </c>
      <c r="AS37" s="169"/>
      <c r="AT37" s="169" t="s">
        <v>1417</v>
      </c>
      <c r="AU37" s="169" t="s">
        <v>1412</v>
      </c>
    </row>
    <row r="38" spans="1:47" x14ac:dyDescent="0.45">
      <c r="A38" s="169">
        <v>2605700813</v>
      </c>
      <c r="B38" s="169">
        <v>57</v>
      </c>
      <c r="C38" s="169" t="s">
        <v>1551</v>
      </c>
      <c r="D38" s="169">
        <v>57</v>
      </c>
      <c r="E38" s="169" t="s">
        <v>1552</v>
      </c>
      <c r="F38" s="169" t="s">
        <v>3665</v>
      </c>
      <c r="G38" s="169" t="s">
        <v>3666</v>
      </c>
      <c r="H38" s="169">
        <v>1</v>
      </c>
      <c r="I38" s="169" t="s">
        <v>3552</v>
      </c>
      <c r="J38" s="169" t="s">
        <v>1403</v>
      </c>
      <c r="K38" s="169">
        <v>2026</v>
      </c>
      <c r="L38" s="170">
        <v>2026</v>
      </c>
      <c r="M38" s="171">
        <v>45953</v>
      </c>
      <c r="N38" s="169" t="s">
        <v>36</v>
      </c>
      <c r="O38" s="169" t="s">
        <v>3630</v>
      </c>
      <c r="P38" s="169">
        <v>1170</v>
      </c>
      <c r="Q38" s="169" t="s">
        <v>3635</v>
      </c>
      <c r="R38" s="169">
        <v>1</v>
      </c>
      <c r="S38" s="169">
        <v>15</v>
      </c>
      <c r="T38" s="169" t="s">
        <v>1396</v>
      </c>
      <c r="U38" s="169">
        <v>37</v>
      </c>
      <c r="V38" s="170">
        <v>2680071</v>
      </c>
      <c r="W38" s="170">
        <v>0</v>
      </c>
      <c r="X38" s="170" t="s">
        <v>1406</v>
      </c>
      <c r="Y38" s="169"/>
      <c r="Z38" s="169" t="s">
        <v>3067</v>
      </c>
      <c r="AA38" s="171">
        <v>45994</v>
      </c>
      <c r="AB38" s="169">
        <v>26</v>
      </c>
      <c r="AC38" s="169">
        <v>80071</v>
      </c>
      <c r="AD38" s="169">
        <v>57</v>
      </c>
      <c r="AE38" s="169" t="s">
        <v>1551</v>
      </c>
      <c r="AF38" s="169">
        <v>57</v>
      </c>
      <c r="AG38" s="169" t="s">
        <v>1552</v>
      </c>
      <c r="AH38" s="169" t="s">
        <v>36</v>
      </c>
      <c r="AI38" s="169" t="s">
        <v>3630</v>
      </c>
      <c r="AJ38" s="169">
        <v>1170</v>
      </c>
      <c r="AK38" s="169" t="s">
        <v>1407</v>
      </c>
      <c r="AL38" s="169">
        <v>50339</v>
      </c>
      <c r="AM38" s="169" t="s">
        <v>1408</v>
      </c>
      <c r="AN38" s="169" t="s">
        <v>3667</v>
      </c>
      <c r="AO38" s="169">
        <v>28</v>
      </c>
      <c r="AP38" s="169" t="s">
        <v>1416</v>
      </c>
      <c r="AQ38" s="169">
        <v>1</v>
      </c>
      <c r="AR38" s="169" t="s">
        <v>1410</v>
      </c>
      <c r="AS38" s="169"/>
      <c r="AT38" s="169" t="s">
        <v>1417</v>
      </c>
      <c r="AU38" s="169" t="s">
        <v>1412</v>
      </c>
    </row>
    <row r="39" spans="1:47" x14ac:dyDescent="0.45">
      <c r="A39" s="169">
        <v>2605700814</v>
      </c>
      <c r="B39" s="169">
        <v>57</v>
      </c>
      <c r="C39" s="169" t="s">
        <v>1551</v>
      </c>
      <c r="D39" s="169">
        <v>57</v>
      </c>
      <c r="E39" s="169" t="s">
        <v>1552</v>
      </c>
      <c r="F39" s="169" t="s">
        <v>3668</v>
      </c>
      <c r="G39" s="169" t="s">
        <v>3669</v>
      </c>
      <c r="H39" s="169">
        <v>1</v>
      </c>
      <c r="I39" s="169" t="s">
        <v>373</v>
      </c>
      <c r="J39" s="169" t="s">
        <v>1403</v>
      </c>
      <c r="K39" s="169">
        <v>2026</v>
      </c>
      <c r="L39" s="170">
        <v>2026</v>
      </c>
      <c r="M39" s="171">
        <v>45953</v>
      </c>
      <c r="N39" s="169" t="s">
        <v>36</v>
      </c>
      <c r="O39" s="169" t="s">
        <v>3630</v>
      </c>
      <c r="P39" s="169">
        <v>1170</v>
      </c>
      <c r="Q39" s="169" t="s">
        <v>3635</v>
      </c>
      <c r="R39" s="169">
        <v>1</v>
      </c>
      <c r="S39" s="169">
        <v>15</v>
      </c>
      <c r="T39" s="169" t="s">
        <v>1396</v>
      </c>
      <c r="U39" s="169">
        <v>37</v>
      </c>
      <c r="V39" s="170">
        <v>2680085</v>
      </c>
      <c r="W39" s="170">
        <v>0</v>
      </c>
      <c r="X39" s="170" t="s">
        <v>1406</v>
      </c>
      <c r="Y39" s="169"/>
      <c r="Z39" s="169" t="s">
        <v>3067</v>
      </c>
      <c r="AA39" s="171">
        <v>46007</v>
      </c>
      <c r="AB39" s="169">
        <v>26</v>
      </c>
      <c r="AC39" s="169">
        <v>80085</v>
      </c>
      <c r="AD39" s="169">
        <v>57</v>
      </c>
      <c r="AE39" s="169" t="s">
        <v>1551</v>
      </c>
      <c r="AF39" s="169">
        <v>57</v>
      </c>
      <c r="AG39" s="169" t="s">
        <v>1552</v>
      </c>
      <c r="AH39" s="169" t="s">
        <v>36</v>
      </c>
      <c r="AI39" s="169" t="s">
        <v>3630</v>
      </c>
      <c r="AJ39" s="169">
        <v>1170</v>
      </c>
      <c r="AK39" s="169" t="s">
        <v>1407</v>
      </c>
      <c r="AL39" s="169">
        <v>50735</v>
      </c>
      <c r="AM39" s="169" t="s">
        <v>1408</v>
      </c>
      <c r="AN39" s="169" t="s">
        <v>3670</v>
      </c>
      <c r="AO39" s="169">
        <v>28</v>
      </c>
      <c r="AP39" s="169" t="s">
        <v>1416</v>
      </c>
      <c r="AQ39" s="169">
        <v>1</v>
      </c>
      <c r="AR39" s="169" t="s">
        <v>1410</v>
      </c>
      <c r="AS39" s="169"/>
      <c r="AT39" s="169" t="s">
        <v>1417</v>
      </c>
      <c r="AU39" s="169" t="s">
        <v>1412</v>
      </c>
    </row>
    <row r="40" spans="1:47" x14ac:dyDescent="0.45">
      <c r="A40" s="169">
        <v>2605700815</v>
      </c>
      <c r="B40" s="169">
        <v>57</v>
      </c>
      <c r="C40" s="169" t="s">
        <v>1551</v>
      </c>
      <c r="D40" s="169">
        <v>57</v>
      </c>
      <c r="E40" s="169" t="s">
        <v>1552</v>
      </c>
      <c r="F40" s="169" t="s">
        <v>3671</v>
      </c>
      <c r="G40" s="169" t="s">
        <v>3672</v>
      </c>
      <c r="H40" s="169">
        <v>2</v>
      </c>
      <c r="I40" s="169" t="s">
        <v>3673</v>
      </c>
      <c r="J40" s="169" t="s">
        <v>1590</v>
      </c>
      <c r="K40" s="169">
        <v>2026</v>
      </c>
      <c r="L40" s="170">
        <v>2026</v>
      </c>
      <c r="M40" s="171">
        <v>45953</v>
      </c>
      <c r="N40" s="169" t="s">
        <v>36</v>
      </c>
      <c r="O40" s="169">
        <v>57</v>
      </c>
      <c r="P40" s="169">
        <v>1775</v>
      </c>
      <c r="Q40" s="169" t="s">
        <v>3620</v>
      </c>
      <c r="R40" s="169">
        <v>2</v>
      </c>
      <c r="S40" s="169">
        <v>3</v>
      </c>
      <c r="T40" s="169" t="s">
        <v>1477</v>
      </c>
      <c r="U40" s="169">
        <v>4</v>
      </c>
      <c r="V40" s="170">
        <v>0</v>
      </c>
      <c r="W40" s="170">
        <v>0</v>
      </c>
      <c r="X40" s="170" t="s">
        <v>1406</v>
      </c>
      <c r="Y40" s="169"/>
      <c r="Z40" s="169" t="s">
        <v>3067</v>
      </c>
      <c r="AA40" s="169"/>
      <c r="AB40" s="169">
        <v>0</v>
      </c>
      <c r="AC40" s="169">
        <v>0</v>
      </c>
      <c r="AD40" s="169">
        <v>0</v>
      </c>
      <c r="AE40" s="169" t="s">
        <v>1446</v>
      </c>
      <c r="AF40" s="169"/>
      <c r="AG40" s="169" t="s">
        <v>1446</v>
      </c>
      <c r="AH40" s="169"/>
      <c r="AI40" s="169"/>
      <c r="AJ40" s="169">
        <v>0</v>
      </c>
      <c r="AK40" s="169" t="s">
        <v>1407</v>
      </c>
      <c r="AL40" s="169">
        <v>50749</v>
      </c>
      <c r="AM40" s="169" t="s">
        <v>1408</v>
      </c>
      <c r="AN40" s="169" t="s">
        <v>3674</v>
      </c>
      <c r="AO40" s="169">
        <v>27</v>
      </c>
      <c r="AP40" s="169" t="s">
        <v>1581</v>
      </c>
      <c r="AQ40" s="169">
        <v>1</v>
      </c>
      <c r="AR40" s="169" t="s">
        <v>1499</v>
      </c>
      <c r="AS40" s="169"/>
      <c r="AT40" s="169" t="s">
        <v>1417</v>
      </c>
      <c r="AU40" s="169" t="s">
        <v>1412</v>
      </c>
    </row>
    <row r="41" spans="1:47" x14ac:dyDescent="0.45">
      <c r="A41" s="169">
        <v>2605700816</v>
      </c>
      <c r="B41" s="169">
        <v>57</v>
      </c>
      <c r="C41" s="169" t="s">
        <v>1551</v>
      </c>
      <c r="D41" s="169">
        <v>57</v>
      </c>
      <c r="E41" s="169" t="s">
        <v>1552</v>
      </c>
      <c r="F41" s="169" t="s">
        <v>3675</v>
      </c>
      <c r="G41" s="169" t="s">
        <v>3676</v>
      </c>
      <c r="H41" s="169">
        <v>2</v>
      </c>
      <c r="I41" s="169" t="s">
        <v>3677</v>
      </c>
      <c r="J41" s="169" t="s">
        <v>1590</v>
      </c>
      <c r="K41" s="169">
        <v>2026</v>
      </c>
      <c r="L41" s="170">
        <v>2026</v>
      </c>
      <c r="M41" s="171">
        <v>45955</v>
      </c>
      <c r="N41" s="169" t="s">
        <v>36</v>
      </c>
      <c r="O41" s="169">
        <v>57</v>
      </c>
      <c r="P41" s="169">
        <v>1756</v>
      </c>
      <c r="Q41" s="169" t="s">
        <v>2784</v>
      </c>
      <c r="R41" s="169">
        <v>2</v>
      </c>
      <c r="S41" s="169">
        <v>3</v>
      </c>
      <c r="T41" s="169" t="s">
        <v>1477</v>
      </c>
      <c r="U41" s="169">
        <v>4</v>
      </c>
      <c r="V41" s="170">
        <v>0</v>
      </c>
      <c r="W41" s="170">
        <v>0</v>
      </c>
      <c r="X41" s="170" t="s">
        <v>1406</v>
      </c>
      <c r="Y41" s="169"/>
      <c r="Z41" s="169" t="s">
        <v>3067</v>
      </c>
      <c r="AA41" s="169"/>
      <c r="AB41" s="169">
        <v>0</v>
      </c>
      <c r="AC41" s="169">
        <v>0</v>
      </c>
      <c r="AD41" s="169">
        <v>0</v>
      </c>
      <c r="AE41" s="169" t="s">
        <v>1446</v>
      </c>
      <c r="AF41" s="169"/>
      <c r="AG41" s="169" t="s">
        <v>1446</v>
      </c>
      <c r="AH41" s="169"/>
      <c r="AI41" s="169"/>
      <c r="AJ41" s="169">
        <v>0</v>
      </c>
      <c r="AK41" s="169" t="s">
        <v>1407</v>
      </c>
      <c r="AL41" s="169">
        <v>50074</v>
      </c>
      <c r="AM41" s="169" t="s">
        <v>1408</v>
      </c>
      <c r="AN41" s="169" t="s">
        <v>3678</v>
      </c>
      <c r="AO41" s="169">
        <v>27</v>
      </c>
      <c r="AP41" s="169" t="s">
        <v>1581</v>
      </c>
      <c r="AQ41" s="169">
        <v>1</v>
      </c>
      <c r="AR41" s="169" t="s">
        <v>1499</v>
      </c>
      <c r="AS41" s="169"/>
      <c r="AT41" s="169" t="s">
        <v>1417</v>
      </c>
      <c r="AU41" s="169" t="s">
        <v>1412</v>
      </c>
    </row>
    <row r="42" spans="1:47" x14ac:dyDescent="0.45">
      <c r="A42" s="169">
        <v>2605700817</v>
      </c>
      <c r="B42" s="169">
        <v>57</v>
      </c>
      <c r="C42" s="169" t="s">
        <v>1551</v>
      </c>
      <c r="D42" s="169">
        <v>57</v>
      </c>
      <c r="E42" s="169" t="s">
        <v>1552</v>
      </c>
      <c r="F42" s="169" t="s">
        <v>3679</v>
      </c>
      <c r="G42" s="169" t="s">
        <v>3680</v>
      </c>
      <c r="H42" s="169">
        <v>1</v>
      </c>
      <c r="I42" s="169" t="s">
        <v>3681</v>
      </c>
      <c r="J42" s="169" t="s">
        <v>1590</v>
      </c>
      <c r="K42" s="169">
        <v>2026</v>
      </c>
      <c r="L42" s="170">
        <v>2026</v>
      </c>
      <c r="M42" s="171">
        <v>45955</v>
      </c>
      <c r="N42" s="169" t="s">
        <v>36</v>
      </c>
      <c r="O42" s="169">
        <v>57</v>
      </c>
      <c r="P42" s="169">
        <v>1756</v>
      </c>
      <c r="Q42" s="169" t="s">
        <v>2784</v>
      </c>
      <c r="R42" s="169">
        <v>2</v>
      </c>
      <c r="S42" s="169">
        <v>3</v>
      </c>
      <c r="T42" s="169" t="s">
        <v>1477</v>
      </c>
      <c r="U42" s="169">
        <v>4</v>
      </c>
      <c r="V42" s="170">
        <v>0</v>
      </c>
      <c r="W42" s="170">
        <v>0</v>
      </c>
      <c r="X42" s="170" t="s">
        <v>1406</v>
      </c>
      <c r="Y42" s="169"/>
      <c r="Z42" s="169" t="s">
        <v>3067</v>
      </c>
      <c r="AA42" s="169"/>
      <c r="AB42" s="169">
        <v>0</v>
      </c>
      <c r="AC42" s="169">
        <v>0</v>
      </c>
      <c r="AD42" s="169">
        <v>0</v>
      </c>
      <c r="AE42" s="169" t="s">
        <v>1446</v>
      </c>
      <c r="AF42" s="169"/>
      <c r="AG42" s="169" t="s">
        <v>1446</v>
      </c>
      <c r="AH42" s="169"/>
      <c r="AI42" s="169"/>
      <c r="AJ42" s="169">
        <v>0</v>
      </c>
      <c r="AK42" s="169" t="s">
        <v>1407</v>
      </c>
      <c r="AL42" s="169">
        <v>50074</v>
      </c>
      <c r="AM42" s="169" t="s">
        <v>1408</v>
      </c>
      <c r="AN42" s="169" t="s">
        <v>3678</v>
      </c>
      <c r="AO42" s="169">
        <v>27</v>
      </c>
      <c r="AP42" s="169" t="s">
        <v>1581</v>
      </c>
      <c r="AQ42" s="169">
        <v>1</v>
      </c>
      <c r="AR42" s="169" t="s">
        <v>1499</v>
      </c>
      <c r="AS42" s="169"/>
      <c r="AT42" s="169" t="s">
        <v>1417</v>
      </c>
      <c r="AU42" s="169" t="s">
        <v>1412</v>
      </c>
    </row>
    <row r="43" spans="1:47" x14ac:dyDescent="0.45">
      <c r="A43" s="169">
        <v>2605700818</v>
      </c>
      <c r="B43" s="169">
        <v>57</v>
      </c>
      <c r="C43" s="169" t="s">
        <v>1551</v>
      </c>
      <c r="D43" s="169">
        <v>57</v>
      </c>
      <c r="E43" s="169" t="s">
        <v>1552</v>
      </c>
      <c r="F43" s="169" t="s">
        <v>3682</v>
      </c>
      <c r="G43" s="169" t="s">
        <v>3683</v>
      </c>
      <c r="H43" s="169">
        <v>2</v>
      </c>
      <c r="I43" s="169" t="s">
        <v>3684</v>
      </c>
      <c r="J43" s="169" t="s">
        <v>1590</v>
      </c>
      <c r="K43" s="169">
        <v>2026</v>
      </c>
      <c r="L43" s="170">
        <v>2026</v>
      </c>
      <c r="M43" s="171">
        <v>45955</v>
      </c>
      <c r="N43" s="169" t="s">
        <v>36</v>
      </c>
      <c r="O43" s="169">
        <v>57</v>
      </c>
      <c r="P43" s="169">
        <v>1756</v>
      </c>
      <c r="Q43" s="169" t="s">
        <v>2784</v>
      </c>
      <c r="R43" s="169">
        <v>2</v>
      </c>
      <c r="S43" s="169">
        <v>3</v>
      </c>
      <c r="T43" s="169" t="s">
        <v>1477</v>
      </c>
      <c r="U43" s="169">
        <v>4</v>
      </c>
      <c r="V43" s="170">
        <v>2680128</v>
      </c>
      <c r="W43" s="170">
        <v>0</v>
      </c>
      <c r="X43" s="170" t="s">
        <v>1406</v>
      </c>
      <c r="Y43" s="169"/>
      <c r="Z43" s="169" t="s">
        <v>3067</v>
      </c>
      <c r="AA43" s="171">
        <v>46037</v>
      </c>
      <c r="AB43" s="169">
        <v>26</v>
      </c>
      <c r="AC43" s="169">
        <v>80128</v>
      </c>
      <c r="AD43" s="169">
        <v>57</v>
      </c>
      <c r="AE43" s="169" t="s">
        <v>1551</v>
      </c>
      <c r="AF43" s="169">
        <v>57</v>
      </c>
      <c r="AG43" s="169" t="s">
        <v>1552</v>
      </c>
      <c r="AH43" s="169" t="s">
        <v>36</v>
      </c>
      <c r="AI43" s="169" t="s">
        <v>3630</v>
      </c>
      <c r="AJ43" s="169">
        <v>1170</v>
      </c>
      <c r="AK43" s="169" t="s">
        <v>1407</v>
      </c>
      <c r="AL43" s="169">
        <v>50074</v>
      </c>
      <c r="AM43" s="169" t="s">
        <v>1408</v>
      </c>
      <c r="AN43" s="169" t="s">
        <v>3678</v>
      </c>
      <c r="AO43" s="169">
        <v>27</v>
      </c>
      <c r="AP43" s="169" t="s">
        <v>1581</v>
      </c>
      <c r="AQ43" s="169">
        <v>1</v>
      </c>
      <c r="AR43" s="169" t="s">
        <v>1410</v>
      </c>
      <c r="AS43" s="169"/>
      <c r="AT43" s="169" t="s">
        <v>1417</v>
      </c>
      <c r="AU43" s="169" t="s">
        <v>1412</v>
      </c>
    </row>
    <row r="44" spans="1:47" x14ac:dyDescent="0.45">
      <c r="A44" s="169">
        <v>2605700819</v>
      </c>
      <c r="B44" s="169">
        <v>57</v>
      </c>
      <c r="C44" s="169" t="s">
        <v>1551</v>
      </c>
      <c r="D44" s="169">
        <v>57</v>
      </c>
      <c r="E44" s="169" t="s">
        <v>1552</v>
      </c>
      <c r="F44" s="169" t="s">
        <v>3685</v>
      </c>
      <c r="G44" s="169" t="s">
        <v>3686</v>
      </c>
      <c r="H44" s="169">
        <v>2</v>
      </c>
      <c r="I44" s="169" t="s">
        <v>3684</v>
      </c>
      <c r="J44" s="169" t="s">
        <v>1590</v>
      </c>
      <c r="K44" s="169">
        <v>2026</v>
      </c>
      <c r="L44" s="170">
        <v>2026</v>
      </c>
      <c r="M44" s="171">
        <v>45955</v>
      </c>
      <c r="N44" s="169" t="s">
        <v>36</v>
      </c>
      <c r="O44" s="169">
        <v>57</v>
      </c>
      <c r="P44" s="169">
        <v>1756</v>
      </c>
      <c r="Q44" s="169" t="s">
        <v>2784</v>
      </c>
      <c r="R44" s="169">
        <v>2</v>
      </c>
      <c r="S44" s="169">
        <v>3</v>
      </c>
      <c r="T44" s="169" t="s">
        <v>1477</v>
      </c>
      <c r="U44" s="169">
        <v>4</v>
      </c>
      <c r="V44" s="170">
        <v>0</v>
      </c>
      <c r="W44" s="170">
        <v>0</v>
      </c>
      <c r="X44" s="170" t="s">
        <v>1406</v>
      </c>
      <c r="Y44" s="169"/>
      <c r="Z44" s="169" t="s">
        <v>3067</v>
      </c>
      <c r="AA44" s="169"/>
      <c r="AB44" s="169">
        <v>0</v>
      </c>
      <c r="AC44" s="169">
        <v>0</v>
      </c>
      <c r="AD44" s="169">
        <v>0</v>
      </c>
      <c r="AE44" s="169" t="s">
        <v>1446</v>
      </c>
      <c r="AF44" s="169"/>
      <c r="AG44" s="169" t="s">
        <v>1446</v>
      </c>
      <c r="AH44" s="169"/>
      <c r="AI44" s="169"/>
      <c r="AJ44" s="169">
        <v>0</v>
      </c>
      <c r="AK44" s="169" t="s">
        <v>1407</v>
      </c>
      <c r="AL44" s="169">
        <v>50074</v>
      </c>
      <c r="AM44" s="169" t="s">
        <v>1408</v>
      </c>
      <c r="AN44" s="169" t="s">
        <v>3678</v>
      </c>
      <c r="AO44" s="169">
        <v>27</v>
      </c>
      <c r="AP44" s="169" t="s">
        <v>1581</v>
      </c>
      <c r="AQ44" s="169">
        <v>1</v>
      </c>
      <c r="AR44" s="169" t="s">
        <v>1499</v>
      </c>
      <c r="AS44" s="169"/>
      <c r="AT44" s="169" t="s">
        <v>1417</v>
      </c>
      <c r="AU44" s="169" t="s">
        <v>1412</v>
      </c>
    </row>
    <row r="45" spans="1:47" x14ac:dyDescent="0.45">
      <c r="A45" s="169">
        <v>2605700820</v>
      </c>
      <c r="B45" s="169">
        <v>57</v>
      </c>
      <c r="C45" s="169" t="s">
        <v>1551</v>
      </c>
      <c r="D45" s="169">
        <v>57</v>
      </c>
      <c r="E45" s="169" t="s">
        <v>1552</v>
      </c>
      <c r="F45" s="169" t="s">
        <v>3687</v>
      </c>
      <c r="G45" s="169" t="s">
        <v>3688</v>
      </c>
      <c r="H45" s="169">
        <v>1</v>
      </c>
      <c r="I45" s="169" t="s">
        <v>3689</v>
      </c>
      <c r="J45" s="169" t="s">
        <v>1403</v>
      </c>
      <c r="K45" s="169">
        <v>2026</v>
      </c>
      <c r="L45" s="170">
        <v>2026</v>
      </c>
      <c r="M45" s="171">
        <v>45957</v>
      </c>
      <c r="N45" s="169" t="s">
        <v>36</v>
      </c>
      <c r="O45" s="169" t="s">
        <v>3630</v>
      </c>
      <c r="P45" s="169">
        <v>1170</v>
      </c>
      <c r="Q45" s="169" t="s">
        <v>3635</v>
      </c>
      <c r="R45" s="169">
        <v>1</v>
      </c>
      <c r="S45" s="169">
        <v>15</v>
      </c>
      <c r="T45" s="169" t="s">
        <v>1396</v>
      </c>
      <c r="U45" s="169">
        <v>37</v>
      </c>
      <c r="V45" s="170">
        <v>0</v>
      </c>
      <c r="W45" s="170">
        <v>0</v>
      </c>
      <c r="X45" s="170" t="s">
        <v>1406</v>
      </c>
      <c r="Y45" s="169"/>
      <c r="Z45" s="169" t="s">
        <v>3067</v>
      </c>
      <c r="AA45" s="169"/>
      <c r="AB45" s="169">
        <v>0</v>
      </c>
      <c r="AC45" s="169">
        <v>0</v>
      </c>
      <c r="AD45" s="169">
        <v>0</v>
      </c>
      <c r="AE45" s="169" t="s">
        <v>1446</v>
      </c>
      <c r="AF45" s="169"/>
      <c r="AG45" s="169" t="s">
        <v>1446</v>
      </c>
      <c r="AH45" s="169"/>
      <c r="AI45" s="169"/>
      <c r="AJ45" s="169">
        <v>0</v>
      </c>
      <c r="AK45" s="169" t="s">
        <v>1407</v>
      </c>
      <c r="AL45" s="169">
        <v>50431</v>
      </c>
      <c r="AM45" s="169" t="s">
        <v>1408</v>
      </c>
      <c r="AN45" s="169" t="s">
        <v>3690</v>
      </c>
      <c r="AO45" s="169">
        <v>28</v>
      </c>
      <c r="AP45" s="169" t="s">
        <v>1416</v>
      </c>
      <c r="AQ45" s="169">
        <v>1</v>
      </c>
      <c r="AR45" s="169" t="s">
        <v>1499</v>
      </c>
      <c r="AS45" s="169"/>
      <c r="AT45" s="169" t="s">
        <v>1417</v>
      </c>
      <c r="AU45" s="169" t="s">
        <v>1412</v>
      </c>
    </row>
    <row r="46" spans="1:47" x14ac:dyDescent="0.45">
      <c r="A46" s="169">
        <v>2605700821</v>
      </c>
      <c r="B46" s="169">
        <v>57</v>
      </c>
      <c r="C46" s="169" t="s">
        <v>1551</v>
      </c>
      <c r="D46" s="169">
        <v>57</v>
      </c>
      <c r="E46" s="169" t="s">
        <v>1552</v>
      </c>
      <c r="F46" s="169" t="s">
        <v>3691</v>
      </c>
      <c r="G46" s="169" t="s">
        <v>3692</v>
      </c>
      <c r="H46" s="169">
        <v>2</v>
      </c>
      <c r="I46" s="169" t="s">
        <v>3693</v>
      </c>
      <c r="J46" s="169" t="s">
        <v>1403</v>
      </c>
      <c r="K46" s="169">
        <v>2026</v>
      </c>
      <c r="L46" s="170">
        <v>2026</v>
      </c>
      <c r="M46" s="171">
        <v>45957</v>
      </c>
      <c r="N46" s="169" t="s">
        <v>36</v>
      </c>
      <c r="O46" s="169" t="s">
        <v>3630</v>
      </c>
      <c r="P46" s="169">
        <v>1170</v>
      </c>
      <c r="Q46" s="169" t="s">
        <v>3635</v>
      </c>
      <c r="R46" s="169">
        <v>1</v>
      </c>
      <c r="S46" s="169">
        <v>15</v>
      </c>
      <c r="T46" s="169" t="s">
        <v>1396</v>
      </c>
      <c r="U46" s="169">
        <v>37</v>
      </c>
      <c r="V46" s="170">
        <v>2680096</v>
      </c>
      <c r="W46" s="170">
        <v>0</v>
      </c>
      <c r="X46" s="170" t="s">
        <v>1406</v>
      </c>
      <c r="Y46" s="169"/>
      <c r="Z46" s="169" t="s">
        <v>3067</v>
      </c>
      <c r="AA46" s="171">
        <v>46013</v>
      </c>
      <c r="AB46" s="169">
        <v>26</v>
      </c>
      <c r="AC46" s="169">
        <v>80096</v>
      </c>
      <c r="AD46" s="169">
        <v>57</v>
      </c>
      <c r="AE46" s="169" t="s">
        <v>1551</v>
      </c>
      <c r="AF46" s="169">
        <v>57</v>
      </c>
      <c r="AG46" s="169" t="s">
        <v>1552</v>
      </c>
      <c r="AH46" s="169" t="s">
        <v>36</v>
      </c>
      <c r="AI46" s="169" t="s">
        <v>3630</v>
      </c>
      <c r="AJ46" s="169">
        <v>1170</v>
      </c>
      <c r="AK46" s="169" t="s">
        <v>1407</v>
      </c>
      <c r="AL46" s="169">
        <v>50431</v>
      </c>
      <c r="AM46" s="169" t="s">
        <v>1408</v>
      </c>
      <c r="AN46" s="169" t="s">
        <v>3690</v>
      </c>
      <c r="AO46" s="169">
        <v>28</v>
      </c>
      <c r="AP46" s="169" t="s">
        <v>1416</v>
      </c>
      <c r="AQ46" s="169">
        <v>1</v>
      </c>
      <c r="AR46" s="169" t="s">
        <v>1410</v>
      </c>
      <c r="AS46" s="169"/>
      <c r="AT46" s="169" t="s">
        <v>1417</v>
      </c>
      <c r="AU46" s="169" t="s">
        <v>1412</v>
      </c>
    </row>
    <row r="47" spans="1:47" x14ac:dyDescent="0.45">
      <c r="A47" s="169">
        <v>2605700822</v>
      </c>
      <c r="B47" s="169">
        <v>57</v>
      </c>
      <c r="C47" s="169" t="s">
        <v>1551</v>
      </c>
      <c r="D47" s="169">
        <v>57</v>
      </c>
      <c r="E47" s="169" t="s">
        <v>1552</v>
      </c>
      <c r="F47" s="169" t="s">
        <v>3694</v>
      </c>
      <c r="G47" s="169" t="s">
        <v>3695</v>
      </c>
      <c r="H47" s="169">
        <v>1</v>
      </c>
      <c r="I47" s="169" t="s">
        <v>3696</v>
      </c>
      <c r="J47" s="169" t="s">
        <v>1403</v>
      </c>
      <c r="K47" s="169">
        <v>2026</v>
      </c>
      <c r="L47" s="170">
        <v>2026</v>
      </c>
      <c r="M47" s="171">
        <v>45958</v>
      </c>
      <c r="N47" s="169" t="s">
        <v>36</v>
      </c>
      <c r="O47" s="169" t="s">
        <v>3630</v>
      </c>
      <c r="P47" s="169">
        <v>1170</v>
      </c>
      <c r="Q47" s="169" t="s">
        <v>3635</v>
      </c>
      <c r="R47" s="169">
        <v>1</v>
      </c>
      <c r="S47" s="169">
        <v>15</v>
      </c>
      <c r="T47" s="169" t="s">
        <v>1396</v>
      </c>
      <c r="U47" s="169">
        <v>37</v>
      </c>
      <c r="V47" s="170">
        <v>0</v>
      </c>
      <c r="W47" s="170">
        <v>0</v>
      </c>
      <c r="X47" s="170" t="s">
        <v>1406</v>
      </c>
      <c r="Y47" s="169"/>
      <c r="Z47" s="169" t="s">
        <v>3067</v>
      </c>
      <c r="AA47" s="169"/>
      <c r="AB47" s="169">
        <v>0</v>
      </c>
      <c r="AC47" s="169">
        <v>0</v>
      </c>
      <c r="AD47" s="169">
        <v>0</v>
      </c>
      <c r="AE47" s="169" t="s">
        <v>1446</v>
      </c>
      <c r="AF47" s="169"/>
      <c r="AG47" s="169" t="s">
        <v>1446</v>
      </c>
      <c r="AH47" s="169"/>
      <c r="AI47" s="169"/>
      <c r="AJ47" s="169">
        <v>0</v>
      </c>
      <c r="AK47" s="169" t="s">
        <v>1407</v>
      </c>
      <c r="AL47" s="169">
        <v>50431</v>
      </c>
      <c r="AM47" s="169" t="s">
        <v>1408</v>
      </c>
      <c r="AN47" s="169" t="s">
        <v>3690</v>
      </c>
      <c r="AO47" s="169">
        <v>28</v>
      </c>
      <c r="AP47" s="169" t="s">
        <v>1416</v>
      </c>
      <c r="AQ47" s="169">
        <v>1</v>
      </c>
      <c r="AR47" s="169" t="s">
        <v>1499</v>
      </c>
      <c r="AS47" s="169"/>
      <c r="AT47" s="169" t="s">
        <v>1417</v>
      </c>
      <c r="AU47" s="169" t="s">
        <v>1412</v>
      </c>
    </row>
    <row r="48" spans="1:47" x14ac:dyDescent="0.45">
      <c r="A48" s="169">
        <v>2605700823</v>
      </c>
      <c r="B48" s="169">
        <v>57</v>
      </c>
      <c r="C48" s="169" t="s">
        <v>1551</v>
      </c>
      <c r="D48" s="169">
        <v>57</v>
      </c>
      <c r="E48" s="169" t="s">
        <v>1552</v>
      </c>
      <c r="F48" s="169" t="s">
        <v>3697</v>
      </c>
      <c r="G48" s="169" t="s">
        <v>3698</v>
      </c>
      <c r="H48" s="169">
        <v>1</v>
      </c>
      <c r="I48" s="169" t="s">
        <v>3699</v>
      </c>
      <c r="J48" s="169" t="s">
        <v>3700</v>
      </c>
      <c r="K48" s="169">
        <v>2026</v>
      </c>
      <c r="L48" s="170">
        <v>2026</v>
      </c>
      <c r="M48" s="171">
        <v>45959</v>
      </c>
      <c r="N48" s="169" t="s">
        <v>36</v>
      </c>
      <c r="O48" s="169" t="s">
        <v>3630</v>
      </c>
      <c r="P48" s="169">
        <v>1170</v>
      </c>
      <c r="Q48" s="169" t="s">
        <v>3635</v>
      </c>
      <c r="R48" s="169">
        <v>1</v>
      </c>
      <c r="S48" s="169">
        <v>15</v>
      </c>
      <c r="T48" s="169" t="s">
        <v>1396</v>
      </c>
      <c r="U48" s="169">
        <v>37</v>
      </c>
      <c r="V48" s="170">
        <v>2680089</v>
      </c>
      <c r="W48" s="170">
        <v>0</v>
      </c>
      <c r="X48" s="170" t="s">
        <v>1406</v>
      </c>
      <c r="Y48" s="169"/>
      <c r="Z48" s="169" t="s">
        <v>3067</v>
      </c>
      <c r="AA48" s="171">
        <v>46008</v>
      </c>
      <c r="AB48" s="169">
        <v>26</v>
      </c>
      <c r="AC48" s="169">
        <v>80089</v>
      </c>
      <c r="AD48" s="169">
        <v>57</v>
      </c>
      <c r="AE48" s="169" t="s">
        <v>1551</v>
      </c>
      <c r="AF48" s="169">
        <v>57</v>
      </c>
      <c r="AG48" s="169" t="s">
        <v>1552</v>
      </c>
      <c r="AH48" s="169" t="s">
        <v>36</v>
      </c>
      <c r="AI48" s="169" t="s">
        <v>3630</v>
      </c>
      <c r="AJ48" s="169">
        <v>1170</v>
      </c>
      <c r="AK48" s="169" t="s">
        <v>1407</v>
      </c>
      <c r="AL48" s="169">
        <v>50526</v>
      </c>
      <c r="AM48" s="169" t="s">
        <v>1408</v>
      </c>
      <c r="AN48" s="169" t="s">
        <v>3701</v>
      </c>
      <c r="AO48" s="169">
        <v>22</v>
      </c>
      <c r="AP48" s="169" t="s">
        <v>3702</v>
      </c>
      <c r="AQ48" s="169">
        <v>1</v>
      </c>
      <c r="AR48" s="169" t="s">
        <v>1410</v>
      </c>
      <c r="AS48" s="169"/>
      <c r="AT48" s="169" t="s">
        <v>1417</v>
      </c>
      <c r="AU48" s="169" t="s">
        <v>1412</v>
      </c>
    </row>
    <row r="49" spans="1:47" x14ac:dyDescent="0.45">
      <c r="A49" s="169">
        <v>2605700824</v>
      </c>
      <c r="B49" s="169">
        <v>57</v>
      </c>
      <c r="C49" s="169" t="s">
        <v>1551</v>
      </c>
      <c r="D49" s="169">
        <v>57</v>
      </c>
      <c r="E49" s="169" t="s">
        <v>1552</v>
      </c>
      <c r="F49" s="169" t="s">
        <v>3703</v>
      </c>
      <c r="G49" s="169" t="s">
        <v>3704</v>
      </c>
      <c r="H49" s="169">
        <v>1</v>
      </c>
      <c r="I49" s="169" t="s">
        <v>3705</v>
      </c>
      <c r="J49" s="169" t="s">
        <v>1403</v>
      </c>
      <c r="K49" s="169">
        <v>2026</v>
      </c>
      <c r="L49" s="170">
        <v>2026</v>
      </c>
      <c r="M49" s="171">
        <v>45959</v>
      </c>
      <c r="N49" s="169" t="s">
        <v>36</v>
      </c>
      <c r="O49" s="169" t="s">
        <v>3630</v>
      </c>
      <c r="P49" s="169">
        <v>1170</v>
      </c>
      <c r="Q49" s="169" t="s">
        <v>3635</v>
      </c>
      <c r="R49" s="169">
        <v>1</v>
      </c>
      <c r="S49" s="169">
        <v>15</v>
      </c>
      <c r="T49" s="169" t="s">
        <v>1396</v>
      </c>
      <c r="U49" s="169">
        <v>37</v>
      </c>
      <c r="V49" s="170">
        <v>0</v>
      </c>
      <c r="W49" s="170">
        <v>0</v>
      </c>
      <c r="X49" s="170" t="s">
        <v>1406</v>
      </c>
      <c r="Y49" s="169"/>
      <c r="Z49" s="169" t="s">
        <v>3067</v>
      </c>
      <c r="AA49" s="169"/>
      <c r="AB49" s="169">
        <v>0</v>
      </c>
      <c r="AC49" s="169">
        <v>0</v>
      </c>
      <c r="AD49" s="169">
        <v>0</v>
      </c>
      <c r="AE49" s="169" t="s">
        <v>1446</v>
      </c>
      <c r="AF49" s="169"/>
      <c r="AG49" s="169" t="s">
        <v>1446</v>
      </c>
      <c r="AH49" s="169"/>
      <c r="AI49" s="169"/>
      <c r="AJ49" s="169">
        <v>0</v>
      </c>
      <c r="AK49" s="169" t="s">
        <v>1407</v>
      </c>
      <c r="AL49" s="169">
        <v>50431</v>
      </c>
      <c r="AM49" s="169" t="s">
        <v>1408</v>
      </c>
      <c r="AN49" s="169" t="s">
        <v>3690</v>
      </c>
      <c r="AO49" s="169">
        <v>28</v>
      </c>
      <c r="AP49" s="169" t="s">
        <v>1416</v>
      </c>
      <c r="AQ49" s="169">
        <v>1</v>
      </c>
      <c r="AR49" s="169" t="s">
        <v>1499</v>
      </c>
      <c r="AS49" s="169"/>
      <c r="AT49" s="169" t="s">
        <v>1417</v>
      </c>
      <c r="AU49" s="169" t="s">
        <v>1412</v>
      </c>
    </row>
    <row r="50" spans="1:47" x14ac:dyDescent="0.45">
      <c r="A50" s="169">
        <v>2605700825</v>
      </c>
      <c r="B50" s="169">
        <v>57</v>
      </c>
      <c r="C50" s="169" t="s">
        <v>1551</v>
      </c>
      <c r="D50" s="169">
        <v>57</v>
      </c>
      <c r="E50" s="169" t="s">
        <v>1552</v>
      </c>
      <c r="F50" s="169" t="s">
        <v>3706</v>
      </c>
      <c r="G50" s="169" t="s">
        <v>3707</v>
      </c>
      <c r="H50" s="169">
        <v>1</v>
      </c>
      <c r="I50" s="169" t="s">
        <v>1853</v>
      </c>
      <c r="J50" s="169" t="s">
        <v>1403</v>
      </c>
      <c r="K50" s="169">
        <v>2026</v>
      </c>
      <c r="L50" s="170">
        <v>2026</v>
      </c>
      <c r="M50" s="171">
        <v>45960</v>
      </c>
      <c r="N50" s="169" t="s">
        <v>36</v>
      </c>
      <c r="O50" s="169">
        <v>57</v>
      </c>
      <c r="P50" s="169">
        <v>1044</v>
      </c>
      <c r="Q50" s="169" t="s">
        <v>1476</v>
      </c>
      <c r="R50" s="169">
        <v>2</v>
      </c>
      <c r="S50" s="169">
        <v>3</v>
      </c>
      <c r="T50" s="169" t="s">
        <v>1477</v>
      </c>
      <c r="U50" s="169">
        <v>4</v>
      </c>
      <c r="V50" s="170">
        <v>0</v>
      </c>
      <c r="W50" s="170">
        <v>0</v>
      </c>
      <c r="X50" s="170" t="s">
        <v>1406</v>
      </c>
      <c r="Y50" s="169"/>
      <c r="Z50" s="169" t="s">
        <v>3067</v>
      </c>
      <c r="AA50" s="169"/>
      <c r="AB50" s="169">
        <v>0</v>
      </c>
      <c r="AC50" s="169">
        <v>0</v>
      </c>
      <c r="AD50" s="169">
        <v>0</v>
      </c>
      <c r="AE50" s="169" t="s">
        <v>1446</v>
      </c>
      <c r="AF50" s="169"/>
      <c r="AG50" s="169" t="s">
        <v>1446</v>
      </c>
      <c r="AH50" s="169"/>
      <c r="AI50" s="169"/>
      <c r="AJ50" s="169">
        <v>0</v>
      </c>
      <c r="AK50" s="169" t="s">
        <v>1407</v>
      </c>
      <c r="AL50" s="169">
        <v>50442</v>
      </c>
      <c r="AM50" s="169" t="s">
        <v>1408</v>
      </c>
      <c r="AN50" s="169" t="s">
        <v>3708</v>
      </c>
      <c r="AO50" s="169">
        <v>28</v>
      </c>
      <c r="AP50" s="169" t="s">
        <v>1416</v>
      </c>
      <c r="AQ50" s="169">
        <v>1</v>
      </c>
      <c r="AR50" s="169" t="s">
        <v>1499</v>
      </c>
      <c r="AS50" s="169"/>
      <c r="AT50" s="169" t="s">
        <v>1417</v>
      </c>
      <c r="AU50" s="169" t="s">
        <v>1412</v>
      </c>
    </row>
    <row r="51" spans="1:47" x14ac:dyDescent="0.45">
      <c r="A51" s="169">
        <v>2605700826</v>
      </c>
      <c r="B51" s="169">
        <v>57</v>
      </c>
      <c r="C51" s="169" t="s">
        <v>1551</v>
      </c>
      <c r="D51" s="169">
        <v>57</v>
      </c>
      <c r="E51" s="169" t="s">
        <v>1552</v>
      </c>
      <c r="F51" s="169" t="s">
        <v>3709</v>
      </c>
      <c r="G51" s="169" t="s">
        <v>3710</v>
      </c>
      <c r="H51" s="169">
        <v>1</v>
      </c>
      <c r="I51" s="169" t="s">
        <v>3711</v>
      </c>
      <c r="J51" s="169" t="s">
        <v>1403</v>
      </c>
      <c r="K51" s="169">
        <v>2026</v>
      </c>
      <c r="L51" s="170">
        <v>2026</v>
      </c>
      <c r="M51" s="171">
        <v>45961</v>
      </c>
      <c r="N51" s="169" t="s">
        <v>36</v>
      </c>
      <c r="O51" s="169" t="s">
        <v>3630</v>
      </c>
      <c r="P51" s="169">
        <v>1170</v>
      </c>
      <c r="Q51" s="169" t="s">
        <v>3635</v>
      </c>
      <c r="R51" s="169">
        <v>1</v>
      </c>
      <c r="S51" s="169">
        <v>15</v>
      </c>
      <c r="T51" s="169" t="s">
        <v>1396</v>
      </c>
      <c r="U51" s="169">
        <v>37</v>
      </c>
      <c r="V51" s="170">
        <v>2680084</v>
      </c>
      <c r="W51" s="170">
        <v>0</v>
      </c>
      <c r="X51" s="170" t="s">
        <v>1406</v>
      </c>
      <c r="Y51" s="169"/>
      <c r="Z51" s="169" t="s">
        <v>3067</v>
      </c>
      <c r="AA51" s="171">
        <v>46007</v>
      </c>
      <c r="AB51" s="169">
        <v>26</v>
      </c>
      <c r="AC51" s="169">
        <v>80084</v>
      </c>
      <c r="AD51" s="169">
        <v>57</v>
      </c>
      <c r="AE51" s="169" t="s">
        <v>1551</v>
      </c>
      <c r="AF51" s="169">
        <v>57</v>
      </c>
      <c r="AG51" s="169" t="s">
        <v>1552</v>
      </c>
      <c r="AH51" s="169" t="s">
        <v>36</v>
      </c>
      <c r="AI51" s="169" t="s">
        <v>3630</v>
      </c>
      <c r="AJ51" s="169">
        <v>1170</v>
      </c>
      <c r="AK51" s="169" t="s">
        <v>1407</v>
      </c>
      <c r="AL51" s="169">
        <v>50433</v>
      </c>
      <c r="AM51" s="169" t="s">
        <v>1408</v>
      </c>
      <c r="AN51" s="169" t="s">
        <v>3712</v>
      </c>
      <c r="AO51" s="169">
        <v>28</v>
      </c>
      <c r="AP51" s="169" t="s">
        <v>1416</v>
      </c>
      <c r="AQ51" s="169">
        <v>1</v>
      </c>
      <c r="AR51" s="169" t="s">
        <v>1410</v>
      </c>
      <c r="AS51" s="169"/>
      <c r="AT51" s="169" t="s">
        <v>1417</v>
      </c>
      <c r="AU51" s="169" t="s">
        <v>1412</v>
      </c>
    </row>
    <row r="52" spans="1:47" x14ac:dyDescent="0.45">
      <c r="A52" s="169">
        <v>2605700827</v>
      </c>
      <c r="B52" s="169">
        <v>57</v>
      </c>
      <c r="C52" s="169" t="s">
        <v>1551</v>
      </c>
      <c r="D52" s="169">
        <v>57</v>
      </c>
      <c r="E52" s="169" t="s">
        <v>1552</v>
      </c>
      <c r="F52" s="169" t="s">
        <v>3713</v>
      </c>
      <c r="G52" s="169" t="s">
        <v>3714</v>
      </c>
      <c r="H52" s="169">
        <v>1</v>
      </c>
      <c r="I52" s="169" t="s">
        <v>3715</v>
      </c>
      <c r="J52" s="169" t="s">
        <v>1403</v>
      </c>
      <c r="K52" s="169">
        <v>2026</v>
      </c>
      <c r="L52" s="170">
        <v>2026</v>
      </c>
      <c r="M52" s="171">
        <v>45966</v>
      </c>
      <c r="N52" s="169" t="s">
        <v>36</v>
      </c>
      <c r="O52" s="169" t="s">
        <v>3630</v>
      </c>
      <c r="P52" s="169">
        <v>1170</v>
      </c>
      <c r="Q52" s="169" t="s">
        <v>3635</v>
      </c>
      <c r="R52" s="169">
        <v>1</v>
      </c>
      <c r="S52" s="169">
        <v>15</v>
      </c>
      <c r="T52" s="169" t="s">
        <v>1396</v>
      </c>
      <c r="U52" s="169">
        <v>37</v>
      </c>
      <c r="V52" s="170">
        <v>2680126</v>
      </c>
      <c r="W52" s="170">
        <v>0</v>
      </c>
      <c r="X52" s="170" t="s">
        <v>1406</v>
      </c>
      <c r="Y52" s="169"/>
      <c r="Z52" s="169" t="s">
        <v>3067</v>
      </c>
      <c r="AA52" s="171">
        <v>46036</v>
      </c>
      <c r="AB52" s="169">
        <v>26</v>
      </c>
      <c r="AC52" s="169">
        <v>80126</v>
      </c>
      <c r="AD52" s="169">
        <v>57</v>
      </c>
      <c r="AE52" s="169" t="s">
        <v>1551</v>
      </c>
      <c r="AF52" s="169">
        <v>57</v>
      </c>
      <c r="AG52" s="169" t="s">
        <v>1552</v>
      </c>
      <c r="AH52" s="169" t="s">
        <v>36</v>
      </c>
      <c r="AI52" s="169" t="s">
        <v>3630</v>
      </c>
      <c r="AJ52" s="169">
        <v>1170</v>
      </c>
      <c r="AK52" s="169" t="s">
        <v>1407</v>
      </c>
      <c r="AL52" s="169">
        <v>50441</v>
      </c>
      <c r="AM52" s="169" t="s">
        <v>1408</v>
      </c>
      <c r="AN52" s="169" t="s">
        <v>3716</v>
      </c>
      <c r="AO52" s="169">
        <v>28</v>
      </c>
      <c r="AP52" s="169" t="s">
        <v>1416</v>
      </c>
      <c r="AQ52" s="169">
        <v>1</v>
      </c>
      <c r="AR52" s="169" t="s">
        <v>1410</v>
      </c>
      <c r="AS52" s="169"/>
      <c r="AT52" s="169" t="s">
        <v>1417</v>
      </c>
      <c r="AU52" s="169" t="s">
        <v>1412</v>
      </c>
    </row>
    <row r="53" spans="1:47" x14ac:dyDescent="0.45">
      <c r="A53" s="169">
        <v>2605700828</v>
      </c>
      <c r="B53" s="169">
        <v>57</v>
      </c>
      <c r="C53" s="169" t="s">
        <v>1551</v>
      </c>
      <c r="D53" s="169">
        <v>57</v>
      </c>
      <c r="E53" s="169" t="s">
        <v>1552</v>
      </c>
      <c r="F53" s="169" t="s">
        <v>3717</v>
      </c>
      <c r="G53" s="169" t="s">
        <v>3718</v>
      </c>
      <c r="H53" s="169">
        <v>2</v>
      </c>
      <c r="I53" s="169" t="s">
        <v>3719</v>
      </c>
      <c r="J53" s="169" t="s">
        <v>1403</v>
      </c>
      <c r="K53" s="169">
        <v>2026</v>
      </c>
      <c r="L53" s="170">
        <v>2026</v>
      </c>
      <c r="M53" s="171">
        <v>45966</v>
      </c>
      <c r="N53" s="169" t="s">
        <v>36</v>
      </c>
      <c r="O53" s="169">
        <v>57</v>
      </c>
      <c r="P53" s="169">
        <v>1044</v>
      </c>
      <c r="Q53" s="169" t="s">
        <v>1476</v>
      </c>
      <c r="R53" s="169">
        <v>2</v>
      </c>
      <c r="S53" s="169">
        <v>3</v>
      </c>
      <c r="T53" s="169" t="s">
        <v>1477</v>
      </c>
      <c r="U53" s="169">
        <v>4</v>
      </c>
      <c r="V53" s="170">
        <v>2680114</v>
      </c>
      <c r="W53" s="170">
        <v>0</v>
      </c>
      <c r="X53" s="170" t="s">
        <v>1406</v>
      </c>
      <c r="Y53" s="169"/>
      <c r="Z53" s="169" t="s">
        <v>3067</v>
      </c>
      <c r="AA53" s="171">
        <v>46029</v>
      </c>
      <c r="AB53" s="169">
        <v>26</v>
      </c>
      <c r="AC53" s="169">
        <v>80114</v>
      </c>
      <c r="AD53" s="169">
        <v>57</v>
      </c>
      <c r="AE53" s="169" t="s">
        <v>1551</v>
      </c>
      <c r="AF53" s="169">
        <v>57</v>
      </c>
      <c r="AG53" s="169" t="s">
        <v>1552</v>
      </c>
      <c r="AH53" s="169" t="s">
        <v>36</v>
      </c>
      <c r="AI53" s="169">
        <v>57</v>
      </c>
      <c r="AJ53" s="169">
        <v>1044</v>
      </c>
      <c r="AK53" s="169" t="s">
        <v>1407</v>
      </c>
      <c r="AL53" s="169">
        <v>50438</v>
      </c>
      <c r="AM53" s="169" t="s">
        <v>1408</v>
      </c>
      <c r="AN53" s="169" t="s">
        <v>3720</v>
      </c>
      <c r="AO53" s="169">
        <v>28</v>
      </c>
      <c r="AP53" s="169" t="s">
        <v>1416</v>
      </c>
      <c r="AQ53" s="169">
        <v>1</v>
      </c>
      <c r="AR53" s="169" t="s">
        <v>1410</v>
      </c>
      <c r="AS53" s="169"/>
      <c r="AT53" s="169" t="s">
        <v>1417</v>
      </c>
      <c r="AU53" s="169" t="s">
        <v>1412</v>
      </c>
    </row>
    <row r="54" spans="1:47" x14ac:dyDescent="0.45">
      <c r="A54" s="169">
        <v>2605700829</v>
      </c>
      <c r="B54" s="169">
        <v>57</v>
      </c>
      <c r="C54" s="169" t="s">
        <v>1551</v>
      </c>
      <c r="D54" s="169">
        <v>57</v>
      </c>
      <c r="E54" s="169" t="s">
        <v>1552</v>
      </c>
      <c r="F54" s="169" t="s">
        <v>3721</v>
      </c>
      <c r="G54" s="169" t="s">
        <v>3722</v>
      </c>
      <c r="H54" s="169">
        <v>1</v>
      </c>
      <c r="I54" s="169" t="s">
        <v>3723</v>
      </c>
      <c r="J54" s="169" t="s">
        <v>1403</v>
      </c>
      <c r="K54" s="169">
        <v>2026</v>
      </c>
      <c r="L54" s="170">
        <v>2026</v>
      </c>
      <c r="M54" s="171">
        <v>45966</v>
      </c>
      <c r="N54" s="169" t="s">
        <v>36</v>
      </c>
      <c r="O54" s="169" t="s">
        <v>3630</v>
      </c>
      <c r="P54" s="169">
        <v>1170</v>
      </c>
      <c r="Q54" s="169" t="s">
        <v>3635</v>
      </c>
      <c r="R54" s="169">
        <v>1</v>
      </c>
      <c r="S54" s="169">
        <v>15</v>
      </c>
      <c r="T54" s="169" t="s">
        <v>1396</v>
      </c>
      <c r="U54" s="169">
        <v>37</v>
      </c>
      <c r="V54" s="170">
        <v>0</v>
      </c>
      <c r="W54" s="170">
        <v>0</v>
      </c>
      <c r="X54" s="170" t="s">
        <v>1406</v>
      </c>
      <c r="Y54" s="169"/>
      <c r="Z54" s="169" t="s">
        <v>3067</v>
      </c>
      <c r="AA54" s="169"/>
      <c r="AB54" s="169">
        <v>0</v>
      </c>
      <c r="AC54" s="169">
        <v>0</v>
      </c>
      <c r="AD54" s="169">
        <v>0</v>
      </c>
      <c r="AE54" s="169" t="s">
        <v>1446</v>
      </c>
      <c r="AF54" s="169"/>
      <c r="AG54" s="169" t="s">
        <v>1446</v>
      </c>
      <c r="AH54" s="169"/>
      <c r="AI54" s="169"/>
      <c r="AJ54" s="169">
        <v>0</v>
      </c>
      <c r="AK54" s="169" t="s">
        <v>1407</v>
      </c>
      <c r="AL54" s="169">
        <v>50431</v>
      </c>
      <c r="AM54" s="169" t="s">
        <v>1408</v>
      </c>
      <c r="AN54" s="169" t="s">
        <v>3690</v>
      </c>
      <c r="AO54" s="169">
        <v>28</v>
      </c>
      <c r="AP54" s="169" t="s">
        <v>1416</v>
      </c>
      <c r="AQ54" s="169">
        <v>1</v>
      </c>
      <c r="AR54" s="169" t="s">
        <v>1499</v>
      </c>
      <c r="AS54" s="169"/>
      <c r="AT54" s="169" t="s">
        <v>1417</v>
      </c>
      <c r="AU54" s="169" t="s">
        <v>1412</v>
      </c>
    </row>
    <row r="55" spans="1:47" x14ac:dyDescent="0.45">
      <c r="A55" s="169">
        <v>2605700830</v>
      </c>
      <c r="B55" s="169">
        <v>57</v>
      </c>
      <c r="C55" s="169" t="s">
        <v>1551</v>
      </c>
      <c r="D55" s="169">
        <v>57</v>
      </c>
      <c r="E55" s="169" t="s">
        <v>1552</v>
      </c>
      <c r="F55" s="169" t="s">
        <v>3724</v>
      </c>
      <c r="G55" s="169" t="s">
        <v>3725</v>
      </c>
      <c r="H55" s="169">
        <v>1</v>
      </c>
      <c r="I55" s="169" t="s">
        <v>373</v>
      </c>
      <c r="J55" s="169" t="s">
        <v>1403</v>
      </c>
      <c r="K55" s="169">
        <v>2026</v>
      </c>
      <c r="L55" s="170">
        <v>2026</v>
      </c>
      <c r="M55" s="171">
        <v>45968</v>
      </c>
      <c r="N55" s="169" t="s">
        <v>36</v>
      </c>
      <c r="O55" s="169" t="s">
        <v>3630</v>
      </c>
      <c r="P55" s="169">
        <v>1170</v>
      </c>
      <c r="Q55" s="169" t="s">
        <v>3635</v>
      </c>
      <c r="R55" s="169">
        <v>1</v>
      </c>
      <c r="S55" s="169">
        <v>15</v>
      </c>
      <c r="T55" s="169" t="s">
        <v>1396</v>
      </c>
      <c r="U55" s="169">
        <v>37</v>
      </c>
      <c r="V55" s="170">
        <v>0</v>
      </c>
      <c r="W55" s="170">
        <v>0</v>
      </c>
      <c r="X55" s="170" t="s">
        <v>1406</v>
      </c>
      <c r="Y55" s="169"/>
      <c r="Z55" s="169" t="s">
        <v>3067</v>
      </c>
      <c r="AA55" s="169"/>
      <c r="AB55" s="169">
        <v>0</v>
      </c>
      <c r="AC55" s="169">
        <v>0</v>
      </c>
      <c r="AD55" s="169">
        <v>0</v>
      </c>
      <c r="AE55" s="169" t="s">
        <v>1446</v>
      </c>
      <c r="AF55" s="169"/>
      <c r="AG55" s="169" t="s">
        <v>1446</v>
      </c>
      <c r="AH55" s="169"/>
      <c r="AI55" s="169"/>
      <c r="AJ55" s="169">
        <v>0</v>
      </c>
      <c r="AK55" s="169" t="s">
        <v>1407</v>
      </c>
      <c r="AL55" s="169">
        <v>50431</v>
      </c>
      <c r="AM55" s="169" t="s">
        <v>1408</v>
      </c>
      <c r="AN55" s="169" t="s">
        <v>3690</v>
      </c>
      <c r="AO55" s="169">
        <v>28</v>
      </c>
      <c r="AP55" s="169" t="s">
        <v>1416</v>
      </c>
      <c r="AQ55" s="169">
        <v>1</v>
      </c>
      <c r="AR55" s="169" t="s">
        <v>1499</v>
      </c>
      <c r="AS55" s="169"/>
      <c r="AT55" s="169" t="s">
        <v>1417</v>
      </c>
      <c r="AU55" s="169" t="s">
        <v>1412</v>
      </c>
    </row>
    <row r="56" spans="1:47" x14ac:dyDescent="0.45">
      <c r="A56" s="169">
        <v>2605700831</v>
      </c>
      <c r="B56" s="169">
        <v>57</v>
      </c>
      <c r="C56" s="169" t="s">
        <v>1551</v>
      </c>
      <c r="D56" s="169">
        <v>57</v>
      </c>
      <c r="E56" s="169" t="s">
        <v>1552</v>
      </c>
      <c r="F56" s="169" t="s">
        <v>3726</v>
      </c>
      <c r="G56" s="169" t="s">
        <v>3727</v>
      </c>
      <c r="H56" s="169">
        <v>1</v>
      </c>
      <c r="I56" s="169" t="s">
        <v>3728</v>
      </c>
      <c r="J56" s="169" t="s">
        <v>1590</v>
      </c>
      <c r="K56" s="169">
        <v>2026</v>
      </c>
      <c r="L56" s="170">
        <v>2026</v>
      </c>
      <c r="M56" s="171">
        <v>45968</v>
      </c>
      <c r="N56" s="169" t="s">
        <v>36</v>
      </c>
      <c r="O56" s="169" t="s">
        <v>3630</v>
      </c>
      <c r="P56" s="169">
        <v>1170</v>
      </c>
      <c r="Q56" s="169" t="s">
        <v>3635</v>
      </c>
      <c r="R56" s="169">
        <v>1</v>
      </c>
      <c r="S56" s="169">
        <v>15</v>
      </c>
      <c r="T56" s="169" t="s">
        <v>1396</v>
      </c>
      <c r="U56" s="169">
        <v>37</v>
      </c>
      <c r="V56" s="170">
        <v>0</v>
      </c>
      <c r="W56" s="170">
        <v>0</v>
      </c>
      <c r="X56" s="170" t="s">
        <v>1406</v>
      </c>
      <c r="Y56" s="169"/>
      <c r="Z56" s="169" t="s">
        <v>3067</v>
      </c>
      <c r="AA56" s="169"/>
      <c r="AB56" s="169">
        <v>0</v>
      </c>
      <c r="AC56" s="169">
        <v>0</v>
      </c>
      <c r="AD56" s="169">
        <v>0</v>
      </c>
      <c r="AE56" s="169" t="s">
        <v>1446</v>
      </c>
      <c r="AF56" s="169"/>
      <c r="AG56" s="169" t="s">
        <v>1446</v>
      </c>
      <c r="AH56" s="169"/>
      <c r="AI56" s="169"/>
      <c r="AJ56" s="169">
        <v>0</v>
      </c>
      <c r="AK56" s="169" t="s">
        <v>1407</v>
      </c>
      <c r="AL56" s="169">
        <v>50808</v>
      </c>
      <c r="AM56" s="169" t="s">
        <v>1408</v>
      </c>
      <c r="AN56" s="169" t="s">
        <v>3729</v>
      </c>
      <c r="AO56" s="169">
        <v>28</v>
      </c>
      <c r="AP56" s="169" t="s">
        <v>1416</v>
      </c>
      <c r="AQ56" s="169">
        <v>1</v>
      </c>
      <c r="AR56" s="169" t="s">
        <v>1499</v>
      </c>
      <c r="AS56" s="169"/>
      <c r="AT56" s="169" t="s">
        <v>1417</v>
      </c>
      <c r="AU56" s="169" t="s">
        <v>1412</v>
      </c>
    </row>
    <row r="57" spans="1:47" x14ac:dyDescent="0.45">
      <c r="A57" s="169">
        <v>2605700832</v>
      </c>
      <c r="B57" s="169">
        <v>57</v>
      </c>
      <c r="C57" s="169" t="s">
        <v>1551</v>
      </c>
      <c r="D57" s="169">
        <v>57</v>
      </c>
      <c r="E57" s="169" t="s">
        <v>1552</v>
      </c>
      <c r="F57" s="169" t="s">
        <v>3730</v>
      </c>
      <c r="G57" s="169" t="s">
        <v>3731</v>
      </c>
      <c r="H57" s="169">
        <v>1</v>
      </c>
      <c r="I57" s="169" t="s">
        <v>3732</v>
      </c>
      <c r="J57" s="169" t="s">
        <v>1403</v>
      </c>
      <c r="K57" s="169">
        <v>2026</v>
      </c>
      <c r="L57" s="170">
        <v>2026</v>
      </c>
      <c r="M57" s="171">
        <v>45972</v>
      </c>
      <c r="N57" s="169" t="s">
        <v>36</v>
      </c>
      <c r="O57" s="169" t="s">
        <v>3630</v>
      </c>
      <c r="P57" s="169">
        <v>1170</v>
      </c>
      <c r="Q57" s="169" t="s">
        <v>3635</v>
      </c>
      <c r="R57" s="169">
        <v>1</v>
      </c>
      <c r="S57" s="169">
        <v>15</v>
      </c>
      <c r="T57" s="169" t="s">
        <v>1396</v>
      </c>
      <c r="U57" s="169">
        <v>37</v>
      </c>
      <c r="V57" s="170">
        <v>0</v>
      </c>
      <c r="W57" s="170">
        <v>0</v>
      </c>
      <c r="X57" s="170" t="s">
        <v>1406</v>
      </c>
      <c r="Y57" s="169"/>
      <c r="Z57" s="169" t="s">
        <v>3067</v>
      </c>
      <c r="AA57" s="169"/>
      <c r="AB57" s="169">
        <v>0</v>
      </c>
      <c r="AC57" s="169">
        <v>0</v>
      </c>
      <c r="AD57" s="169">
        <v>0</v>
      </c>
      <c r="AE57" s="169" t="s">
        <v>1446</v>
      </c>
      <c r="AF57" s="169"/>
      <c r="AG57" s="169" t="s">
        <v>1446</v>
      </c>
      <c r="AH57" s="169"/>
      <c r="AI57" s="169"/>
      <c r="AJ57" s="169">
        <v>0</v>
      </c>
      <c r="AK57" s="169" t="s">
        <v>1407</v>
      </c>
      <c r="AL57" s="169">
        <v>50735</v>
      </c>
      <c r="AM57" s="169" t="s">
        <v>1408</v>
      </c>
      <c r="AN57" s="169" t="s">
        <v>3670</v>
      </c>
      <c r="AO57" s="169">
        <v>28</v>
      </c>
      <c r="AP57" s="169" t="s">
        <v>1416</v>
      </c>
      <c r="AQ57" s="169">
        <v>1</v>
      </c>
      <c r="AR57" s="169" t="s">
        <v>1499</v>
      </c>
      <c r="AS57" s="169"/>
      <c r="AT57" s="169" t="s">
        <v>1417</v>
      </c>
      <c r="AU57" s="169" t="s">
        <v>1412</v>
      </c>
    </row>
    <row r="58" spans="1:47" x14ac:dyDescent="0.45">
      <c r="A58" s="169">
        <v>2605700833</v>
      </c>
      <c r="B58" s="169">
        <v>57</v>
      </c>
      <c r="C58" s="169" t="s">
        <v>1551</v>
      </c>
      <c r="D58" s="169">
        <v>57</v>
      </c>
      <c r="E58" s="169" t="s">
        <v>1552</v>
      </c>
      <c r="F58" s="169" t="s">
        <v>3733</v>
      </c>
      <c r="G58" s="169" t="s">
        <v>3734</v>
      </c>
      <c r="H58" s="169">
        <v>1</v>
      </c>
      <c r="I58" s="169" t="s">
        <v>3696</v>
      </c>
      <c r="J58" s="169" t="s">
        <v>1403</v>
      </c>
      <c r="K58" s="169">
        <v>2026</v>
      </c>
      <c r="L58" s="170">
        <v>2026</v>
      </c>
      <c r="M58" s="171">
        <v>45972</v>
      </c>
      <c r="N58" s="169" t="s">
        <v>36</v>
      </c>
      <c r="O58" s="169" t="s">
        <v>3630</v>
      </c>
      <c r="P58" s="169">
        <v>1170</v>
      </c>
      <c r="Q58" s="169" t="s">
        <v>3635</v>
      </c>
      <c r="R58" s="169">
        <v>1</v>
      </c>
      <c r="S58" s="169">
        <v>15</v>
      </c>
      <c r="T58" s="169" t="s">
        <v>1396</v>
      </c>
      <c r="U58" s="169">
        <v>37</v>
      </c>
      <c r="V58" s="170">
        <v>0</v>
      </c>
      <c r="W58" s="170">
        <v>0</v>
      </c>
      <c r="X58" s="170" t="s">
        <v>1406</v>
      </c>
      <c r="Y58" s="169"/>
      <c r="Z58" s="169" t="s">
        <v>3067</v>
      </c>
      <c r="AA58" s="169"/>
      <c r="AB58" s="169">
        <v>0</v>
      </c>
      <c r="AC58" s="169">
        <v>0</v>
      </c>
      <c r="AD58" s="169">
        <v>0</v>
      </c>
      <c r="AE58" s="169" t="s">
        <v>1446</v>
      </c>
      <c r="AF58" s="169"/>
      <c r="AG58" s="169" t="s">
        <v>1446</v>
      </c>
      <c r="AH58" s="169"/>
      <c r="AI58" s="169"/>
      <c r="AJ58" s="169">
        <v>0</v>
      </c>
      <c r="AK58" s="169" t="s">
        <v>1407</v>
      </c>
      <c r="AL58" s="169">
        <v>50431</v>
      </c>
      <c r="AM58" s="169" t="s">
        <v>1408</v>
      </c>
      <c r="AN58" s="169" t="s">
        <v>3690</v>
      </c>
      <c r="AO58" s="169">
        <v>28</v>
      </c>
      <c r="AP58" s="169" t="s">
        <v>1416</v>
      </c>
      <c r="AQ58" s="169">
        <v>1</v>
      </c>
      <c r="AR58" s="169" t="s">
        <v>1499</v>
      </c>
      <c r="AS58" s="169"/>
      <c r="AT58" s="169" t="s">
        <v>1417</v>
      </c>
      <c r="AU58" s="169" t="s">
        <v>1412</v>
      </c>
    </row>
    <row r="59" spans="1:47" x14ac:dyDescent="0.45">
      <c r="A59" s="169">
        <v>2605700834</v>
      </c>
      <c r="B59" s="169">
        <v>57</v>
      </c>
      <c r="C59" s="169" t="s">
        <v>1551</v>
      </c>
      <c r="D59" s="169">
        <v>57</v>
      </c>
      <c r="E59" s="169" t="s">
        <v>1552</v>
      </c>
      <c r="F59" s="169" t="s">
        <v>3735</v>
      </c>
      <c r="G59" s="169" t="s">
        <v>3736</v>
      </c>
      <c r="H59" s="169">
        <v>1</v>
      </c>
      <c r="I59" s="169" t="s">
        <v>3696</v>
      </c>
      <c r="J59" s="169" t="s">
        <v>1403</v>
      </c>
      <c r="K59" s="169">
        <v>2026</v>
      </c>
      <c r="L59" s="170">
        <v>2026</v>
      </c>
      <c r="M59" s="171">
        <v>45972</v>
      </c>
      <c r="N59" s="169" t="s">
        <v>36</v>
      </c>
      <c r="O59" s="169" t="s">
        <v>3630</v>
      </c>
      <c r="P59" s="169">
        <v>1170</v>
      </c>
      <c r="Q59" s="169" t="s">
        <v>3635</v>
      </c>
      <c r="R59" s="169">
        <v>1</v>
      </c>
      <c r="S59" s="169">
        <v>15</v>
      </c>
      <c r="T59" s="169" t="s">
        <v>1396</v>
      </c>
      <c r="U59" s="169">
        <v>37</v>
      </c>
      <c r="V59" s="170">
        <v>0</v>
      </c>
      <c r="W59" s="170">
        <v>0</v>
      </c>
      <c r="X59" s="170" t="s">
        <v>1406</v>
      </c>
      <c r="Y59" s="169"/>
      <c r="Z59" s="169" t="s">
        <v>3067</v>
      </c>
      <c r="AA59" s="169"/>
      <c r="AB59" s="169">
        <v>0</v>
      </c>
      <c r="AC59" s="169">
        <v>0</v>
      </c>
      <c r="AD59" s="169">
        <v>0</v>
      </c>
      <c r="AE59" s="169" t="s">
        <v>1446</v>
      </c>
      <c r="AF59" s="169"/>
      <c r="AG59" s="169" t="s">
        <v>1446</v>
      </c>
      <c r="AH59" s="169"/>
      <c r="AI59" s="169"/>
      <c r="AJ59" s="169">
        <v>0</v>
      </c>
      <c r="AK59" s="169" t="s">
        <v>1407</v>
      </c>
      <c r="AL59" s="169">
        <v>50431</v>
      </c>
      <c r="AM59" s="169" t="s">
        <v>1408</v>
      </c>
      <c r="AN59" s="169" t="s">
        <v>3690</v>
      </c>
      <c r="AO59" s="169">
        <v>28</v>
      </c>
      <c r="AP59" s="169" t="s">
        <v>1416</v>
      </c>
      <c r="AQ59" s="169">
        <v>1</v>
      </c>
      <c r="AR59" s="169" t="s">
        <v>1499</v>
      </c>
      <c r="AS59" s="169"/>
      <c r="AT59" s="169" t="s">
        <v>1417</v>
      </c>
      <c r="AU59" s="169" t="s">
        <v>1412</v>
      </c>
    </row>
    <row r="60" spans="1:47" x14ac:dyDescent="0.45">
      <c r="A60" s="169">
        <v>2605700835</v>
      </c>
      <c r="B60" s="169">
        <v>57</v>
      </c>
      <c r="C60" s="169" t="s">
        <v>1551</v>
      </c>
      <c r="D60" s="169">
        <v>57</v>
      </c>
      <c r="E60" s="169" t="s">
        <v>1552</v>
      </c>
      <c r="F60" s="169" t="s">
        <v>3737</v>
      </c>
      <c r="G60" s="169" t="s">
        <v>3738</v>
      </c>
      <c r="H60" s="169">
        <v>1</v>
      </c>
      <c r="I60" s="169" t="s">
        <v>3028</v>
      </c>
      <c r="J60" s="169" t="s">
        <v>1403</v>
      </c>
      <c r="K60" s="169">
        <v>2026</v>
      </c>
      <c r="L60" s="170">
        <v>2026</v>
      </c>
      <c r="M60" s="171">
        <v>45972</v>
      </c>
      <c r="N60" s="169" t="s">
        <v>36</v>
      </c>
      <c r="O60" s="169" t="s">
        <v>3630</v>
      </c>
      <c r="P60" s="169">
        <v>1170</v>
      </c>
      <c r="Q60" s="169" t="s">
        <v>3635</v>
      </c>
      <c r="R60" s="169">
        <v>1</v>
      </c>
      <c r="S60" s="169">
        <v>15</v>
      </c>
      <c r="T60" s="169" t="s">
        <v>1396</v>
      </c>
      <c r="U60" s="169">
        <v>37</v>
      </c>
      <c r="V60" s="170">
        <v>2680117</v>
      </c>
      <c r="W60" s="170">
        <v>0</v>
      </c>
      <c r="X60" s="170" t="s">
        <v>1406</v>
      </c>
      <c r="Y60" s="169"/>
      <c r="Z60" s="169" t="s">
        <v>3067</v>
      </c>
      <c r="AA60" s="171">
        <v>46030</v>
      </c>
      <c r="AB60" s="169">
        <v>26</v>
      </c>
      <c r="AC60" s="169">
        <v>80117</v>
      </c>
      <c r="AD60" s="169">
        <v>57</v>
      </c>
      <c r="AE60" s="169" t="s">
        <v>1551</v>
      </c>
      <c r="AF60" s="169">
        <v>57</v>
      </c>
      <c r="AG60" s="169" t="s">
        <v>1552</v>
      </c>
      <c r="AH60" s="169" t="s">
        <v>36</v>
      </c>
      <c r="AI60" s="169" t="s">
        <v>3630</v>
      </c>
      <c r="AJ60" s="169">
        <v>1170</v>
      </c>
      <c r="AK60" s="169" t="s">
        <v>1407</v>
      </c>
      <c r="AL60" s="169">
        <v>50339</v>
      </c>
      <c r="AM60" s="169" t="s">
        <v>1408</v>
      </c>
      <c r="AN60" s="169" t="s">
        <v>3667</v>
      </c>
      <c r="AO60" s="169">
        <v>28</v>
      </c>
      <c r="AP60" s="169" t="s">
        <v>1416</v>
      </c>
      <c r="AQ60" s="169">
        <v>1</v>
      </c>
      <c r="AR60" s="169" t="s">
        <v>1410</v>
      </c>
      <c r="AS60" s="169"/>
      <c r="AT60" s="169" t="s">
        <v>1417</v>
      </c>
      <c r="AU60" s="169" t="s">
        <v>1412</v>
      </c>
    </row>
    <row r="61" spans="1:47" x14ac:dyDescent="0.45">
      <c r="A61" s="169">
        <v>2605700836</v>
      </c>
      <c r="B61" s="169">
        <v>57</v>
      </c>
      <c r="C61" s="169" t="s">
        <v>1551</v>
      </c>
      <c r="D61" s="169">
        <v>57</v>
      </c>
      <c r="E61" s="169" t="s">
        <v>1552</v>
      </c>
      <c r="F61" s="169" t="s">
        <v>3739</v>
      </c>
      <c r="G61" s="169" t="s">
        <v>3740</v>
      </c>
      <c r="H61" s="169">
        <v>1</v>
      </c>
      <c r="I61" s="169" t="s">
        <v>3741</v>
      </c>
      <c r="J61" s="169" t="s">
        <v>1403</v>
      </c>
      <c r="K61" s="169">
        <v>2026</v>
      </c>
      <c r="L61" s="170">
        <v>2026</v>
      </c>
      <c r="M61" s="171">
        <v>45972</v>
      </c>
      <c r="N61" s="169" t="s">
        <v>36</v>
      </c>
      <c r="O61" s="169" t="s">
        <v>3630</v>
      </c>
      <c r="P61" s="169">
        <v>1170</v>
      </c>
      <c r="Q61" s="169" t="s">
        <v>3635</v>
      </c>
      <c r="R61" s="169">
        <v>1</v>
      </c>
      <c r="S61" s="169">
        <v>15</v>
      </c>
      <c r="T61" s="169" t="s">
        <v>1396</v>
      </c>
      <c r="U61" s="169">
        <v>37</v>
      </c>
      <c r="V61" s="170">
        <v>0</v>
      </c>
      <c r="W61" s="170">
        <v>0</v>
      </c>
      <c r="X61" s="170" t="s">
        <v>1406</v>
      </c>
      <c r="Y61" s="169"/>
      <c r="Z61" s="169" t="s">
        <v>3067</v>
      </c>
      <c r="AA61" s="169"/>
      <c r="AB61" s="169">
        <v>0</v>
      </c>
      <c r="AC61" s="169">
        <v>0</v>
      </c>
      <c r="AD61" s="169">
        <v>0</v>
      </c>
      <c r="AE61" s="169" t="s">
        <v>1446</v>
      </c>
      <c r="AF61" s="169"/>
      <c r="AG61" s="169" t="s">
        <v>1446</v>
      </c>
      <c r="AH61" s="169"/>
      <c r="AI61" s="169"/>
      <c r="AJ61" s="169">
        <v>0</v>
      </c>
      <c r="AK61" s="169" t="s">
        <v>1407</v>
      </c>
      <c r="AL61" s="169">
        <v>50808</v>
      </c>
      <c r="AM61" s="169" t="s">
        <v>1408</v>
      </c>
      <c r="AN61" s="169" t="s">
        <v>3729</v>
      </c>
      <c r="AO61" s="169">
        <v>28</v>
      </c>
      <c r="AP61" s="169" t="s">
        <v>1416</v>
      </c>
      <c r="AQ61" s="169">
        <v>1</v>
      </c>
      <c r="AR61" s="169" t="s">
        <v>1499</v>
      </c>
      <c r="AS61" s="169"/>
      <c r="AT61" s="169" t="s">
        <v>1417</v>
      </c>
      <c r="AU61" s="169" t="s">
        <v>1412</v>
      </c>
    </row>
    <row r="62" spans="1:47" x14ac:dyDescent="0.45">
      <c r="A62" s="169">
        <v>2605700837</v>
      </c>
      <c r="B62" s="169">
        <v>57</v>
      </c>
      <c r="C62" s="169" t="s">
        <v>1551</v>
      </c>
      <c r="D62" s="169">
        <v>57</v>
      </c>
      <c r="E62" s="169" t="s">
        <v>1552</v>
      </c>
      <c r="F62" s="169" t="s">
        <v>3742</v>
      </c>
      <c r="G62" s="169" t="s">
        <v>3743</v>
      </c>
      <c r="H62" s="169">
        <v>1</v>
      </c>
      <c r="I62" s="169" t="s">
        <v>3744</v>
      </c>
      <c r="J62" s="169" t="s">
        <v>1403</v>
      </c>
      <c r="K62" s="169">
        <v>2026</v>
      </c>
      <c r="L62" s="170">
        <v>2026</v>
      </c>
      <c r="M62" s="171">
        <v>45972</v>
      </c>
      <c r="N62" s="169" t="s">
        <v>36</v>
      </c>
      <c r="O62" s="169" t="s">
        <v>3630</v>
      </c>
      <c r="P62" s="169">
        <v>1170</v>
      </c>
      <c r="Q62" s="169" t="s">
        <v>3635</v>
      </c>
      <c r="R62" s="169">
        <v>1</v>
      </c>
      <c r="S62" s="169">
        <v>15</v>
      </c>
      <c r="T62" s="169" t="s">
        <v>1396</v>
      </c>
      <c r="U62" s="169">
        <v>37</v>
      </c>
      <c r="V62" s="170">
        <v>0</v>
      </c>
      <c r="W62" s="170">
        <v>0</v>
      </c>
      <c r="X62" s="170" t="s">
        <v>1406</v>
      </c>
      <c r="Y62" s="169"/>
      <c r="Z62" s="169" t="s">
        <v>3067</v>
      </c>
      <c r="AA62" s="169"/>
      <c r="AB62" s="169">
        <v>0</v>
      </c>
      <c r="AC62" s="169">
        <v>0</v>
      </c>
      <c r="AD62" s="169">
        <v>0</v>
      </c>
      <c r="AE62" s="169" t="s">
        <v>1446</v>
      </c>
      <c r="AF62" s="169"/>
      <c r="AG62" s="169" t="s">
        <v>1446</v>
      </c>
      <c r="AH62" s="169"/>
      <c r="AI62" s="169"/>
      <c r="AJ62" s="169">
        <v>0</v>
      </c>
      <c r="AK62" s="169" t="s">
        <v>1407</v>
      </c>
      <c r="AL62" s="169">
        <v>50449</v>
      </c>
      <c r="AM62" s="169" t="s">
        <v>1408</v>
      </c>
      <c r="AN62" s="169" t="s">
        <v>3745</v>
      </c>
      <c r="AO62" s="169">
        <v>28</v>
      </c>
      <c r="AP62" s="169" t="s">
        <v>1416</v>
      </c>
      <c r="AQ62" s="169">
        <v>1</v>
      </c>
      <c r="AR62" s="169" t="s">
        <v>1499</v>
      </c>
      <c r="AS62" s="169"/>
      <c r="AT62" s="169" t="s">
        <v>1417</v>
      </c>
      <c r="AU62" s="169" t="s">
        <v>1412</v>
      </c>
    </row>
    <row r="63" spans="1:47" x14ac:dyDescent="0.45">
      <c r="A63" s="169">
        <v>2605700838</v>
      </c>
      <c r="B63" s="169">
        <v>57</v>
      </c>
      <c r="C63" s="169" t="s">
        <v>1551</v>
      </c>
      <c r="D63" s="169">
        <v>57</v>
      </c>
      <c r="E63" s="169" t="s">
        <v>1552</v>
      </c>
      <c r="F63" s="169" t="s">
        <v>3746</v>
      </c>
      <c r="G63" s="169" t="s">
        <v>3747</v>
      </c>
      <c r="H63" s="169">
        <v>2</v>
      </c>
      <c r="I63" s="169" t="s">
        <v>3748</v>
      </c>
      <c r="J63" s="169" t="s">
        <v>1403</v>
      </c>
      <c r="K63" s="169">
        <v>2026</v>
      </c>
      <c r="L63" s="170">
        <v>2026</v>
      </c>
      <c r="M63" s="171">
        <v>45972</v>
      </c>
      <c r="N63" s="169" t="s">
        <v>36</v>
      </c>
      <c r="O63" s="169" t="s">
        <v>3630</v>
      </c>
      <c r="P63" s="169">
        <v>1170</v>
      </c>
      <c r="Q63" s="169" t="s">
        <v>3635</v>
      </c>
      <c r="R63" s="169">
        <v>1</v>
      </c>
      <c r="S63" s="169">
        <v>15</v>
      </c>
      <c r="T63" s="169" t="s">
        <v>1396</v>
      </c>
      <c r="U63" s="169">
        <v>37</v>
      </c>
      <c r="V63" s="170">
        <v>2680074</v>
      </c>
      <c r="W63" s="170">
        <v>0</v>
      </c>
      <c r="X63" s="170" t="s">
        <v>1406</v>
      </c>
      <c r="Y63" s="169"/>
      <c r="Z63" s="169" t="s">
        <v>3067</v>
      </c>
      <c r="AA63" s="171">
        <v>45999</v>
      </c>
      <c r="AB63" s="169">
        <v>26</v>
      </c>
      <c r="AC63" s="169">
        <v>80074</v>
      </c>
      <c r="AD63" s="169">
        <v>57</v>
      </c>
      <c r="AE63" s="169" t="s">
        <v>1551</v>
      </c>
      <c r="AF63" s="169">
        <v>57</v>
      </c>
      <c r="AG63" s="169" t="s">
        <v>1552</v>
      </c>
      <c r="AH63" s="169" t="s">
        <v>36</v>
      </c>
      <c r="AI63" s="169" t="s">
        <v>3630</v>
      </c>
      <c r="AJ63" s="169">
        <v>1170</v>
      </c>
      <c r="AK63" s="169" t="s">
        <v>1407</v>
      </c>
      <c r="AL63" s="169">
        <v>50449</v>
      </c>
      <c r="AM63" s="169" t="s">
        <v>1408</v>
      </c>
      <c r="AN63" s="169" t="s">
        <v>3745</v>
      </c>
      <c r="AO63" s="169">
        <v>28</v>
      </c>
      <c r="AP63" s="169" t="s">
        <v>1416</v>
      </c>
      <c r="AQ63" s="169">
        <v>1</v>
      </c>
      <c r="AR63" s="169" t="s">
        <v>1410</v>
      </c>
      <c r="AS63" s="169"/>
      <c r="AT63" s="169" t="s">
        <v>1417</v>
      </c>
      <c r="AU63" s="169" t="s">
        <v>1412</v>
      </c>
    </row>
    <row r="64" spans="1:47" x14ac:dyDescent="0.45">
      <c r="A64" s="169">
        <v>2605700839</v>
      </c>
      <c r="B64" s="169">
        <v>57</v>
      </c>
      <c r="C64" s="169" t="s">
        <v>1551</v>
      </c>
      <c r="D64" s="169">
        <v>57</v>
      </c>
      <c r="E64" s="169" t="s">
        <v>1552</v>
      </c>
      <c r="F64" s="169" t="s">
        <v>3749</v>
      </c>
      <c r="G64" s="169" t="s">
        <v>3750</v>
      </c>
      <c r="H64" s="169">
        <v>2</v>
      </c>
      <c r="I64" s="169" t="s">
        <v>3751</v>
      </c>
      <c r="J64" s="169" t="s">
        <v>1403</v>
      </c>
      <c r="K64" s="169">
        <v>2026</v>
      </c>
      <c r="L64" s="170">
        <v>2026</v>
      </c>
      <c r="M64" s="171">
        <v>45973</v>
      </c>
      <c r="N64" s="169" t="s">
        <v>36</v>
      </c>
      <c r="O64" s="169" t="s">
        <v>3630</v>
      </c>
      <c r="P64" s="169">
        <v>1170</v>
      </c>
      <c r="Q64" s="169" t="s">
        <v>3635</v>
      </c>
      <c r="R64" s="169">
        <v>1</v>
      </c>
      <c r="S64" s="169">
        <v>15</v>
      </c>
      <c r="T64" s="169" t="s">
        <v>1396</v>
      </c>
      <c r="U64" s="169">
        <v>37</v>
      </c>
      <c r="V64" s="170">
        <v>2680122</v>
      </c>
      <c r="W64" s="170">
        <v>0</v>
      </c>
      <c r="X64" s="170" t="s">
        <v>1406</v>
      </c>
      <c r="Y64" s="169"/>
      <c r="Z64" s="169" t="s">
        <v>3067</v>
      </c>
      <c r="AA64" s="171">
        <v>46031</v>
      </c>
      <c r="AB64" s="169">
        <v>26</v>
      </c>
      <c r="AC64" s="169">
        <v>80122</v>
      </c>
      <c r="AD64" s="169">
        <v>57</v>
      </c>
      <c r="AE64" s="169" t="s">
        <v>1551</v>
      </c>
      <c r="AF64" s="169">
        <v>57</v>
      </c>
      <c r="AG64" s="169" t="s">
        <v>1552</v>
      </c>
      <c r="AH64" s="169" t="s">
        <v>36</v>
      </c>
      <c r="AI64" s="169" t="s">
        <v>3630</v>
      </c>
      <c r="AJ64" s="169">
        <v>1170</v>
      </c>
      <c r="AK64" s="169" t="s">
        <v>1407</v>
      </c>
      <c r="AL64" s="169">
        <v>50438</v>
      </c>
      <c r="AM64" s="169" t="s">
        <v>1408</v>
      </c>
      <c r="AN64" s="169" t="s">
        <v>3720</v>
      </c>
      <c r="AO64" s="169">
        <v>28</v>
      </c>
      <c r="AP64" s="169" t="s">
        <v>1416</v>
      </c>
      <c r="AQ64" s="169">
        <v>1</v>
      </c>
      <c r="AR64" s="169" t="s">
        <v>1410</v>
      </c>
      <c r="AS64" s="169"/>
      <c r="AT64" s="169" t="s">
        <v>1417</v>
      </c>
      <c r="AU64" s="169" t="s">
        <v>1412</v>
      </c>
    </row>
    <row r="65" spans="1:47" x14ac:dyDescent="0.45">
      <c r="A65" s="169">
        <v>2605700840</v>
      </c>
      <c r="B65" s="169">
        <v>57</v>
      </c>
      <c r="C65" s="169" t="s">
        <v>1551</v>
      </c>
      <c r="D65" s="169">
        <v>57</v>
      </c>
      <c r="E65" s="169" t="s">
        <v>1552</v>
      </c>
      <c r="F65" s="169" t="s">
        <v>3752</v>
      </c>
      <c r="G65" s="169" t="s">
        <v>3753</v>
      </c>
      <c r="H65" s="169">
        <v>2</v>
      </c>
      <c r="I65" s="169" t="s">
        <v>3754</v>
      </c>
      <c r="J65" s="169" t="s">
        <v>1403</v>
      </c>
      <c r="K65" s="169">
        <v>2026</v>
      </c>
      <c r="L65" s="170">
        <v>2026</v>
      </c>
      <c r="M65" s="171">
        <v>45973</v>
      </c>
      <c r="N65" s="169" t="s">
        <v>36</v>
      </c>
      <c r="O65" s="169" t="s">
        <v>3630</v>
      </c>
      <c r="P65" s="169">
        <v>1170</v>
      </c>
      <c r="Q65" s="169" t="s">
        <v>3635</v>
      </c>
      <c r="R65" s="169">
        <v>1</v>
      </c>
      <c r="S65" s="169">
        <v>15</v>
      </c>
      <c r="T65" s="169" t="s">
        <v>1396</v>
      </c>
      <c r="U65" s="169">
        <v>37</v>
      </c>
      <c r="V65" s="170">
        <v>0</v>
      </c>
      <c r="W65" s="170">
        <v>0</v>
      </c>
      <c r="X65" s="170" t="s">
        <v>1406</v>
      </c>
      <c r="Y65" s="169"/>
      <c r="Z65" s="169" t="s">
        <v>3067</v>
      </c>
      <c r="AA65" s="169"/>
      <c r="AB65" s="169">
        <v>0</v>
      </c>
      <c r="AC65" s="169">
        <v>0</v>
      </c>
      <c r="AD65" s="169">
        <v>0</v>
      </c>
      <c r="AE65" s="169" t="s">
        <v>1446</v>
      </c>
      <c r="AF65" s="169"/>
      <c r="AG65" s="169" t="s">
        <v>1446</v>
      </c>
      <c r="AH65" s="169"/>
      <c r="AI65" s="169"/>
      <c r="AJ65" s="169">
        <v>0</v>
      </c>
      <c r="AK65" s="169" t="s">
        <v>1407</v>
      </c>
      <c r="AL65" s="169">
        <v>50430</v>
      </c>
      <c r="AM65" s="169" t="s">
        <v>1408</v>
      </c>
      <c r="AN65" s="169" t="s">
        <v>3755</v>
      </c>
      <c r="AO65" s="169">
        <v>28</v>
      </c>
      <c r="AP65" s="169" t="s">
        <v>1416</v>
      </c>
      <c r="AQ65" s="169">
        <v>1</v>
      </c>
      <c r="AR65" s="169" t="s">
        <v>1499</v>
      </c>
      <c r="AS65" s="169"/>
      <c r="AT65" s="169" t="s">
        <v>1417</v>
      </c>
      <c r="AU65" s="169" t="s">
        <v>1412</v>
      </c>
    </row>
    <row r="66" spans="1:47" x14ac:dyDescent="0.45">
      <c r="A66" s="169">
        <v>2605700841</v>
      </c>
      <c r="B66" s="169">
        <v>57</v>
      </c>
      <c r="C66" s="169" t="s">
        <v>1551</v>
      </c>
      <c r="D66" s="169">
        <v>57</v>
      </c>
      <c r="E66" s="169" t="s">
        <v>1552</v>
      </c>
      <c r="F66" s="169" t="s">
        <v>3756</v>
      </c>
      <c r="G66" s="169" t="s">
        <v>3757</v>
      </c>
      <c r="H66" s="169">
        <v>2</v>
      </c>
      <c r="I66" s="169" t="s">
        <v>3758</v>
      </c>
      <c r="J66" s="169" t="s">
        <v>1403</v>
      </c>
      <c r="K66" s="169">
        <v>2026</v>
      </c>
      <c r="L66" s="170">
        <v>2026</v>
      </c>
      <c r="M66" s="171">
        <v>45973</v>
      </c>
      <c r="N66" s="169" t="s">
        <v>36</v>
      </c>
      <c r="O66" s="169" t="s">
        <v>3630</v>
      </c>
      <c r="P66" s="169">
        <v>1170</v>
      </c>
      <c r="Q66" s="169" t="s">
        <v>3635</v>
      </c>
      <c r="R66" s="169">
        <v>1</v>
      </c>
      <c r="S66" s="169">
        <v>15</v>
      </c>
      <c r="T66" s="169" t="s">
        <v>1396</v>
      </c>
      <c r="U66" s="169">
        <v>37</v>
      </c>
      <c r="V66" s="170">
        <v>2680123</v>
      </c>
      <c r="W66" s="170">
        <v>0</v>
      </c>
      <c r="X66" s="170" t="s">
        <v>1406</v>
      </c>
      <c r="Y66" s="169"/>
      <c r="Z66" s="169" t="s">
        <v>3067</v>
      </c>
      <c r="AA66" s="171">
        <v>46031</v>
      </c>
      <c r="AB66" s="169">
        <v>26</v>
      </c>
      <c r="AC66" s="169">
        <v>80123</v>
      </c>
      <c r="AD66" s="169">
        <v>57</v>
      </c>
      <c r="AE66" s="169" t="s">
        <v>1551</v>
      </c>
      <c r="AF66" s="169">
        <v>57</v>
      </c>
      <c r="AG66" s="169" t="s">
        <v>1552</v>
      </c>
      <c r="AH66" s="169" t="s">
        <v>36</v>
      </c>
      <c r="AI66" s="169" t="s">
        <v>3630</v>
      </c>
      <c r="AJ66" s="169">
        <v>1170</v>
      </c>
      <c r="AK66" s="169" t="s">
        <v>1407</v>
      </c>
      <c r="AL66" s="169">
        <v>50438</v>
      </c>
      <c r="AM66" s="169" t="s">
        <v>1408</v>
      </c>
      <c r="AN66" s="169" t="s">
        <v>3720</v>
      </c>
      <c r="AO66" s="169">
        <v>28</v>
      </c>
      <c r="AP66" s="169" t="s">
        <v>1416</v>
      </c>
      <c r="AQ66" s="169">
        <v>1</v>
      </c>
      <c r="AR66" s="169" t="s">
        <v>1410</v>
      </c>
      <c r="AS66" s="169"/>
      <c r="AT66" s="169" t="s">
        <v>1417</v>
      </c>
      <c r="AU66" s="169" t="s">
        <v>1412</v>
      </c>
    </row>
    <row r="67" spans="1:47" x14ac:dyDescent="0.45">
      <c r="A67" s="169">
        <v>2605700842</v>
      </c>
      <c r="B67" s="169">
        <v>57</v>
      </c>
      <c r="C67" s="169" t="s">
        <v>1551</v>
      </c>
      <c r="D67" s="169">
        <v>57</v>
      </c>
      <c r="E67" s="169" t="s">
        <v>1552</v>
      </c>
      <c r="F67" s="169" t="s">
        <v>3759</v>
      </c>
      <c r="G67" s="169" t="s">
        <v>3760</v>
      </c>
      <c r="H67" s="169">
        <v>2</v>
      </c>
      <c r="I67" s="169" t="s">
        <v>3761</v>
      </c>
      <c r="J67" s="169" t="s">
        <v>1590</v>
      </c>
      <c r="K67" s="169">
        <v>2026</v>
      </c>
      <c r="L67" s="170">
        <v>2026</v>
      </c>
      <c r="M67" s="171">
        <v>45974</v>
      </c>
      <c r="N67" s="169" t="s">
        <v>36</v>
      </c>
      <c r="O67" s="169" t="s">
        <v>3630</v>
      </c>
      <c r="P67" s="169">
        <v>1170</v>
      </c>
      <c r="Q67" s="169" t="s">
        <v>3635</v>
      </c>
      <c r="R67" s="169">
        <v>1</v>
      </c>
      <c r="S67" s="169">
        <v>15</v>
      </c>
      <c r="T67" s="169" t="s">
        <v>1396</v>
      </c>
      <c r="U67" s="169">
        <v>37</v>
      </c>
      <c r="V67" s="170">
        <v>0</v>
      </c>
      <c r="W67" s="170">
        <v>0</v>
      </c>
      <c r="X67" s="170" t="s">
        <v>1406</v>
      </c>
      <c r="Y67" s="169"/>
      <c r="Z67" s="169" t="s">
        <v>3067</v>
      </c>
      <c r="AA67" s="169"/>
      <c r="AB67" s="169">
        <v>0</v>
      </c>
      <c r="AC67" s="169">
        <v>0</v>
      </c>
      <c r="AD67" s="169">
        <v>0</v>
      </c>
      <c r="AE67" s="169" t="s">
        <v>1446</v>
      </c>
      <c r="AF67" s="169"/>
      <c r="AG67" s="169" t="s">
        <v>1446</v>
      </c>
      <c r="AH67" s="169"/>
      <c r="AI67" s="169"/>
      <c r="AJ67" s="169">
        <v>0</v>
      </c>
      <c r="AK67" s="169" t="s">
        <v>1407</v>
      </c>
      <c r="AL67" s="169">
        <v>50827</v>
      </c>
      <c r="AM67" s="169" t="s">
        <v>1408</v>
      </c>
      <c r="AN67" s="169" t="s">
        <v>3762</v>
      </c>
      <c r="AO67" s="169">
        <v>27</v>
      </c>
      <c r="AP67" s="169" t="s">
        <v>1581</v>
      </c>
      <c r="AQ67" s="169">
        <v>1</v>
      </c>
      <c r="AR67" s="169" t="s">
        <v>1499</v>
      </c>
      <c r="AS67" s="169"/>
      <c r="AT67" s="169" t="s">
        <v>1417</v>
      </c>
      <c r="AU67" s="169" t="s">
        <v>1412</v>
      </c>
    </row>
    <row r="68" spans="1:47" x14ac:dyDescent="0.45">
      <c r="A68" s="169">
        <v>2605700843</v>
      </c>
      <c r="B68" s="169">
        <v>57</v>
      </c>
      <c r="C68" s="169" t="s">
        <v>1551</v>
      </c>
      <c r="D68" s="169">
        <v>57</v>
      </c>
      <c r="E68" s="169" t="s">
        <v>1552</v>
      </c>
      <c r="F68" s="169" t="s">
        <v>3763</v>
      </c>
      <c r="G68" s="169" t="s">
        <v>3764</v>
      </c>
      <c r="H68" s="169">
        <v>1</v>
      </c>
      <c r="I68" s="169" t="s">
        <v>3765</v>
      </c>
      <c r="J68" s="169" t="s">
        <v>1590</v>
      </c>
      <c r="K68" s="169">
        <v>2026</v>
      </c>
      <c r="L68" s="170">
        <v>2026</v>
      </c>
      <c r="M68" s="171">
        <v>45975</v>
      </c>
      <c r="N68" s="169" t="s">
        <v>36</v>
      </c>
      <c r="O68" s="169" t="s">
        <v>3630</v>
      </c>
      <c r="P68" s="169">
        <v>1170</v>
      </c>
      <c r="Q68" s="169" t="s">
        <v>3635</v>
      </c>
      <c r="R68" s="169">
        <v>1</v>
      </c>
      <c r="S68" s="169">
        <v>15</v>
      </c>
      <c r="T68" s="169" t="s">
        <v>1396</v>
      </c>
      <c r="U68" s="169">
        <v>37</v>
      </c>
      <c r="V68" s="170">
        <v>2680102</v>
      </c>
      <c r="W68" s="170">
        <v>0</v>
      </c>
      <c r="X68" s="170" t="s">
        <v>1406</v>
      </c>
      <c r="Y68" s="169"/>
      <c r="Z68" s="169" t="s">
        <v>3067</v>
      </c>
      <c r="AA68" s="171">
        <v>46014</v>
      </c>
      <c r="AB68" s="169">
        <v>26</v>
      </c>
      <c r="AC68" s="169">
        <v>80102</v>
      </c>
      <c r="AD68" s="169">
        <v>57</v>
      </c>
      <c r="AE68" s="169" t="s">
        <v>1551</v>
      </c>
      <c r="AF68" s="169">
        <v>57</v>
      </c>
      <c r="AG68" s="169" t="s">
        <v>1552</v>
      </c>
      <c r="AH68" s="169" t="s">
        <v>36</v>
      </c>
      <c r="AI68" s="169" t="s">
        <v>3630</v>
      </c>
      <c r="AJ68" s="169">
        <v>1170</v>
      </c>
      <c r="AK68" s="169" t="s">
        <v>1407</v>
      </c>
      <c r="AL68" s="169">
        <v>50383</v>
      </c>
      <c r="AM68" s="169" t="s">
        <v>1408</v>
      </c>
      <c r="AN68" s="169" t="s">
        <v>3766</v>
      </c>
      <c r="AO68" s="169">
        <v>27</v>
      </c>
      <c r="AP68" s="169" t="s">
        <v>1581</v>
      </c>
      <c r="AQ68" s="169">
        <v>1</v>
      </c>
      <c r="AR68" s="169" t="s">
        <v>1410</v>
      </c>
      <c r="AS68" s="169"/>
      <c r="AT68" s="169" t="s">
        <v>1417</v>
      </c>
      <c r="AU68" s="169" t="s">
        <v>1412</v>
      </c>
    </row>
    <row r="69" spans="1:47" x14ac:dyDescent="0.45">
      <c r="A69" s="169">
        <v>2605700844</v>
      </c>
      <c r="B69" s="169">
        <v>57</v>
      </c>
      <c r="C69" s="169" t="s">
        <v>1551</v>
      </c>
      <c r="D69" s="169">
        <v>57</v>
      </c>
      <c r="E69" s="169" t="s">
        <v>1552</v>
      </c>
      <c r="F69" s="169" t="s">
        <v>3767</v>
      </c>
      <c r="G69" s="169" t="s">
        <v>3768</v>
      </c>
      <c r="H69" s="169">
        <v>1</v>
      </c>
      <c r="I69" s="169" t="s">
        <v>3765</v>
      </c>
      <c r="J69" s="169" t="s">
        <v>1590</v>
      </c>
      <c r="K69" s="169">
        <v>2026</v>
      </c>
      <c r="L69" s="170">
        <v>2026</v>
      </c>
      <c r="M69" s="171">
        <v>45975</v>
      </c>
      <c r="N69" s="169" t="s">
        <v>36</v>
      </c>
      <c r="O69" s="169" t="s">
        <v>3630</v>
      </c>
      <c r="P69" s="169">
        <v>1170</v>
      </c>
      <c r="Q69" s="169" t="s">
        <v>3635</v>
      </c>
      <c r="R69" s="169">
        <v>1</v>
      </c>
      <c r="S69" s="169">
        <v>15</v>
      </c>
      <c r="T69" s="169" t="s">
        <v>1396</v>
      </c>
      <c r="U69" s="169">
        <v>37</v>
      </c>
      <c r="V69" s="170">
        <v>2680103</v>
      </c>
      <c r="W69" s="170">
        <v>0</v>
      </c>
      <c r="X69" s="170" t="s">
        <v>1406</v>
      </c>
      <c r="Y69" s="169"/>
      <c r="Z69" s="169" t="s">
        <v>3067</v>
      </c>
      <c r="AA69" s="171">
        <v>46014</v>
      </c>
      <c r="AB69" s="169">
        <v>26</v>
      </c>
      <c r="AC69" s="169">
        <v>80103</v>
      </c>
      <c r="AD69" s="169">
        <v>57</v>
      </c>
      <c r="AE69" s="169" t="s">
        <v>1551</v>
      </c>
      <c r="AF69" s="169">
        <v>57</v>
      </c>
      <c r="AG69" s="169" t="s">
        <v>1552</v>
      </c>
      <c r="AH69" s="169" t="s">
        <v>36</v>
      </c>
      <c r="AI69" s="169" t="s">
        <v>3630</v>
      </c>
      <c r="AJ69" s="169">
        <v>1170</v>
      </c>
      <c r="AK69" s="169" t="s">
        <v>1407</v>
      </c>
      <c r="AL69" s="169">
        <v>50383</v>
      </c>
      <c r="AM69" s="169" t="s">
        <v>1408</v>
      </c>
      <c r="AN69" s="169" t="s">
        <v>3766</v>
      </c>
      <c r="AO69" s="169">
        <v>27</v>
      </c>
      <c r="AP69" s="169" t="s">
        <v>1581</v>
      </c>
      <c r="AQ69" s="169">
        <v>1</v>
      </c>
      <c r="AR69" s="169" t="s">
        <v>1410</v>
      </c>
      <c r="AS69" s="169"/>
      <c r="AT69" s="169" t="s">
        <v>1417</v>
      </c>
      <c r="AU69" s="169" t="s">
        <v>1412</v>
      </c>
    </row>
    <row r="70" spans="1:47" x14ac:dyDescent="0.45">
      <c r="A70" s="169">
        <v>2605700845</v>
      </c>
      <c r="B70" s="169">
        <v>57</v>
      </c>
      <c r="C70" s="169" t="s">
        <v>1551</v>
      </c>
      <c r="D70" s="169">
        <v>57</v>
      </c>
      <c r="E70" s="169" t="s">
        <v>1552</v>
      </c>
      <c r="F70" s="169" t="s">
        <v>3769</v>
      </c>
      <c r="G70" s="169" t="s">
        <v>3770</v>
      </c>
      <c r="H70" s="169">
        <v>2</v>
      </c>
      <c r="I70" s="169" t="s">
        <v>3771</v>
      </c>
      <c r="J70" s="169" t="s">
        <v>1590</v>
      </c>
      <c r="K70" s="169">
        <v>2026</v>
      </c>
      <c r="L70" s="170">
        <v>2026</v>
      </c>
      <c r="M70" s="171">
        <v>45975</v>
      </c>
      <c r="N70" s="169" t="s">
        <v>36</v>
      </c>
      <c r="O70" s="169" t="s">
        <v>3630</v>
      </c>
      <c r="P70" s="169">
        <v>1170</v>
      </c>
      <c r="Q70" s="169" t="s">
        <v>3635</v>
      </c>
      <c r="R70" s="169">
        <v>1</v>
      </c>
      <c r="S70" s="169">
        <v>15</v>
      </c>
      <c r="T70" s="169" t="s">
        <v>1396</v>
      </c>
      <c r="U70" s="169">
        <v>37</v>
      </c>
      <c r="V70" s="170">
        <v>0</v>
      </c>
      <c r="W70" s="170">
        <v>0</v>
      </c>
      <c r="X70" s="170" t="s">
        <v>1406</v>
      </c>
      <c r="Y70" s="169"/>
      <c r="Z70" s="169" t="s">
        <v>3067</v>
      </c>
      <c r="AA70" s="169"/>
      <c r="AB70" s="169">
        <v>0</v>
      </c>
      <c r="AC70" s="169">
        <v>0</v>
      </c>
      <c r="AD70" s="169">
        <v>0</v>
      </c>
      <c r="AE70" s="169" t="s">
        <v>1446</v>
      </c>
      <c r="AF70" s="169"/>
      <c r="AG70" s="169" t="s">
        <v>1446</v>
      </c>
      <c r="AH70" s="169"/>
      <c r="AI70" s="169"/>
      <c r="AJ70" s="169">
        <v>0</v>
      </c>
      <c r="AK70" s="169" t="s">
        <v>1407</v>
      </c>
      <c r="AL70" s="169">
        <v>50405</v>
      </c>
      <c r="AM70" s="169" t="s">
        <v>1408</v>
      </c>
      <c r="AN70" s="169" t="s">
        <v>3772</v>
      </c>
      <c r="AO70" s="169">
        <v>27</v>
      </c>
      <c r="AP70" s="169" t="s">
        <v>1581</v>
      </c>
      <c r="AQ70" s="169">
        <v>1</v>
      </c>
      <c r="AR70" s="169" t="s">
        <v>1499</v>
      </c>
      <c r="AS70" s="169"/>
      <c r="AT70" s="169" t="s">
        <v>1417</v>
      </c>
      <c r="AU70" s="169" t="s">
        <v>1412</v>
      </c>
    </row>
    <row r="71" spans="1:47" x14ac:dyDescent="0.45">
      <c r="A71" s="169">
        <v>2605700846</v>
      </c>
      <c r="B71" s="169">
        <v>57</v>
      </c>
      <c r="C71" s="169" t="s">
        <v>1551</v>
      </c>
      <c r="D71" s="169">
        <v>57</v>
      </c>
      <c r="E71" s="169" t="s">
        <v>1552</v>
      </c>
      <c r="F71" s="169" t="s">
        <v>3773</v>
      </c>
      <c r="G71" s="169" t="s">
        <v>3774</v>
      </c>
      <c r="H71" s="169">
        <v>1</v>
      </c>
      <c r="I71" s="169" t="s">
        <v>3775</v>
      </c>
      <c r="J71" s="169" t="s">
        <v>1590</v>
      </c>
      <c r="K71" s="169">
        <v>2026</v>
      </c>
      <c r="L71" s="170">
        <v>2026</v>
      </c>
      <c r="M71" s="171">
        <v>45975</v>
      </c>
      <c r="N71" s="169" t="s">
        <v>36</v>
      </c>
      <c r="O71" s="169" t="s">
        <v>3630</v>
      </c>
      <c r="P71" s="169">
        <v>1170</v>
      </c>
      <c r="Q71" s="169" t="s">
        <v>3635</v>
      </c>
      <c r="R71" s="169">
        <v>1</v>
      </c>
      <c r="S71" s="169">
        <v>15</v>
      </c>
      <c r="T71" s="169" t="s">
        <v>1396</v>
      </c>
      <c r="U71" s="169">
        <v>37</v>
      </c>
      <c r="V71" s="170">
        <v>0</v>
      </c>
      <c r="W71" s="170">
        <v>0</v>
      </c>
      <c r="X71" s="170" t="s">
        <v>1406</v>
      </c>
      <c r="Y71" s="169"/>
      <c r="Z71" s="169" t="s">
        <v>3067</v>
      </c>
      <c r="AA71" s="169"/>
      <c r="AB71" s="169">
        <v>0</v>
      </c>
      <c r="AC71" s="169">
        <v>0</v>
      </c>
      <c r="AD71" s="169">
        <v>0</v>
      </c>
      <c r="AE71" s="169" t="s">
        <v>1446</v>
      </c>
      <c r="AF71" s="169"/>
      <c r="AG71" s="169" t="s">
        <v>1446</v>
      </c>
      <c r="AH71" s="169"/>
      <c r="AI71" s="169"/>
      <c r="AJ71" s="169">
        <v>0</v>
      </c>
      <c r="AK71" s="169" t="s">
        <v>1407</v>
      </c>
      <c r="AL71" s="169">
        <v>50405</v>
      </c>
      <c r="AM71" s="169" t="s">
        <v>1408</v>
      </c>
      <c r="AN71" s="169" t="s">
        <v>3772</v>
      </c>
      <c r="AO71" s="169">
        <v>27</v>
      </c>
      <c r="AP71" s="169" t="s">
        <v>1581</v>
      </c>
      <c r="AQ71" s="169">
        <v>1</v>
      </c>
      <c r="AR71" s="169" t="s">
        <v>1410</v>
      </c>
      <c r="AS71" s="169"/>
      <c r="AT71" s="169" t="s">
        <v>1417</v>
      </c>
      <c r="AU71" s="169" t="s">
        <v>1412</v>
      </c>
    </row>
    <row r="72" spans="1:47" x14ac:dyDescent="0.45">
      <c r="A72" s="169">
        <v>2605700847</v>
      </c>
      <c r="B72" s="169">
        <v>57</v>
      </c>
      <c r="C72" s="169" t="s">
        <v>1551</v>
      </c>
      <c r="D72" s="169">
        <v>57</v>
      </c>
      <c r="E72" s="169" t="s">
        <v>1552</v>
      </c>
      <c r="F72" s="169" t="s">
        <v>3776</v>
      </c>
      <c r="G72" s="169" t="s">
        <v>3777</v>
      </c>
      <c r="H72" s="169">
        <v>1</v>
      </c>
      <c r="I72" s="169" t="s">
        <v>3778</v>
      </c>
      <c r="J72" s="169" t="s">
        <v>1590</v>
      </c>
      <c r="K72" s="169">
        <v>2026</v>
      </c>
      <c r="L72" s="170">
        <v>2026</v>
      </c>
      <c r="M72" s="171">
        <v>45975</v>
      </c>
      <c r="N72" s="169" t="s">
        <v>36</v>
      </c>
      <c r="O72" s="169" t="s">
        <v>3630</v>
      </c>
      <c r="P72" s="169">
        <v>1170</v>
      </c>
      <c r="Q72" s="169" t="s">
        <v>3635</v>
      </c>
      <c r="R72" s="169">
        <v>1</v>
      </c>
      <c r="S72" s="169">
        <v>15</v>
      </c>
      <c r="T72" s="169" t="s">
        <v>1396</v>
      </c>
      <c r="U72" s="169">
        <v>37</v>
      </c>
      <c r="V72" s="170">
        <v>0</v>
      </c>
      <c r="W72" s="170">
        <v>0</v>
      </c>
      <c r="X72" s="170" t="s">
        <v>1406</v>
      </c>
      <c r="Y72" s="169"/>
      <c r="Z72" s="169" t="s">
        <v>3067</v>
      </c>
      <c r="AA72" s="169"/>
      <c r="AB72" s="169">
        <v>0</v>
      </c>
      <c r="AC72" s="169">
        <v>0</v>
      </c>
      <c r="AD72" s="169">
        <v>0</v>
      </c>
      <c r="AE72" s="169" t="s">
        <v>1446</v>
      </c>
      <c r="AF72" s="169"/>
      <c r="AG72" s="169" t="s">
        <v>1446</v>
      </c>
      <c r="AH72" s="169"/>
      <c r="AI72" s="169"/>
      <c r="AJ72" s="169">
        <v>0</v>
      </c>
      <c r="AK72" s="169" t="s">
        <v>1407</v>
      </c>
      <c r="AL72" s="169">
        <v>50405</v>
      </c>
      <c r="AM72" s="169" t="s">
        <v>1408</v>
      </c>
      <c r="AN72" s="169" t="s">
        <v>3772</v>
      </c>
      <c r="AO72" s="169">
        <v>27</v>
      </c>
      <c r="AP72" s="169" t="s">
        <v>1581</v>
      </c>
      <c r="AQ72" s="169">
        <v>1</v>
      </c>
      <c r="AR72" s="169" t="s">
        <v>1410</v>
      </c>
      <c r="AS72" s="169"/>
      <c r="AT72" s="169" t="s">
        <v>1417</v>
      </c>
      <c r="AU72" s="169" t="s">
        <v>1412</v>
      </c>
    </row>
    <row r="73" spans="1:47" x14ac:dyDescent="0.45">
      <c r="A73" s="169">
        <v>2605700848</v>
      </c>
      <c r="B73" s="169">
        <v>57</v>
      </c>
      <c r="C73" s="169" t="s">
        <v>1551</v>
      </c>
      <c r="D73" s="169">
        <v>57</v>
      </c>
      <c r="E73" s="169" t="s">
        <v>1552</v>
      </c>
      <c r="F73" s="169" t="s">
        <v>3779</v>
      </c>
      <c r="G73" s="169" t="s">
        <v>3780</v>
      </c>
      <c r="H73" s="169">
        <v>1</v>
      </c>
      <c r="I73" s="169" t="s">
        <v>3781</v>
      </c>
      <c r="J73" s="169" t="s">
        <v>1590</v>
      </c>
      <c r="K73" s="169">
        <v>2026</v>
      </c>
      <c r="L73" s="170">
        <v>2026</v>
      </c>
      <c r="M73" s="171">
        <v>45975</v>
      </c>
      <c r="N73" s="169" t="s">
        <v>36</v>
      </c>
      <c r="O73" s="169" t="s">
        <v>3630</v>
      </c>
      <c r="P73" s="169">
        <v>1170</v>
      </c>
      <c r="Q73" s="169" t="s">
        <v>3635</v>
      </c>
      <c r="R73" s="169">
        <v>1</v>
      </c>
      <c r="S73" s="169">
        <v>15</v>
      </c>
      <c r="T73" s="169" t="s">
        <v>1396</v>
      </c>
      <c r="U73" s="169">
        <v>37</v>
      </c>
      <c r="V73" s="170">
        <v>0</v>
      </c>
      <c r="W73" s="170">
        <v>0</v>
      </c>
      <c r="X73" s="170" t="s">
        <v>1406</v>
      </c>
      <c r="Y73" s="169"/>
      <c r="Z73" s="169" t="s">
        <v>3067</v>
      </c>
      <c r="AA73" s="169"/>
      <c r="AB73" s="169">
        <v>0</v>
      </c>
      <c r="AC73" s="169">
        <v>0</v>
      </c>
      <c r="AD73" s="169">
        <v>0</v>
      </c>
      <c r="AE73" s="169" t="s">
        <v>1446</v>
      </c>
      <c r="AF73" s="169"/>
      <c r="AG73" s="169" t="s">
        <v>1446</v>
      </c>
      <c r="AH73" s="169"/>
      <c r="AI73" s="169"/>
      <c r="AJ73" s="169">
        <v>0</v>
      </c>
      <c r="AK73" s="169" t="s">
        <v>1407</v>
      </c>
      <c r="AL73" s="169">
        <v>50739</v>
      </c>
      <c r="AM73" s="169" t="s">
        <v>1408</v>
      </c>
      <c r="AN73" s="169" t="s">
        <v>3782</v>
      </c>
      <c r="AO73" s="169">
        <v>27</v>
      </c>
      <c r="AP73" s="169" t="s">
        <v>1581</v>
      </c>
      <c r="AQ73" s="169">
        <v>1</v>
      </c>
      <c r="AR73" s="169" t="s">
        <v>1499</v>
      </c>
      <c r="AS73" s="169"/>
      <c r="AT73" s="169" t="s">
        <v>1417</v>
      </c>
      <c r="AU73" s="169" t="s">
        <v>1412</v>
      </c>
    </row>
    <row r="74" spans="1:47" x14ac:dyDescent="0.45">
      <c r="A74" s="169">
        <v>2605700849</v>
      </c>
      <c r="B74" s="169">
        <v>57</v>
      </c>
      <c r="C74" s="169" t="s">
        <v>1551</v>
      </c>
      <c r="D74" s="169">
        <v>57</v>
      </c>
      <c r="E74" s="169" t="s">
        <v>1552</v>
      </c>
      <c r="F74" s="169" t="s">
        <v>3783</v>
      </c>
      <c r="G74" s="169" t="s">
        <v>3784</v>
      </c>
      <c r="H74" s="169">
        <v>1</v>
      </c>
      <c r="I74" s="169" t="s">
        <v>3781</v>
      </c>
      <c r="J74" s="169" t="s">
        <v>1590</v>
      </c>
      <c r="K74" s="169">
        <v>2026</v>
      </c>
      <c r="L74" s="170">
        <v>2026</v>
      </c>
      <c r="M74" s="171">
        <v>45975</v>
      </c>
      <c r="N74" s="169" t="s">
        <v>36</v>
      </c>
      <c r="O74" s="169" t="s">
        <v>3630</v>
      </c>
      <c r="P74" s="169">
        <v>1170</v>
      </c>
      <c r="Q74" s="169" t="s">
        <v>3635</v>
      </c>
      <c r="R74" s="169">
        <v>1</v>
      </c>
      <c r="S74" s="169">
        <v>15</v>
      </c>
      <c r="T74" s="169" t="s">
        <v>1396</v>
      </c>
      <c r="U74" s="169">
        <v>37</v>
      </c>
      <c r="V74" s="170">
        <v>0</v>
      </c>
      <c r="W74" s="170">
        <v>0</v>
      </c>
      <c r="X74" s="170" t="s">
        <v>1406</v>
      </c>
      <c r="Y74" s="169"/>
      <c r="Z74" s="169" t="s">
        <v>3067</v>
      </c>
      <c r="AA74" s="169"/>
      <c r="AB74" s="169">
        <v>0</v>
      </c>
      <c r="AC74" s="169">
        <v>0</v>
      </c>
      <c r="AD74" s="169">
        <v>0</v>
      </c>
      <c r="AE74" s="169" t="s">
        <v>1446</v>
      </c>
      <c r="AF74" s="169"/>
      <c r="AG74" s="169" t="s">
        <v>1446</v>
      </c>
      <c r="AH74" s="169"/>
      <c r="AI74" s="169"/>
      <c r="AJ74" s="169">
        <v>0</v>
      </c>
      <c r="AK74" s="169" t="s">
        <v>1407</v>
      </c>
      <c r="AL74" s="169">
        <v>50739</v>
      </c>
      <c r="AM74" s="169" t="s">
        <v>1408</v>
      </c>
      <c r="AN74" s="169" t="s">
        <v>3782</v>
      </c>
      <c r="AO74" s="169">
        <v>27</v>
      </c>
      <c r="AP74" s="169" t="s">
        <v>1581</v>
      </c>
      <c r="AQ74" s="169">
        <v>1</v>
      </c>
      <c r="AR74" s="169" t="s">
        <v>1499</v>
      </c>
      <c r="AS74" s="169"/>
      <c r="AT74" s="169" t="s">
        <v>1417</v>
      </c>
      <c r="AU74" s="169" t="s">
        <v>1412</v>
      </c>
    </row>
    <row r="75" spans="1:47" x14ac:dyDescent="0.45">
      <c r="A75" s="169">
        <v>2605700850</v>
      </c>
      <c r="B75" s="169">
        <v>57</v>
      </c>
      <c r="C75" s="169" t="s">
        <v>1551</v>
      </c>
      <c r="D75" s="169">
        <v>57</v>
      </c>
      <c r="E75" s="169" t="s">
        <v>1552</v>
      </c>
      <c r="F75" s="169" t="s">
        <v>3785</v>
      </c>
      <c r="G75" s="169" t="s">
        <v>3786</v>
      </c>
      <c r="H75" s="169">
        <v>1</v>
      </c>
      <c r="I75" s="169" t="s">
        <v>3754</v>
      </c>
      <c r="J75" s="169" t="s">
        <v>1403</v>
      </c>
      <c r="K75" s="169">
        <v>2026</v>
      </c>
      <c r="L75" s="170">
        <v>2026</v>
      </c>
      <c r="M75" s="171">
        <v>45975</v>
      </c>
      <c r="N75" s="169" t="s">
        <v>36</v>
      </c>
      <c r="O75" s="169" t="s">
        <v>3630</v>
      </c>
      <c r="P75" s="169">
        <v>1170</v>
      </c>
      <c r="Q75" s="169" t="s">
        <v>3635</v>
      </c>
      <c r="R75" s="169">
        <v>1</v>
      </c>
      <c r="S75" s="169">
        <v>15</v>
      </c>
      <c r="T75" s="169" t="s">
        <v>1396</v>
      </c>
      <c r="U75" s="169">
        <v>37</v>
      </c>
      <c r="V75" s="170">
        <v>0</v>
      </c>
      <c r="W75" s="170">
        <v>0</v>
      </c>
      <c r="X75" s="170" t="s">
        <v>1406</v>
      </c>
      <c r="Y75" s="169"/>
      <c r="Z75" s="169" t="s">
        <v>3067</v>
      </c>
      <c r="AA75" s="169"/>
      <c r="AB75" s="169">
        <v>0</v>
      </c>
      <c r="AC75" s="169">
        <v>0</v>
      </c>
      <c r="AD75" s="169">
        <v>0</v>
      </c>
      <c r="AE75" s="169" t="s">
        <v>1446</v>
      </c>
      <c r="AF75" s="169"/>
      <c r="AG75" s="169" t="s">
        <v>1446</v>
      </c>
      <c r="AH75" s="169"/>
      <c r="AI75" s="169"/>
      <c r="AJ75" s="169">
        <v>0</v>
      </c>
      <c r="AK75" s="169" t="s">
        <v>1407</v>
      </c>
      <c r="AL75" s="169">
        <v>50438</v>
      </c>
      <c r="AM75" s="169" t="s">
        <v>1408</v>
      </c>
      <c r="AN75" s="169" t="s">
        <v>3720</v>
      </c>
      <c r="AO75" s="169">
        <v>28</v>
      </c>
      <c r="AP75" s="169" t="s">
        <v>1416</v>
      </c>
      <c r="AQ75" s="169">
        <v>1</v>
      </c>
      <c r="AR75" s="169" t="s">
        <v>1499</v>
      </c>
      <c r="AS75" s="169"/>
      <c r="AT75" s="169" t="s">
        <v>1417</v>
      </c>
      <c r="AU75" s="169" t="s">
        <v>1412</v>
      </c>
    </row>
    <row r="76" spans="1:47" x14ac:dyDescent="0.45">
      <c r="A76" s="169">
        <v>2605700851</v>
      </c>
      <c r="B76" s="169">
        <v>57</v>
      </c>
      <c r="C76" s="169" t="s">
        <v>1551</v>
      </c>
      <c r="D76" s="169">
        <v>57</v>
      </c>
      <c r="E76" s="169" t="s">
        <v>1552</v>
      </c>
      <c r="F76" s="169" t="s">
        <v>3787</v>
      </c>
      <c r="G76" s="169" t="s">
        <v>3788</v>
      </c>
      <c r="H76" s="169">
        <v>1</v>
      </c>
      <c r="I76" s="169" t="s">
        <v>3552</v>
      </c>
      <c r="J76" s="169" t="s">
        <v>1403</v>
      </c>
      <c r="K76" s="169">
        <v>2026</v>
      </c>
      <c r="L76" s="170">
        <v>2026</v>
      </c>
      <c r="M76" s="171">
        <v>45975</v>
      </c>
      <c r="N76" s="169" t="s">
        <v>36</v>
      </c>
      <c r="O76" s="169" t="s">
        <v>3630</v>
      </c>
      <c r="P76" s="169">
        <v>1170</v>
      </c>
      <c r="Q76" s="169" t="s">
        <v>3635</v>
      </c>
      <c r="R76" s="169">
        <v>1</v>
      </c>
      <c r="S76" s="169">
        <v>15</v>
      </c>
      <c r="T76" s="169" t="s">
        <v>1396</v>
      </c>
      <c r="U76" s="169">
        <v>37</v>
      </c>
      <c r="V76" s="170">
        <v>0</v>
      </c>
      <c r="W76" s="170">
        <v>0</v>
      </c>
      <c r="X76" s="170" t="s">
        <v>1406</v>
      </c>
      <c r="Y76" s="169"/>
      <c r="Z76" s="169" t="s">
        <v>3067</v>
      </c>
      <c r="AA76" s="169"/>
      <c r="AB76" s="169">
        <v>0</v>
      </c>
      <c r="AC76" s="169">
        <v>0</v>
      </c>
      <c r="AD76" s="169">
        <v>0</v>
      </c>
      <c r="AE76" s="169" t="s">
        <v>1446</v>
      </c>
      <c r="AF76" s="169"/>
      <c r="AG76" s="169" t="s">
        <v>1446</v>
      </c>
      <c r="AH76" s="169"/>
      <c r="AI76" s="169"/>
      <c r="AJ76" s="169">
        <v>0</v>
      </c>
      <c r="AK76" s="169" t="s">
        <v>1407</v>
      </c>
      <c r="AL76" s="169">
        <v>50428</v>
      </c>
      <c r="AM76" s="169" t="s">
        <v>1408</v>
      </c>
      <c r="AN76" s="169" t="s">
        <v>3789</v>
      </c>
      <c r="AO76" s="169">
        <v>28</v>
      </c>
      <c r="AP76" s="169" t="s">
        <v>1416</v>
      </c>
      <c r="AQ76" s="169">
        <v>1</v>
      </c>
      <c r="AR76" s="169" t="s">
        <v>1499</v>
      </c>
      <c r="AS76" s="169"/>
      <c r="AT76" s="169" t="s">
        <v>1417</v>
      </c>
      <c r="AU76" s="169" t="s">
        <v>1412</v>
      </c>
    </row>
    <row r="77" spans="1:47" x14ac:dyDescent="0.45">
      <c r="A77" s="169">
        <v>2605700852</v>
      </c>
      <c r="B77" s="169">
        <v>57</v>
      </c>
      <c r="C77" s="169" t="s">
        <v>1551</v>
      </c>
      <c r="D77" s="169">
        <v>57</v>
      </c>
      <c r="E77" s="169" t="s">
        <v>1552</v>
      </c>
      <c r="F77" s="169" t="s">
        <v>3790</v>
      </c>
      <c r="G77" s="169" t="s">
        <v>3791</v>
      </c>
      <c r="H77" s="169">
        <v>2</v>
      </c>
      <c r="I77" s="169" t="s">
        <v>3792</v>
      </c>
      <c r="J77" s="169" t="s">
        <v>3793</v>
      </c>
      <c r="K77" s="169">
        <v>2026</v>
      </c>
      <c r="L77" s="170">
        <v>2026</v>
      </c>
      <c r="M77" s="171">
        <v>45977</v>
      </c>
      <c r="N77" s="169" t="s">
        <v>36</v>
      </c>
      <c r="O77" s="169" t="s">
        <v>3630</v>
      </c>
      <c r="P77" s="169">
        <v>1170</v>
      </c>
      <c r="Q77" s="169" t="s">
        <v>3635</v>
      </c>
      <c r="R77" s="169">
        <v>1</v>
      </c>
      <c r="S77" s="169">
        <v>15</v>
      </c>
      <c r="T77" s="169" t="s">
        <v>1396</v>
      </c>
      <c r="U77" s="169">
        <v>37</v>
      </c>
      <c r="V77" s="170">
        <v>0</v>
      </c>
      <c r="W77" s="170">
        <v>0</v>
      </c>
      <c r="X77" s="170" t="s">
        <v>1406</v>
      </c>
      <c r="Y77" s="169"/>
      <c r="Z77" s="169" t="s">
        <v>3067</v>
      </c>
      <c r="AA77" s="169"/>
      <c r="AB77" s="169">
        <v>0</v>
      </c>
      <c r="AC77" s="169">
        <v>0</v>
      </c>
      <c r="AD77" s="169">
        <v>0</v>
      </c>
      <c r="AE77" s="169" t="s">
        <v>1446</v>
      </c>
      <c r="AF77" s="169"/>
      <c r="AG77" s="169" t="s">
        <v>1446</v>
      </c>
      <c r="AH77" s="169"/>
      <c r="AI77" s="169"/>
      <c r="AJ77" s="169">
        <v>0</v>
      </c>
      <c r="AK77" s="169" t="s">
        <v>1407</v>
      </c>
      <c r="AL77" s="169">
        <v>50514</v>
      </c>
      <c r="AM77" s="169" t="s">
        <v>1408</v>
      </c>
      <c r="AN77" s="169" t="s">
        <v>3794</v>
      </c>
      <c r="AO77" s="169">
        <v>44</v>
      </c>
      <c r="AP77" s="169" t="s">
        <v>3795</v>
      </c>
      <c r="AQ77" s="169">
        <v>1</v>
      </c>
      <c r="AR77" s="169" t="s">
        <v>1499</v>
      </c>
      <c r="AS77" s="169"/>
      <c r="AT77" s="169" t="s">
        <v>1417</v>
      </c>
      <c r="AU77" s="169" t="s">
        <v>1412</v>
      </c>
    </row>
    <row r="78" spans="1:47" x14ac:dyDescent="0.45">
      <c r="A78" s="169">
        <v>2605700853</v>
      </c>
      <c r="B78" s="169">
        <v>57</v>
      </c>
      <c r="C78" s="169" t="s">
        <v>1551</v>
      </c>
      <c r="D78" s="169">
        <v>57</v>
      </c>
      <c r="E78" s="169" t="s">
        <v>1552</v>
      </c>
      <c r="F78" s="169" t="s">
        <v>3796</v>
      </c>
      <c r="G78" s="169" t="s">
        <v>3797</v>
      </c>
      <c r="H78" s="169">
        <v>2</v>
      </c>
      <c r="I78" s="169" t="s">
        <v>3798</v>
      </c>
      <c r="J78" s="169" t="s">
        <v>1590</v>
      </c>
      <c r="K78" s="169">
        <v>2026</v>
      </c>
      <c r="L78" s="170">
        <v>2026</v>
      </c>
      <c r="M78" s="171">
        <v>45977</v>
      </c>
      <c r="N78" s="169" t="s">
        <v>36</v>
      </c>
      <c r="O78" s="169" t="s">
        <v>3630</v>
      </c>
      <c r="P78" s="169">
        <v>1170</v>
      </c>
      <c r="Q78" s="169" t="s">
        <v>3635</v>
      </c>
      <c r="R78" s="169">
        <v>1</v>
      </c>
      <c r="S78" s="169">
        <v>15</v>
      </c>
      <c r="T78" s="169" t="s">
        <v>1396</v>
      </c>
      <c r="U78" s="169">
        <v>37</v>
      </c>
      <c r="V78" s="170">
        <v>2680104</v>
      </c>
      <c r="W78" s="170">
        <v>0</v>
      </c>
      <c r="X78" s="170" t="s">
        <v>1406</v>
      </c>
      <c r="Y78" s="169"/>
      <c r="Z78" s="169" t="s">
        <v>3067</v>
      </c>
      <c r="AA78" s="171">
        <v>46015</v>
      </c>
      <c r="AB78" s="169">
        <v>26</v>
      </c>
      <c r="AC78" s="169">
        <v>80104</v>
      </c>
      <c r="AD78" s="169">
        <v>57</v>
      </c>
      <c r="AE78" s="169" t="s">
        <v>1551</v>
      </c>
      <c r="AF78" s="169">
        <v>57</v>
      </c>
      <c r="AG78" s="169" t="s">
        <v>1552</v>
      </c>
      <c r="AH78" s="169" t="s">
        <v>36</v>
      </c>
      <c r="AI78" s="169" t="s">
        <v>3630</v>
      </c>
      <c r="AJ78" s="169">
        <v>1170</v>
      </c>
      <c r="AK78" s="169" t="s">
        <v>1407</v>
      </c>
      <c r="AL78" s="169">
        <v>50398</v>
      </c>
      <c r="AM78" s="169" t="s">
        <v>1408</v>
      </c>
      <c r="AN78" s="169" t="s">
        <v>3799</v>
      </c>
      <c r="AO78" s="169">
        <v>27</v>
      </c>
      <c r="AP78" s="169" t="s">
        <v>1581</v>
      </c>
      <c r="AQ78" s="169">
        <v>1</v>
      </c>
      <c r="AR78" s="169" t="s">
        <v>1410</v>
      </c>
      <c r="AS78" s="169"/>
      <c r="AT78" s="169" t="s">
        <v>1417</v>
      </c>
      <c r="AU78" s="169" t="s">
        <v>1412</v>
      </c>
    </row>
    <row r="79" spans="1:47" x14ac:dyDescent="0.45">
      <c r="A79" s="169">
        <v>2605700854</v>
      </c>
      <c r="B79" s="169">
        <v>57</v>
      </c>
      <c r="C79" s="169" t="s">
        <v>1551</v>
      </c>
      <c r="D79" s="169">
        <v>57</v>
      </c>
      <c r="E79" s="169" t="s">
        <v>1552</v>
      </c>
      <c r="F79" s="169" t="s">
        <v>3800</v>
      </c>
      <c r="G79" s="169" t="s">
        <v>3801</v>
      </c>
      <c r="H79" s="169">
        <v>2</v>
      </c>
      <c r="I79" s="169" t="s">
        <v>3802</v>
      </c>
      <c r="J79" s="169" t="s">
        <v>1403</v>
      </c>
      <c r="K79" s="169">
        <v>2026</v>
      </c>
      <c r="L79" s="170">
        <v>2026</v>
      </c>
      <c r="M79" s="171">
        <v>45978</v>
      </c>
      <c r="N79" s="169" t="s">
        <v>36</v>
      </c>
      <c r="O79" s="169" t="s">
        <v>3630</v>
      </c>
      <c r="P79" s="169">
        <v>1170</v>
      </c>
      <c r="Q79" s="169" t="s">
        <v>3635</v>
      </c>
      <c r="R79" s="169">
        <v>1</v>
      </c>
      <c r="S79" s="169">
        <v>15</v>
      </c>
      <c r="T79" s="169" t="s">
        <v>1396</v>
      </c>
      <c r="U79" s="169">
        <v>37</v>
      </c>
      <c r="V79" s="170">
        <v>2680112</v>
      </c>
      <c r="W79" s="170">
        <v>0</v>
      </c>
      <c r="X79" s="170" t="s">
        <v>1406</v>
      </c>
      <c r="Y79" s="169"/>
      <c r="Z79" s="169" t="s">
        <v>3067</v>
      </c>
      <c r="AA79" s="171">
        <v>46028</v>
      </c>
      <c r="AB79" s="169">
        <v>26</v>
      </c>
      <c r="AC79" s="169">
        <v>80112</v>
      </c>
      <c r="AD79" s="169">
        <v>57</v>
      </c>
      <c r="AE79" s="169" t="s">
        <v>1551</v>
      </c>
      <c r="AF79" s="169">
        <v>57</v>
      </c>
      <c r="AG79" s="169" t="s">
        <v>1552</v>
      </c>
      <c r="AH79" s="169" t="s">
        <v>36</v>
      </c>
      <c r="AI79" s="169" t="s">
        <v>3630</v>
      </c>
      <c r="AJ79" s="169">
        <v>1170</v>
      </c>
      <c r="AK79" s="169" t="s">
        <v>1407</v>
      </c>
      <c r="AL79" s="169">
        <v>50431</v>
      </c>
      <c r="AM79" s="169" t="s">
        <v>1408</v>
      </c>
      <c r="AN79" s="169" t="s">
        <v>3690</v>
      </c>
      <c r="AO79" s="169">
        <v>28</v>
      </c>
      <c r="AP79" s="169" t="s">
        <v>1416</v>
      </c>
      <c r="AQ79" s="169">
        <v>1</v>
      </c>
      <c r="AR79" s="169" t="s">
        <v>1410</v>
      </c>
      <c r="AS79" s="169"/>
      <c r="AT79" s="169" t="s">
        <v>1417</v>
      </c>
      <c r="AU79" s="169" t="s">
        <v>1412</v>
      </c>
    </row>
    <row r="80" spans="1:47" x14ac:dyDescent="0.45">
      <c r="A80" s="169">
        <v>2605700855</v>
      </c>
      <c r="B80" s="169">
        <v>57</v>
      </c>
      <c r="C80" s="169" t="s">
        <v>1551</v>
      </c>
      <c r="D80" s="169">
        <v>57</v>
      </c>
      <c r="E80" s="169" t="s">
        <v>1552</v>
      </c>
      <c r="F80" s="169" t="s">
        <v>3803</v>
      </c>
      <c r="G80" s="169" t="s">
        <v>3804</v>
      </c>
      <c r="H80" s="169">
        <v>2</v>
      </c>
      <c r="I80" s="169" t="s">
        <v>3802</v>
      </c>
      <c r="J80" s="169" t="s">
        <v>1403</v>
      </c>
      <c r="K80" s="169">
        <v>2026</v>
      </c>
      <c r="L80" s="170">
        <v>2026</v>
      </c>
      <c r="M80" s="171">
        <v>45978</v>
      </c>
      <c r="N80" s="169" t="s">
        <v>36</v>
      </c>
      <c r="O80" s="169" t="s">
        <v>3630</v>
      </c>
      <c r="P80" s="169">
        <v>1170</v>
      </c>
      <c r="Q80" s="169" t="s">
        <v>3635</v>
      </c>
      <c r="R80" s="169">
        <v>1</v>
      </c>
      <c r="S80" s="169">
        <v>15</v>
      </c>
      <c r="T80" s="169" t="s">
        <v>1396</v>
      </c>
      <c r="U80" s="169">
        <v>37</v>
      </c>
      <c r="V80" s="170">
        <v>0</v>
      </c>
      <c r="W80" s="170">
        <v>0</v>
      </c>
      <c r="X80" s="170" t="s">
        <v>1406</v>
      </c>
      <c r="Y80" s="169"/>
      <c r="Z80" s="169" t="s">
        <v>3067</v>
      </c>
      <c r="AA80" s="169"/>
      <c r="AB80" s="169">
        <v>0</v>
      </c>
      <c r="AC80" s="169">
        <v>0</v>
      </c>
      <c r="AD80" s="169">
        <v>0</v>
      </c>
      <c r="AE80" s="169" t="s">
        <v>1446</v>
      </c>
      <c r="AF80" s="169"/>
      <c r="AG80" s="169" t="s">
        <v>1446</v>
      </c>
      <c r="AH80" s="169"/>
      <c r="AI80" s="169"/>
      <c r="AJ80" s="169">
        <v>0</v>
      </c>
      <c r="AK80" s="169" t="s">
        <v>1407</v>
      </c>
      <c r="AL80" s="169">
        <v>50431</v>
      </c>
      <c r="AM80" s="169" t="s">
        <v>1408</v>
      </c>
      <c r="AN80" s="169" t="s">
        <v>3690</v>
      </c>
      <c r="AO80" s="169">
        <v>28</v>
      </c>
      <c r="AP80" s="169" t="s">
        <v>1416</v>
      </c>
      <c r="AQ80" s="169">
        <v>1</v>
      </c>
      <c r="AR80" s="169" t="s">
        <v>1499</v>
      </c>
      <c r="AS80" s="169"/>
      <c r="AT80" s="169" t="s">
        <v>1417</v>
      </c>
      <c r="AU80" s="169" t="s">
        <v>1412</v>
      </c>
    </row>
    <row r="81" spans="1:47" x14ac:dyDescent="0.45">
      <c r="A81" s="169">
        <v>2605700856</v>
      </c>
      <c r="B81" s="169">
        <v>57</v>
      </c>
      <c r="C81" s="169" t="s">
        <v>1551</v>
      </c>
      <c r="D81" s="169">
        <v>57</v>
      </c>
      <c r="E81" s="169" t="s">
        <v>1552</v>
      </c>
      <c r="F81" s="169" t="s">
        <v>3805</v>
      </c>
      <c r="G81" s="169" t="s">
        <v>3806</v>
      </c>
      <c r="H81" s="169">
        <v>2</v>
      </c>
      <c r="I81" s="169" t="s">
        <v>3802</v>
      </c>
      <c r="J81" s="169" t="s">
        <v>1403</v>
      </c>
      <c r="K81" s="169">
        <v>2026</v>
      </c>
      <c r="L81" s="170">
        <v>2026</v>
      </c>
      <c r="M81" s="171">
        <v>45978</v>
      </c>
      <c r="N81" s="169" t="s">
        <v>36</v>
      </c>
      <c r="O81" s="169" t="s">
        <v>3630</v>
      </c>
      <c r="P81" s="169">
        <v>1170</v>
      </c>
      <c r="Q81" s="169" t="s">
        <v>3635</v>
      </c>
      <c r="R81" s="169">
        <v>1</v>
      </c>
      <c r="S81" s="169">
        <v>15</v>
      </c>
      <c r="T81" s="169" t="s">
        <v>1396</v>
      </c>
      <c r="U81" s="169">
        <v>37</v>
      </c>
      <c r="V81" s="170">
        <v>2680113</v>
      </c>
      <c r="W81" s="170">
        <v>0</v>
      </c>
      <c r="X81" s="170" t="s">
        <v>1406</v>
      </c>
      <c r="Y81" s="169"/>
      <c r="Z81" s="169" t="s">
        <v>3067</v>
      </c>
      <c r="AA81" s="171">
        <v>46028</v>
      </c>
      <c r="AB81" s="169">
        <v>26</v>
      </c>
      <c r="AC81" s="169">
        <v>80113</v>
      </c>
      <c r="AD81" s="169">
        <v>57</v>
      </c>
      <c r="AE81" s="169" t="s">
        <v>1551</v>
      </c>
      <c r="AF81" s="169">
        <v>57</v>
      </c>
      <c r="AG81" s="169" t="s">
        <v>1552</v>
      </c>
      <c r="AH81" s="169" t="s">
        <v>36</v>
      </c>
      <c r="AI81" s="169" t="s">
        <v>3630</v>
      </c>
      <c r="AJ81" s="169">
        <v>1170</v>
      </c>
      <c r="AK81" s="169" t="s">
        <v>1407</v>
      </c>
      <c r="AL81" s="169">
        <v>50431</v>
      </c>
      <c r="AM81" s="169" t="s">
        <v>1408</v>
      </c>
      <c r="AN81" s="169" t="s">
        <v>3690</v>
      </c>
      <c r="AO81" s="169">
        <v>28</v>
      </c>
      <c r="AP81" s="169" t="s">
        <v>1416</v>
      </c>
      <c r="AQ81" s="169">
        <v>1</v>
      </c>
      <c r="AR81" s="169" t="s">
        <v>1410</v>
      </c>
      <c r="AS81" s="169"/>
      <c r="AT81" s="169" t="s">
        <v>1417</v>
      </c>
      <c r="AU81" s="169" t="s">
        <v>1412</v>
      </c>
    </row>
    <row r="82" spans="1:47" x14ac:dyDescent="0.45">
      <c r="A82" s="169">
        <v>2605700857</v>
      </c>
      <c r="B82" s="169">
        <v>57</v>
      </c>
      <c r="C82" s="169" t="s">
        <v>1551</v>
      </c>
      <c r="D82" s="169">
        <v>57</v>
      </c>
      <c r="E82" s="169" t="s">
        <v>1552</v>
      </c>
      <c r="F82" s="169" t="s">
        <v>3807</v>
      </c>
      <c r="G82" s="169" t="s">
        <v>3808</v>
      </c>
      <c r="H82" s="169">
        <v>2</v>
      </c>
      <c r="I82" s="169" t="s">
        <v>3809</v>
      </c>
      <c r="J82" s="169" t="s">
        <v>1403</v>
      </c>
      <c r="K82" s="169">
        <v>2026</v>
      </c>
      <c r="L82" s="170">
        <v>2026</v>
      </c>
      <c r="M82" s="171">
        <v>45978</v>
      </c>
      <c r="N82" s="169" t="s">
        <v>36</v>
      </c>
      <c r="O82" s="169" t="s">
        <v>3630</v>
      </c>
      <c r="P82" s="169">
        <v>1170</v>
      </c>
      <c r="Q82" s="169" t="s">
        <v>3635</v>
      </c>
      <c r="R82" s="169">
        <v>1</v>
      </c>
      <c r="S82" s="169">
        <v>15</v>
      </c>
      <c r="T82" s="169" t="s">
        <v>1396</v>
      </c>
      <c r="U82" s="169">
        <v>37</v>
      </c>
      <c r="V82" s="170">
        <v>0</v>
      </c>
      <c r="W82" s="170">
        <v>0</v>
      </c>
      <c r="X82" s="170" t="s">
        <v>1406</v>
      </c>
      <c r="Y82" s="169"/>
      <c r="Z82" s="169" t="s">
        <v>3067</v>
      </c>
      <c r="AA82" s="169"/>
      <c r="AB82" s="169">
        <v>0</v>
      </c>
      <c r="AC82" s="169">
        <v>0</v>
      </c>
      <c r="AD82" s="169">
        <v>0</v>
      </c>
      <c r="AE82" s="169" t="s">
        <v>1446</v>
      </c>
      <c r="AF82" s="169"/>
      <c r="AG82" s="169" t="s">
        <v>1446</v>
      </c>
      <c r="AH82" s="169"/>
      <c r="AI82" s="169"/>
      <c r="AJ82" s="169">
        <v>0</v>
      </c>
      <c r="AK82" s="169" t="s">
        <v>1407</v>
      </c>
      <c r="AL82" s="169">
        <v>50438</v>
      </c>
      <c r="AM82" s="169" t="s">
        <v>1408</v>
      </c>
      <c r="AN82" s="169" t="s">
        <v>3720</v>
      </c>
      <c r="AO82" s="169">
        <v>28</v>
      </c>
      <c r="AP82" s="169" t="s">
        <v>1416</v>
      </c>
      <c r="AQ82" s="169">
        <v>1</v>
      </c>
      <c r="AR82" s="169" t="s">
        <v>1499</v>
      </c>
      <c r="AS82" s="169"/>
      <c r="AT82" s="169" t="s">
        <v>1417</v>
      </c>
      <c r="AU82" s="169" t="s">
        <v>1412</v>
      </c>
    </row>
    <row r="83" spans="1:47" x14ac:dyDescent="0.45">
      <c r="A83" s="169">
        <v>2605700858</v>
      </c>
      <c r="B83" s="169">
        <v>57</v>
      </c>
      <c r="C83" s="169" t="s">
        <v>1551</v>
      </c>
      <c r="D83" s="169">
        <v>57</v>
      </c>
      <c r="E83" s="169" t="s">
        <v>1552</v>
      </c>
      <c r="F83" s="169" t="s">
        <v>3810</v>
      </c>
      <c r="G83" s="169" t="s">
        <v>3811</v>
      </c>
      <c r="H83" s="169">
        <v>1</v>
      </c>
      <c r="I83" s="169" t="s">
        <v>3812</v>
      </c>
      <c r="J83" s="169" t="s">
        <v>1590</v>
      </c>
      <c r="K83" s="169">
        <v>2026</v>
      </c>
      <c r="L83" s="170">
        <v>2026</v>
      </c>
      <c r="M83" s="171">
        <v>45979</v>
      </c>
      <c r="N83" s="169" t="s">
        <v>36</v>
      </c>
      <c r="O83" s="169" t="s">
        <v>3630</v>
      </c>
      <c r="P83" s="169">
        <v>1170</v>
      </c>
      <c r="Q83" s="169" t="s">
        <v>3635</v>
      </c>
      <c r="R83" s="169">
        <v>1</v>
      </c>
      <c r="S83" s="169">
        <v>15</v>
      </c>
      <c r="T83" s="169" t="s">
        <v>1396</v>
      </c>
      <c r="U83" s="169">
        <v>37</v>
      </c>
      <c r="V83" s="170">
        <v>0</v>
      </c>
      <c r="W83" s="170">
        <v>0</v>
      </c>
      <c r="X83" s="170" t="s">
        <v>1406</v>
      </c>
      <c r="Y83" s="169"/>
      <c r="Z83" s="169" t="s">
        <v>3067</v>
      </c>
      <c r="AA83" s="169"/>
      <c r="AB83" s="169">
        <v>0</v>
      </c>
      <c r="AC83" s="169">
        <v>0</v>
      </c>
      <c r="AD83" s="169">
        <v>0</v>
      </c>
      <c r="AE83" s="169" t="s">
        <v>1446</v>
      </c>
      <c r="AF83" s="169"/>
      <c r="AG83" s="169" t="s">
        <v>1446</v>
      </c>
      <c r="AH83" s="169"/>
      <c r="AI83" s="169"/>
      <c r="AJ83" s="169">
        <v>0</v>
      </c>
      <c r="AK83" s="169" t="s">
        <v>1407</v>
      </c>
      <c r="AL83" s="169">
        <v>50419</v>
      </c>
      <c r="AM83" s="169" t="s">
        <v>1408</v>
      </c>
      <c r="AN83" s="169" t="s">
        <v>3813</v>
      </c>
      <c r="AO83" s="169">
        <v>27</v>
      </c>
      <c r="AP83" s="169" t="s">
        <v>1581</v>
      </c>
      <c r="AQ83" s="169">
        <v>1</v>
      </c>
      <c r="AR83" s="169" t="s">
        <v>1499</v>
      </c>
      <c r="AS83" s="169"/>
      <c r="AT83" s="169" t="s">
        <v>1417</v>
      </c>
      <c r="AU83" s="169" t="s">
        <v>1412</v>
      </c>
    </row>
    <row r="84" spans="1:47" x14ac:dyDescent="0.45">
      <c r="A84" s="169">
        <v>2605700859</v>
      </c>
      <c r="B84" s="169">
        <v>57</v>
      </c>
      <c r="C84" s="169" t="s">
        <v>1551</v>
      </c>
      <c r="D84" s="169">
        <v>57</v>
      </c>
      <c r="E84" s="169" t="s">
        <v>1552</v>
      </c>
      <c r="F84" s="169" t="s">
        <v>3814</v>
      </c>
      <c r="G84" s="169" t="s">
        <v>3815</v>
      </c>
      <c r="H84" s="169">
        <v>2</v>
      </c>
      <c r="I84" s="169" t="s">
        <v>3816</v>
      </c>
      <c r="J84" s="169" t="s">
        <v>1590</v>
      </c>
      <c r="K84" s="169">
        <v>2026</v>
      </c>
      <c r="L84" s="170">
        <v>2026</v>
      </c>
      <c r="M84" s="171">
        <v>45979</v>
      </c>
      <c r="N84" s="169" t="s">
        <v>36</v>
      </c>
      <c r="O84" s="169" t="s">
        <v>3630</v>
      </c>
      <c r="P84" s="169">
        <v>1170</v>
      </c>
      <c r="Q84" s="169" t="s">
        <v>3635</v>
      </c>
      <c r="R84" s="169">
        <v>1</v>
      </c>
      <c r="S84" s="169">
        <v>15</v>
      </c>
      <c r="T84" s="169" t="s">
        <v>1396</v>
      </c>
      <c r="U84" s="169">
        <v>37</v>
      </c>
      <c r="V84" s="170">
        <v>2680115</v>
      </c>
      <c r="W84" s="170">
        <v>0</v>
      </c>
      <c r="X84" s="170" t="s">
        <v>1406</v>
      </c>
      <c r="Y84" s="169"/>
      <c r="Z84" s="169" t="s">
        <v>3067</v>
      </c>
      <c r="AA84" s="171">
        <v>46030</v>
      </c>
      <c r="AB84" s="169">
        <v>26</v>
      </c>
      <c r="AC84" s="169">
        <v>80115</v>
      </c>
      <c r="AD84" s="169">
        <v>57</v>
      </c>
      <c r="AE84" s="169" t="s">
        <v>1551</v>
      </c>
      <c r="AF84" s="169">
        <v>57</v>
      </c>
      <c r="AG84" s="169" t="s">
        <v>1552</v>
      </c>
      <c r="AH84" s="169" t="s">
        <v>36</v>
      </c>
      <c r="AI84" s="169" t="s">
        <v>3630</v>
      </c>
      <c r="AJ84" s="169">
        <v>1170</v>
      </c>
      <c r="AK84" s="169" t="s">
        <v>1407</v>
      </c>
      <c r="AL84" s="169">
        <v>50419</v>
      </c>
      <c r="AM84" s="169" t="s">
        <v>1408</v>
      </c>
      <c r="AN84" s="169" t="s">
        <v>3813</v>
      </c>
      <c r="AO84" s="169">
        <v>27</v>
      </c>
      <c r="AP84" s="169" t="s">
        <v>1581</v>
      </c>
      <c r="AQ84" s="169">
        <v>1</v>
      </c>
      <c r="AR84" s="169" t="s">
        <v>1410</v>
      </c>
      <c r="AS84" s="169"/>
      <c r="AT84" s="169" t="s">
        <v>1417</v>
      </c>
      <c r="AU84" s="169" t="s">
        <v>1412</v>
      </c>
    </row>
    <row r="85" spans="1:47" x14ac:dyDescent="0.45">
      <c r="A85" s="169">
        <v>2605700860</v>
      </c>
      <c r="B85" s="169">
        <v>57</v>
      </c>
      <c r="C85" s="169" t="s">
        <v>1551</v>
      </c>
      <c r="D85" s="169">
        <v>57</v>
      </c>
      <c r="E85" s="169" t="s">
        <v>1552</v>
      </c>
      <c r="F85" s="169" t="s">
        <v>3817</v>
      </c>
      <c r="G85" s="169" t="s">
        <v>3818</v>
      </c>
      <c r="H85" s="169">
        <v>1</v>
      </c>
      <c r="I85" s="169" t="s">
        <v>3816</v>
      </c>
      <c r="J85" s="169" t="s">
        <v>1590</v>
      </c>
      <c r="K85" s="169">
        <v>2026</v>
      </c>
      <c r="L85" s="170">
        <v>2026</v>
      </c>
      <c r="M85" s="171">
        <v>45979</v>
      </c>
      <c r="N85" s="169" t="s">
        <v>36</v>
      </c>
      <c r="O85" s="169" t="s">
        <v>3630</v>
      </c>
      <c r="P85" s="169">
        <v>1170</v>
      </c>
      <c r="Q85" s="169" t="s">
        <v>3635</v>
      </c>
      <c r="R85" s="169">
        <v>1</v>
      </c>
      <c r="S85" s="169">
        <v>15</v>
      </c>
      <c r="T85" s="169" t="s">
        <v>1396</v>
      </c>
      <c r="U85" s="169">
        <v>37</v>
      </c>
      <c r="V85" s="170">
        <v>2680116</v>
      </c>
      <c r="W85" s="170">
        <v>0</v>
      </c>
      <c r="X85" s="170" t="s">
        <v>1406</v>
      </c>
      <c r="Y85" s="169"/>
      <c r="Z85" s="169" t="s">
        <v>3067</v>
      </c>
      <c r="AA85" s="171">
        <v>46030</v>
      </c>
      <c r="AB85" s="169">
        <v>26</v>
      </c>
      <c r="AC85" s="169">
        <v>80116</v>
      </c>
      <c r="AD85" s="169">
        <v>57</v>
      </c>
      <c r="AE85" s="169" t="s">
        <v>1551</v>
      </c>
      <c r="AF85" s="169">
        <v>57</v>
      </c>
      <c r="AG85" s="169" t="s">
        <v>1552</v>
      </c>
      <c r="AH85" s="169" t="s">
        <v>36</v>
      </c>
      <c r="AI85" s="169" t="s">
        <v>3630</v>
      </c>
      <c r="AJ85" s="169">
        <v>1170</v>
      </c>
      <c r="AK85" s="169" t="s">
        <v>1407</v>
      </c>
      <c r="AL85" s="169">
        <v>50419</v>
      </c>
      <c r="AM85" s="169" t="s">
        <v>1408</v>
      </c>
      <c r="AN85" s="169" t="s">
        <v>3813</v>
      </c>
      <c r="AO85" s="169">
        <v>27</v>
      </c>
      <c r="AP85" s="169" t="s">
        <v>1581</v>
      </c>
      <c r="AQ85" s="169">
        <v>1</v>
      </c>
      <c r="AR85" s="169" t="s">
        <v>1410</v>
      </c>
      <c r="AS85" s="169"/>
      <c r="AT85" s="169" t="s">
        <v>1417</v>
      </c>
      <c r="AU85" s="169" t="s">
        <v>1412</v>
      </c>
    </row>
    <row r="86" spans="1:47" x14ac:dyDescent="0.45">
      <c r="A86" s="169">
        <v>2605700861</v>
      </c>
      <c r="B86" s="169">
        <v>57</v>
      </c>
      <c r="C86" s="169" t="s">
        <v>1551</v>
      </c>
      <c r="D86" s="169">
        <v>57</v>
      </c>
      <c r="E86" s="169" t="s">
        <v>1552</v>
      </c>
      <c r="F86" s="169" t="s">
        <v>3819</v>
      </c>
      <c r="G86" s="169" t="s">
        <v>3820</v>
      </c>
      <c r="H86" s="169">
        <v>1</v>
      </c>
      <c r="I86" s="169" t="s">
        <v>3771</v>
      </c>
      <c r="J86" s="169" t="s">
        <v>1590</v>
      </c>
      <c r="K86" s="169">
        <v>2026</v>
      </c>
      <c r="L86" s="170">
        <v>2026</v>
      </c>
      <c r="M86" s="171">
        <v>45979</v>
      </c>
      <c r="N86" s="169" t="s">
        <v>36</v>
      </c>
      <c r="O86" s="169" t="s">
        <v>3630</v>
      </c>
      <c r="P86" s="169">
        <v>1170</v>
      </c>
      <c r="Q86" s="169" t="s">
        <v>3635</v>
      </c>
      <c r="R86" s="169">
        <v>1</v>
      </c>
      <c r="S86" s="169">
        <v>15</v>
      </c>
      <c r="T86" s="169" t="s">
        <v>1396</v>
      </c>
      <c r="U86" s="169">
        <v>37</v>
      </c>
      <c r="V86" s="170">
        <v>0</v>
      </c>
      <c r="W86" s="170">
        <v>0</v>
      </c>
      <c r="X86" s="170" t="s">
        <v>1406</v>
      </c>
      <c r="Y86" s="169"/>
      <c r="Z86" s="169" t="s">
        <v>3067</v>
      </c>
      <c r="AA86" s="169"/>
      <c r="AB86" s="169">
        <v>0</v>
      </c>
      <c r="AC86" s="169">
        <v>0</v>
      </c>
      <c r="AD86" s="169">
        <v>0</v>
      </c>
      <c r="AE86" s="169" t="s">
        <v>1446</v>
      </c>
      <c r="AF86" s="169"/>
      <c r="AG86" s="169" t="s">
        <v>1446</v>
      </c>
      <c r="AH86" s="169"/>
      <c r="AI86" s="169"/>
      <c r="AJ86" s="169">
        <v>0</v>
      </c>
      <c r="AK86" s="169" t="s">
        <v>1407</v>
      </c>
      <c r="AL86" s="169">
        <v>50419</v>
      </c>
      <c r="AM86" s="169" t="s">
        <v>1408</v>
      </c>
      <c r="AN86" s="169" t="s">
        <v>3813</v>
      </c>
      <c r="AO86" s="169">
        <v>27</v>
      </c>
      <c r="AP86" s="169" t="s">
        <v>1581</v>
      </c>
      <c r="AQ86" s="169">
        <v>1</v>
      </c>
      <c r="AR86" s="169" t="s">
        <v>1410</v>
      </c>
      <c r="AS86" s="169"/>
      <c r="AT86" s="169" t="s">
        <v>1417</v>
      </c>
      <c r="AU86" s="169" t="s">
        <v>1412</v>
      </c>
    </row>
    <row r="87" spans="1:47" x14ac:dyDescent="0.45">
      <c r="A87" s="169">
        <v>2605700862</v>
      </c>
      <c r="B87" s="169">
        <v>57</v>
      </c>
      <c r="C87" s="169" t="s">
        <v>1551</v>
      </c>
      <c r="D87" s="169">
        <v>57</v>
      </c>
      <c r="E87" s="169" t="s">
        <v>1552</v>
      </c>
      <c r="F87" s="169" t="s">
        <v>3821</v>
      </c>
      <c r="G87" s="169" t="s">
        <v>3822</v>
      </c>
      <c r="H87" s="169">
        <v>2</v>
      </c>
      <c r="I87" s="169" t="s">
        <v>3823</v>
      </c>
      <c r="J87" s="169" t="s">
        <v>1590</v>
      </c>
      <c r="K87" s="169">
        <v>2026</v>
      </c>
      <c r="L87" s="170">
        <v>2026</v>
      </c>
      <c r="M87" s="171">
        <v>45979</v>
      </c>
      <c r="N87" s="169" t="s">
        <v>36</v>
      </c>
      <c r="O87" s="169" t="s">
        <v>3630</v>
      </c>
      <c r="P87" s="169">
        <v>1170</v>
      </c>
      <c r="Q87" s="169" t="s">
        <v>3635</v>
      </c>
      <c r="R87" s="169">
        <v>1</v>
      </c>
      <c r="S87" s="169">
        <v>15</v>
      </c>
      <c r="T87" s="169" t="s">
        <v>1396</v>
      </c>
      <c r="U87" s="169">
        <v>37</v>
      </c>
      <c r="V87" s="170">
        <v>0</v>
      </c>
      <c r="W87" s="170">
        <v>0</v>
      </c>
      <c r="X87" s="170" t="s">
        <v>1406</v>
      </c>
      <c r="Y87" s="169"/>
      <c r="Z87" s="169" t="s">
        <v>3067</v>
      </c>
      <c r="AA87" s="169"/>
      <c r="AB87" s="169">
        <v>0</v>
      </c>
      <c r="AC87" s="169">
        <v>0</v>
      </c>
      <c r="AD87" s="169">
        <v>0</v>
      </c>
      <c r="AE87" s="169" t="s">
        <v>1446</v>
      </c>
      <c r="AF87" s="169"/>
      <c r="AG87" s="169" t="s">
        <v>1446</v>
      </c>
      <c r="AH87" s="169"/>
      <c r="AI87" s="169"/>
      <c r="AJ87" s="169">
        <v>0</v>
      </c>
      <c r="AK87" s="169" t="s">
        <v>1407</v>
      </c>
      <c r="AL87" s="169">
        <v>50523</v>
      </c>
      <c r="AM87" s="169" t="s">
        <v>1408</v>
      </c>
      <c r="AN87" s="169" t="s">
        <v>3824</v>
      </c>
      <c r="AO87" s="169">
        <v>27</v>
      </c>
      <c r="AP87" s="169" t="s">
        <v>1581</v>
      </c>
      <c r="AQ87" s="169">
        <v>1</v>
      </c>
      <c r="AR87" s="169" t="s">
        <v>1499</v>
      </c>
      <c r="AS87" s="169"/>
      <c r="AT87" s="169" t="s">
        <v>1417</v>
      </c>
      <c r="AU87" s="169" t="s">
        <v>1412</v>
      </c>
    </row>
    <row r="88" spans="1:47" x14ac:dyDescent="0.45">
      <c r="A88" s="169">
        <v>2605700863</v>
      </c>
      <c r="B88" s="169">
        <v>57</v>
      </c>
      <c r="C88" s="169" t="s">
        <v>1551</v>
      </c>
      <c r="D88" s="169">
        <v>57</v>
      </c>
      <c r="E88" s="169" t="s">
        <v>1552</v>
      </c>
      <c r="F88" s="169" t="s">
        <v>3825</v>
      </c>
      <c r="G88" s="169" t="s">
        <v>3826</v>
      </c>
      <c r="H88" s="169">
        <v>1</v>
      </c>
      <c r="I88" s="169" t="s">
        <v>3761</v>
      </c>
      <c r="J88" s="169" t="s">
        <v>1590</v>
      </c>
      <c r="K88" s="169">
        <v>2026</v>
      </c>
      <c r="L88" s="170">
        <v>2026</v>
      </c>
      <c r="M88" s="171">
        <v>45979</v>
      </c>
      <c r="N88" s="169" t="s">
        <v>36</v>
      </c>
      <c r="O88" s="169" t="s">
        <v>3630</v>
      </c>
      <c r="P88" s="169">
        <v>1170</v>
      </c>
      <c r="Q88" s="169" t="s">
        <v>3635</v>
      </c>
      <c r="R88" s="169">
        <v>1</v>
      </c>
      <c r="S88" s="169">
        <v>15</v>
      </c>
      <c r="T88" s="169" t="s">
        <v>1396</v>
      </c>
      <c r="U88" s="169">
        <v>37</v>
      </c>
      <c r="V88" s="170">
        <v>0</v>
      </c>
      <c r="W88" s="170">
        <v>0</v>
      </c>
      <c r="X88" s="170" t="s">
        <v>1406</v>
      </c>
      <c r="Y88" s="169"/>
      <c r="Z88" s="169" t="s">
        <v>3067</v>
      </c>
      <c r="AA88" s="169"/>
      <c r="AB88" s="169">
        <v>0</v>
      </c>
      <c r="AC88" s="169">
        <v>0</v>
      </c>
      <c r="AD88" s="169">
        <v>0</v>
      </c>
      <c r="AE88" s="169" t="s">
        <v>1446</v>
      </c>
      <c r="AF88" s="169"/>
      <c r="AG88" s="169" t="s">
        <v>1446</v>
      </c>
      <c r="AH88" s="169"/>
      <c r="AI88" s="169"/>
      <c r="AJ88" s="169">
        <v>0</v>
      </c>
      <c r="AK88" s="169" t="s">
        <v>1407</v>
      </c>
      <c r="AL88" s="169">
        <v>50405</v>
      </c>
      <c r="AM88" s="169" t="s">
        <v>1408</v>
      </c>
      <c r="AN88" s="169" t="s">
        <v>3772</v>
      </c>
      <c r="AO88" s="169">
        <v>27</v>
      </c>
      <c r="AP88" s="169" t="s">
        <v>1581</v>
      </c>
      <c r="AQ88" s="169">
        <v>1</v>
      </c>
      <c r="AR88" s="169" t="s">
        <v>1499</v>
      </c>
      <c r="AS88" s="169"/>
      <c r="AT88" s="169" t="s">
        <v>1417</v>
      </c>
      <c r="AU88" s="169" t="s">
        <v>1412</v>
      </c>
    </row>
    <row r="89" spans="1:47" x14ac:dyDescent="0.45">
      <c r="A89" s="169">
        <v>2605700864</v>
      </c>
      <c r="B89" s="169">
        <v>57</v>
      </c>
      <c r="C89" s="169" t="s">
        <v>1551</v>
      </c>
      <c r="D89" s="169">
        <v>57</v>
      </c>
      <c r="E89" s="169" t="s">
        <v>1552</v>
      </c>
      <c r="F89" s="169" t="s">
        <v>3827</v>
      </c>
      <c r="G89" s="169" t="s">
        <v>3828</v>
      </c>
      <c r="H89" s="169">
        <v>2</v>
      </c>
      <c r="I89" s="169" t="s">
        <v>3829</v>
      </c>
      <c r="J89" s="169" t="s">
        <v>1403</v>
      </c>
      <c r="K89" s="169">
        <v>2026</v>
      </c>
      <c r="L89" s="170">
        <v>2026</v>
      </c>
      <c r="M89" s="171">
        <v>45979</v>
      </c>
      <c r="N89" s="169" t="s">
        <v>36</v>
      </c>
      <c r="O89" s="169" t="s">
        <v>3630</v>
      </c>
      <c r="P89" s="169">
        <v>1170</v>
      </c>
      <c r="Q89" s="169" t="s">
        <v>3635</v>
      </c>
      <c r="R89" s="169">
        <v>1</v>
      </c>
      <c r="S89" s="169">
        <v>15</v>
      </c>
      <c r="T89" s="169" t="s">
        <v>1396</v>
      </c>
      <c r="U89" s="169">
        <v>37</v>
      </c>
      <c r="V89" s="170">
        <v>0</v>
      </c>
      <c r="W89" s="170">
        <v>0</v>
      </c>
      <c r="X89" s="170" t="s">
        <v>1406</v>
      </c>
      <c r="Y89" s="169"/>
      <c r="Z89" s="169" t="s">
        <v>3067</v>
      </c>
      <c r="AA89" s="169"/>
      <c r="AB89" s="169">
        <v>0</v>
      </c>
      <c r="AC89" s="169">
        <v>0</v>
      </c>
      <c r="AD89" s="169">
        <v>0</v>
      </c>
      <c r="AE89" s="169" t="s">
        <v>1446</v>
      </c>
      <c r="AF89" s="169"/>
      <c r="AG89" s="169" t="s">
        <v>1446</v>
      </c>
      <c r="AH89" s="169"/>
      <c r="AI89" s="169"/>
      <c r="AJ89" s="169">
        <v>0</v>
      </c>
      <c r="AK89" s="169" t="s">
        <v>1407</v>
      </c>
      <c r="AL89" s="169">
        <v>0</v>
      </c>
      <c r="AM89" s="169" t="s">
        <v>1408</v>
      </c>
      <c r="AN89" s="169" t="s">
        <v>2800</v>
      </c>
      <c r="AO89" s="169">
        <v>0</v>
      </c>
      <c r="AP89" s="169"/>
      <c r="AQ89" s="169">
        <v>1</v>
      </c>
      <c r="AR89" s="169" t="s">
        <v>1499</v>
      </c>
      <c r="AS89" s="169"/>
      <c r="AT89" s="169" t="s">
        <v>1417</v>
      </c>
      <c r="AU89" s="169" t="s">
        <v>1412</v>
      </c>
    </row>
    <row r="90" spans="1:47" x14ac:dyDescent="0.45">
      <c r="A90" s="169">
        <v>2605700865</v>
      </c>
      <c r="B90" s="169">
        <v>57</v>
      </c>
      <c r="C90" s="169" t="s">
        <v>1551</v>
      </c>
      <c r="D90" s="169">
        <v>57</v>
      </c>
      <c r="E90" s="169" t="s">
        <v>1552</v>
      </c>
      <c r="F90" s="169" t="s">
        <v>3830</v>
      </c>
      <c r="G90" s="169" t="s">
        <v>3831</v>
      </c>
      <c r="H90" s="169">
        <v>1</v>
      </c>
      <c r="I90" s="169" t="s">
        <v>228</v>
      </c>
      <c r="J90" s="169" t="s">
        <v>1403</v>
      </c>
      <c r="K90" s="169">
        <v>2026</v>
      </c>
      <c r="L90" s="170">
        <v>2026</v>
      </c>
      <c r="M90" s="171">
        <v>45979</v>
      </c>
      <c r="N90" s="169" t="s">
        <v>36</v>
      </c>
      <c r="O90" s="169" t="s">
        <v>3630</v>
      </c>
      <c r="P90" s="169">
        <v>1170</v>
      </c>
      <c r="Q90" s="169" t="s">
        <v>3635</v>
      </c>
      <c r="R90" s="169">
        <v>1</v>
      </c>
      <c r="S90" s="169">
        <v>15</v>
      </c>
      <c r="T90" s="169" t="s">
        <v>1396</v>
      </c>
      <c r="U90" s="169">
        <v>37</v>
      </c>
      <c r="V90" s="170">
        <v>0</v>
      </c>
      <c r="W90" s="170">
        <v>0</v>
      </c>
      <c r="X90" s="170" t="s">
        <v>1406</v>
      </c>
      <c r="Y90" s="169"/>
      <c r="Z90" s="169" t="s">
        <v>3067</v>
      </c>
      <c r="AA90" s="169"/>
      <c r="AB90" s="169">
        <v>0</v>
      </c>
      <c r="AC90" s="169">
        <v>0</v>
      </c>
      <c r="AD90" s="169">
        <v>0</v>
      </c>
      <c r="AE90" s="169" t="s">
        <v>1446</v>
      </c>
      <c r="AF90" s="169"/>
      <c r="AG90" s="169" t="s">
        <v>1446</v>
      </c>
      <c r="AH90" s="169"/>
      <c r="AI90" s="169"/>
      <c r="AJ90" s="169">
        <v>0</v>
      </c>
      <c r="AK90" s="169" t="s">
        <v>1407</v>
      </c>
      <c r="AL90" s="169">
        <v>50438</v>
      </c>
      <c r="AM90" s="169" t="s">
        <v>1408</v>
      </c>
      <c r="AN90" s="169" t="s">
        <v>3720</v>
      </c>
      <c r="AO90" s="169">
        <v>28</v>
      </c>
      <c r="AP90" s="169" t="s">
        <v>1416</v>
      </c>
      <c r="AQ90" s="169">
        <v>1</v>
      </c>
      <c r="AR90" s="169" t="s">
        <v>1499</v>
      </c>
      <c r="AS90" s="169"/>
      <c r="AT90" s="169" t="s">
        <v>1417</v>
      </c>
      <c r="AU90" s="169" t="s">
        <v>1412</v>
      </c>
    </row>
    <row r="91" spans="1:47" x14ac:dyDescent="0.45">
      <c r="A91" s="169">
        <v>2605700866</v>
      </c>
      <c r="B91" s="169">
        <v>57</v>
      </c>
      <c r="C91" s="169" t="s">
        <v>1551</v>
      </c>
      <c r="D91" s="169">
        <v>57</v>
      </c>
      <c r="E91" s="169" t="s">
        <v>1552</v>
      </c>
      <c r="F91" s="169" t="s">
        <v>3832</v>
      </c>
      <c r="G91" s="169" t="s">
        <v>3833</v>
      </c>
      <c r="H91" s="169">
        <v>1</v>
      </c>
      <c r="I91" s="169" t="s">
        <v>3809</v>
      </c>
      <c r="J91" s="169" t="s">
        <v>1403</v>
      </c>
      <c r="K91" s="169">
        <v>2026</v>
      </c>
      <c r="L91" s="170">
        <v>2026</v>
      </c>
      <c r="M91" s="171">
        <v>45979</v>
      </c>
      <c r="N91" s="169" t="s">
        <v>36</v>
      </c>
      <c r="O91" s="169" t="s">
        <v>3630</v>
      </c>
      <c r="P91" s="169">
        <v>1170</v>
      </c>
      <c r="Q91" s="169" t="s">
        <v>3635</v>
      </c>
      <c r="R91" s="169">
        <v>1</v>
      </c>
      <c r="S91" s="169">
        <v>15</v>
      </c>
      <c r="T91" s="169" t="s">
        <v>1396</v>
      </c>
      <c r="U91" s="169">
        <v>37</v>
      </c>
      <c r="V91" s="170">
        <v>2680097</v>
      </c>
      <c r="W91" s="170">
        <v>0</v>
      </c>
      <c r="X91" s="170" t="s">
        <v>1406</v>
      </c>
      <c r="Y91" s="169"/>
      <c r="Z91" s="169" t="s">
        <v>3067</v>
      </c>
      <c r="AA91" s="171">
        <v>46013</v>
      </c>
      <c r="AB91" s="169">
        <v>26</v>
      </c>
      <c r="AC91" s="169">
        <v>80097</v>
      </c>
      <c r="AD91" s="169">
        <v>57</v>
      </c>
      <c r="AE91" s="169" t="s">
        <v>1551</v>
      </c>
      <c r="AF91" s="169">
        <v>57</v>
      </c>
      <c r="AG91" s="169" t="s">
        <v>1552</v>
      </c>
      <c r="AH91" s="169" t="s">
        <v>36</v>
      </c>
      <c r="AI91" s="169" t="s">
        <v>3630</v>
      </c>
      <c r="AJ91" s="169">
        <v>1170</v>
      </c>
      <c r="AK91" s="169" t="s">
        <v>1407</v>
      </c>
      <c r="AL91" s="169">
        <v>50443</v>
      </c>
      <c r="AM91" s="169" t="s">
        <v>1408</v>
      </c>
      <c r="AN91" s="169" t="s">
        <v>3068</v>
      </c>
      <c r="AO91" s="169">
        <v>28</v>
      </c>
      <c r="AP91" s="169" t="s">
        <v>1416</v>
      </c>
      <c r="AQ91" s="169">
        <v>1</v>
      </c>
      <c r="AR91" s="169" t="s">
        <v>1410</v>
      </c>
      <c r="AS91" s="169"/>
      <c r="AT91" s="169" t="s">
        <v>1417</v>
      </c>
      <c r="AU91" s="169" t="s">
        <v>1412</v>
      </c>
    </row>
    <row r="92" spans="1:47" x14ac:dyDescent="0.45">
      <c r="A92" s="169">
        <v>2605700867</v>
      </c>
      <c r="B92" s="169">
        <v>57</v>
      </c>
      <c r="C92" s="169" t="s">
        <v>1551</v>
      </c>
      <c r="D92" s="169">
        <v>57</v>
      </c>
      <c r="E92" s="169" t="s">
        <v>1552</v>
      </c>
      <c r="F92" s="169" t="s">
        <v>3834</v>
      </c>
      <c r="G92" s="169" t="s">
        <v>3835</v>
      </c>
      <c r="H92" s="169">
        <v>1</v>
      </c>
      <c r="I92" s="169" t="s">
        <v>3781</v>
      </c>
      <c r="J92" s="169" t="s">
        <v>1590</v>
      </c>
      <c r="K92" s="169">
        <v>2026</v>
      </c>
      <c r="L92" s="170">
        <v>2026</v>
      </c>
      <c r="M92" s="171">
        <v>45979</v>
      </c>
      <c r="N92" s="169" t="s">
        <v>36</v>
      </c>
      <c r="O92" s="169" t="s">
        <v>3630</v>
      </c>
      <c r="P92" s="169">
        <v>1170</v>
      </c>
      <c r="Q92" s="169" t="s">
        <v>3635</v>
      </c>
      <c r="R92" s="169">
        <v>1</v>
      </c>
      <c r="S92" s="169">
        <v>15</v>
      </c>
      <c r="T92" s="169" t="s">
        <v>1396</v>
      </c>
      <c r="U92" s="169">
        <v>37</v>
      </c>
      <c r="V92" s="170">
        <v>0</v>
      </c>
      <c r="W92" s="170">
        <v>0</v>
      </c>
      <c r="X92" s="170" t="s">
        <v>1406</v>
      </c>
      <c r="Y92" s="169"/>
      <c r="Z92" s="169" t="s">
        <v>3067</v>
      </c>
      <c r="AA92" s="169"/>
      <c r="AB92" s="169">
        <v>0</v>
      </c>
      <c r="AC92" s="169">
        <v>0</v>
      </c>
      <c r="AD92" s="169">
        <v>0</v>
      </c>
      <c r="AE92" s="169" t="s">
        <v>1446</v>
      </c>
      <c r="AF92" s="169"/>
      <c r="AG92" s="169" t="s">
        <v>1446</v>
      </c>
      <c r="AH92" s="169"/>
      <c r="AI92" s="169"/>
      <c r="AJ92" s="169">
        <v>0</v>
      </c>
      <c r="AK92" s="169" t="s">
        <v>1407</v>
      </c>
      <c r="AL92" s="169">
        <v>50739</v>
      </c>
      <c r="AM92" s="169" t="s">
        <v>1408</v>
      </c>
      <c r="AN92" s="169" t="s">
        <v>3782</v>
      </c>
      <c r="AO92" s="169">
        <v>27</v>
      </c>
      <c r="AP92" s="169" t="s">
        <v>1581</v>
      </c>
      <c r="AQ92" s="169">
        <v>1</v>
      </c>
      <c r="AR92" s="169" t="s">
        <v>1499</v>
      </c>
      <c r="AS92" s="169"/>
      <c r="AT92" s="169" t="s">
        <v>1417</v>
      </c>
      <c r="AU92" s="169" t="s">
        <v>1412</v>
      </c>
    </row>
    <row r="93" spans="1:47" x14ac:dyDescent="0.45">
      <c r="A93" s="169">
        <v>2605700869</v>
      </c>
      <c r="B93" s="169">
        <v>57</v>
      </c>
      <c r="C93" s="169" t="s">
        <v>1551</v>
      </c>
      <c r="D93" s="169">
        <v>57</v>
      </c>
      <c r="E93" s="169" t="s">
        <v>1552</v>
      </c>
      <c r="F93" s="169" t="s">
        <v>3836</v>
      </c>
      <c r="G93" s="169" t="s">
        <v>3837</v>
      </c>
      <c r="H93" s="169">
        <v>2</v>
      </c>
      <c r="I93" s="169" t="s">
        <v>3838</v>
      </c>
      <c r="J93" s="169" t="s">
        <v>1590</v>
      </c>
      <c r="K93" s="169">
        <v>2026</v>
      </c>
      <c r="L93" s="170">
        <v>2026</v>
      </c>
      <c r="M93" s="171">
        <v>45980</v>
      </c>
      <c r="N93" s="169" t="s">
        <v>36</v>
      </c>
      <c r="O93" s="169" t="s">
        <v>3630</v>
      </c>
      <c r="P93" s="169">
        <v>1170</v>
      </c>
      <c r="Q93" s="169" t="s">
        <v>3635</v>
      </c>
      <c r="R93" s="169">
        <v>1</v>
      </c>
      <c r="S93" s="169">
        <v>15</v>
      </c>
      <c r="T93" s="169" t="s">
        <v>1396</v>
      </c>
      <c r="U93" s="169">
        <v>37</v>
      </c>
      <c r="V93" s="170">
        <v>0</v>
      </c>
      <c r="W93" s="170">
        <v>0</v>
      </c>
      <c r="X93" s="170" t="s">
        <v>1406</v>
      </c>
      <c r="Y93" s="169"/>
      <c r="Z93" s="169" t="s">
        <v>3067</v>
      </c>
      <c r="AA93" s="169"/>
      <c r="AB93" s="169">
        <v>0</v>
      </c>
      <c r="AC93" s="169">
        <v>0</v>
      </c>
      <c r="AD93" s="169">
        <v>0</v>
      </c>
      <c r="AE93" s="169" t="s">
        <v>1446</v>
      </c>
      <c r="AF93" s="169"/>
      <c r="AG93" s="169" t="s">
        <v>1446</v>
      </c>
      <c r="AH93" s="169"/>
      <c r="AI93" s="169"/>
      <c r="AJ93" s="169">
        <v>0</v>
      </c>
      <c r="AK93" s="169" t="s">
        <v>1407</v>
      </c>
      <c r="AL93" s="169">
        <v>50523</v>
      </c>
      <c r="AM93" s="169" t="s">
        <v>1408</v>
      </c>
      <c r="AN93" s="169" t="s">
        <v>3824</v>
      </c>
      <c r="AO93" s="169">
        <v>27</v>
      </c>
      <c r="AP93" s="169" t="s">
        <v>1581</v>
      </c>
      <c r="AQ93" s="169">
        <v>1</v>
      </c>
      <c r="AR93" s="169" t="s">
        <v>1499</v>
      </c>
      <c r="AS93" s="169"/>
      <c r="AT93" s="169" t="s">
        <v>1417</v>
      </c>
      <c r="AU93" s="169" t="s">
        <v>1412</v>
      </c>
    </row>
    <row r="94" spans="1:47" x14ac:dyDescent="0.45">
      <c r="A94" s="169">
        <v>2605700870</v>
      </c>
      <c r="B94" s="169">
        <v>57</v>
      </c>
      <c r="C94" s="169" t="s">
        <v>1551</v>
      </c>
      <c r="D94" s="169">
        <v>57</v>
      </c>
      <c r="E94" s="169" t="s">
        <v>1552</v>
      </c>
      <c r="F94" s="169" t="s">
        <v>3839</v>
      </c>
      <c r="G94" s="169" t="s">
        <v>3840</v>
      </c>
      <c r="H94" s="169">
        <v>1</v>
      </c>
      <c r="I94" s="169" t="s">
        <v>3841</v>
      </c>
      <c r="J94" s="169" t="s">
        <v>1590</v>
      </c>
      <c r="K94" s="169">
        <v>2026</v>
      </c>
      <c r="L94" s="170">
        <v>2026</v>
      </c>
      <c r="M94" s="171">
        <v>45980</v>
      </c>
      <c r="N94" s="169" t="s">
        <v>36</v>
      </c>
      <c r="O94" s="169" t="s">
        <v>3630</v>
      </c>
      <c r="P94" s="169">
        <v>1170</v>
      </c>
      <c r="Q94" s="169" t="s">
        <v>3635</v>
      </c>
      <c r="R94" s="169">
        <v>1</v>
      </c>
      <c r="S94" s="169">
        <v>15</v>
      </c>
      <c r="T94" s="169" t="s">
        <v>1396</v>
      </c>
      <c r="U94" s="169">
        <v>37</v>
      </c>
      <c r="V94" s="170">
        <v>0</v>
      </c>
      <c r="W94" s="170">
        <v>0</v>
      </c>
      <c r="X94" s="170" t="s">
        <v>1406</v>
      </c>
      <c r="Y94" s="169"/>
      <c r="Z94" s="169" t="s">
        <v>3067</v>
      </c>
      <c r="AA94" s="169"/>
      <c r="AB94" s="169">
        <v>0</v>
      </c>
      <c r="AC94" s="169">
        <v>0</v>
      </c>
      <c r="AD94" s="169">
        <v>0</v>
      </c>
      <c r="AE94" s="169" t="s">
        <v>1446</v>
      </c>
      <c r="AF94" s="169"/>
      <c r="AG94" s="169" t="s">
        <v>1446</v>
      </c>
      <c r="AH94" s="169"/>
      <c r="AI94" s="169"/>
      <c r="AJ94" s="169">
        <v>0</v>
      </c>
      <c r="AK94" s="169" t="s">
        <v>1407</v>
      </c>
      <c r="AL94" s="169">
        <v>50523</v>
      </c>
      <c r="AM94" s="169" t="s">
        <v>1408</v>
      </c>
      <c r="AN94" s="169" t="s">
        <v>3824</v>
      </c>
      <c r="AO94" s="169">
        <v>27</v>
      </c>
      <c r="AP94" s="169" t="s">
        <v>1581</v>
      </c>
      <c r="AQ94" s="169">
        <v>1</v>
      </c>
      <c r="AR94" s="169" t="s">
        <v>1499</v>
      </c>
      <c r="AS94" s="169"/>
      <c r="AT94" s="169" t="s">
        <v>1417</v>
      </c>
      <c r="AU94" s="169" t="s">
        <v>1412</v>
      </c>
    </row>
    <row r="95" spans="1:47" x14ac:dyDescent="0.45">
      <c r="A95" s="169">
        <v>2605700871</v>
      </c>
      <c r="B95" s="169">
        <v>57</v>
      </c>
      <c r="C95" s="169" t="s">
        <v>1551</v>
      </c>
      <c r="D95" s="169">
        <v>57</v>
      </c>
      <c r="E95" s="169" t="s">
        <v>1552</v>
      </c>
      <c r="F95" s="169" t="s">
        <v>3842</v>
      </c>
      <c r="G95" s="169" t="s">
        <v>3843</v>
      </c>
      <c r="H95" s="169">
        <v>2</v>
      </c>
      <c r="I95" s="169" t="s">
        <v>3778</v>
      </c>
      <c r="J95" s="169" t="s">
        <v>1590</v>
      </c>
      <c r="K95" s="169">
        <v>2026</v>
      </c>
      <c r="L95" s="170">
        <v>2026</v>
      </c>
      <c r="M95" s="171">
        <v>45980</v>
      </c>
      <c r="N95" s="169" t="s">
        <v>36</v>
      </c>
      <c r="O95" s="169" t="s">
        <v>3630</v>
      </c>
      <c r="P95" s="169">
        <v>1170</v>
      </c>
      <c r="Q95" s="169" t="s">
        <v>3635</v>
      </c>
      <c r="R95" s="169">
        <v>1</v>
      </c>
      <c r="S95" s="169">
        <v>15</v>
      </c>
      <c r="T95" s="169" t="s">
        <v>1396</v>
      </c>
      <c r="U95" s="169">
        <v>37</v>
      </c>
      <c r="V95" s="170">
        <v>0</v>
      </c>
      <c r="W95" s="170">
        <v>0</v>
      </c>
      <c r="X95" s="170" t="s">
        <v>1406</v>
      </c>
      <c r="Y95" s="169"/>
      <c r="Z95" s="169" t="s">
        <v>3067</v>
      </c>
      <c r="AA95" s="169"/>
      <c r="AB95" s="169">
        <v>0</v>
      </c>
      <c r="AC95" s="169">
        <v>0</v>
      </c>
      <c r="AD95" s="169">
        <v>0</v>
      </c>
      <c r="AE95" s="169" t="s">
        <v>1446</v>
      </c>
      <c r="AF95" s="169"/>
      <c r="AG95" s="169" t="s">
        <v>1446</v>
      </c>
      <c r="AH95" s="169"/>
      <c r="AI95" s="169"/>
      <c r="AJ95" s="169">
        <v>0</v>
      </c>
      <c r="AK95" s="169" t="s">
        <v>1407</v>
      </c>
      <c r="AL95" s="169">
        <v>50405</v>
      </c>
      <c r="AM95" s="169" t="s">
        <v>1408</v>
      </c>
      <c r="AN95" s="169" t="s">
        <v>3772</v>
      </c>
      <c r="AO95" s="169">
        <v>27</v>
      </c>
      <c r="AP95" s="169" t="s">
        <v>1581</v>
      </c>
      <c r="AQ95" s="169">
        <v>1</v>
      </c>
      <c r="AR95" s="169" t="s">
        <v>1410</v>
      </c>
      <c r="AS95" s="169"/>
      <c r="AT95" s="169" t="s">
        <v>1417</v>
      </c>
      <c r="AU95" s="169" t="s">
        <v>1412</v>
      </c>
    </row>
    <row r="96" spans="1:47" x14ac:dyDescent="0.45">
      <c r="A96" s="169">
        <v>2605700872</v>
      </c>
      <c r="B96" s="169">
        <v>57</v>
      </c>
      <c r="C96" s="169" t="s">
        <v>1551</v>
      </c>
      <c r="D96" s="169">
        <v>57</v>
      </c>
      <c r="E96" s="169" t="s">
        <v>1552</v>
      </c>
      <c r="F96" s="169" t="s">
        <v>3844</v>
      </c>
      <c r="G96" s="169" t="s">
        <v>3845</v>
      </c>
      <c r="H96" s="169">
        <v>1</v>
      </c>
      <c r="I96" s="169" t="s">
        <v>3846</v>
      </c>
      <c r="J96" s="169" t="s">
        <v>1403</v>
      </c>
      <c r="K96" s="169">
        <v>2026</v>
      </c>
      <c r="L96" s="170">
        <v>2026</v>
      </c>
      <c r="M96" s="171">
        <v>45980</v>
      </c>
      <c r="N96" s="169" t="s">
        <v>36</v>
      </c>
      <c r="O96" s="169" t="s">
        <v>3630</v>
      </c>
      <c r="P96" s="169">
        <v>1170</v>
      </c>
      <c r="Q96" s="169" t="s">
        <v>3635</v>
      </c>
      <c r="R96" s="169">
        <v>1</v>
      </c>
      <c r="S96" s="169">
        <v>15</v>
      </c>
      <c r="T96" s="169" t="s">
        <v>1396</v>
      </c>
      <c r="U96" s="169">
        <v>37</v>
      </c>
      <c r="V96" s="170">
        <v>2680142</v>
      </c>
      <c r="W96" s="170">
        <v>0</v>
      </c>
      <c r="X96" s="170" t="s">
        <v>1406</v>
      </c>
      <c r="Y96" s="169"/>
      <c r="Z96" s="169" t="s">
        <v>3067</v>
      </c>
      <c r="AA96" s="171">
        <v>46065</v>
      </c>
      <c r="AB96" s="169">
        <v>26</v>
      </c>
      <c r="AC96" s="169">
        <v>80142</v>
      </c>
      <c r="AD96" s="169">
        <v>57</v>
      </c>
      <c r="AE96" s="169" t="s">
        <v>1551</v>
      </c>
      <c r="AF96" s="169">
        <v>57</v>
      </c>
      <c r="AG96" s="169" t="s">
        <v>1552</v>
      </c>
      <c r="AH96" s="169" t="s">
        <v>36</v>
      </c>
      <c r="AI96" s="169" t="s">
        <v>3630</v>
      </c>
      <c r="AJ96" s="169">
        <v>1170</v>
      </c>
      <c r="AK96" s="169" t="s">
        <v>1407</v>
      </c>
      <c r="AL96" s="169">
        <v>50726</v>
      </c>
      <c r="AM96" s="169" t="s">
        <v>1408</v>
      </c>
      <c r="AN96" s="169" t="s">
        <v>3658</v>
      </c>
      <c r="AO96" s="169">
        <v>28</v>
      </c>
      <c r="AP96" s="169" t="s">
        <v>1416</v>
      </c>
      <c r="AQ96" s="169">
        <v>1</v>
      </c>
      <c r="AR96" s="169" t="s">
        <v>1410</v>
      </c>
      <c r="AS96" s="169"/>
      <c r="AT96" s="169" t="s">
        <v>1417</v>
      </c>
      <c r="AU96" s="169" t="s">
        <v>1412</v>
      </c>
    </row>
    <row r="97" spans="1:47" x14ac:dyDescent="0.45">
      <c r="A97" s="169">
        <v>2605700873</v>
      </c>
      <c r="B97" s="169">
        <v>57</v>
      </c>
      <c r="C97" s="169" t="s">
        <v>1551</v>
      </c>
      <c r="D97" s="169">
        <v>57</v>
      </c>
      <c r="E97" s="169" t="s">
        <v>1552</v>
      </c>
      <c r="F97" s="169" t="s">
        <v>3847</v>
      </c>
      <c r="G97" s="169" t="s">
        <v>3848</v>
      </c>
      <c r="H97" s="169">
        <v>1</v>
      </c>
      <c r="I97" s="169" t="s">
        <v>3552</v>
      </c>
      <c r="J97" s="169" t="s">
        <v>1403</v>
      </c>
      <c r="K97" s="169">
        <v>2026</v>
      </c>
      <c r="L97" s="170">
        <v>2026</v>
      </c>
      <c r="M97" s="171">
        <v>45980</v>
      </c>
      <c r="N97" s="169" t="s">
        <v>36</v>
      </c>
      <c r="O97" s="169" t="s">
        <v>3630</v>
      </c>
      <c r="P97" s="169">
        <v>1170</v>
      </c>
      <c r="Q97" s="169" t="s">
        <v>3635</v>
      </c>
      <c r="R97" s="169">
        <v>1</v>
      </c>
      <c r="S97" s="169">
        <v>15</v>
      </c>
      <c r="T97" s="169" t="s">
        <v>1396</v>
      </c>
      <c r="U97" s="169">
        <v>37</v>
      </c>
      <c r="V97" s="170">
        <v>2680119</v>
      </c>
      <c r="W97" s="170">
        <v>0</v>
      </c>
      <c r="X97" s="170" t="s">
        <v>1406</v>
      </c>
      <c r="Y97" s="169"/>
      <c r="Z97" s="169" t="s">
        <v>3067</v>
      </c>
      <c r="AA97" s="171">
        <v>46030</v>
      </c>
      <c r="AB97" s="169">
        <v>26</v>
      </c>
      <c r="AC97" s="169">
        <v>80119</v>
      </c>
      <c r="AD97" s="169">
        <v>57</v>
      </c>
      <c r="AE97" s="169" t="s">
        <v>1551</v>
      </c>
      <c r="AF97" s="169">
        <v>57</v>
      </c>
      <c r="AG97" s="169" t="s">
        <v>1552</v>
      </c>
      <c r="AH97" s="169" t="s">
        <v>36</v>
      </c>
      <c r="AI97" s="169" t="s">
        <v>3630</v>
      </c>
      <c r="AJ97" s="169">
        <v>1170</v>
      </c>
      <c r="AK97" s="169" t="s">
        <v>1407</v>
      </c>
      <c r="AL97" s="169">
        <v>50339</v>
      </c>
      <c r="AM97" s="169" t="s">
        <v>1408</v>
      </c>
      <c r="AN97" s="169" t="s">
        <v>3667</v>
      </c>
      <c r="AO97" s="169">
        <v>28</v>
      </c>
      <c r="AP97" s="169" t="s">
        <v>1416</v>
      </c>
      <c r="AQ97" s="169">
        <v>1</v>
      </c>
      <c r="AR97" s="169" t="s">
        <v>1410</v>
      </c>
      <c r="AS97" s="169"/>
      <c r="AT97" s="169" t="s">
        <v>1417</v>
      </c>
      <c r="AU97" s="169" t="s">
        <v>1412</v>
      </c>
    </row>
    <row r="98" spans="1:47" x14ac:dyDescent="0.45">
      <c r="A98" s="169">
        <v>2605700874</v>
      </c>
      <c r="B98" s="169">
        <v>57</v>
      </c>
      <c r="C98" s="169" t="s">
        <v>1551</v>
      </c>
      <c r="D98" s="169">
        <v>57</v>
      </c>
      <c r="E98" s="169" t="s">
        <v>1552</v>
      </c>
      <c r="F98" s="169" t="s">
        <v>3849</v>
      </c>
      <c r="G98" s="169" t="s">
        <v>3850</v>
      </c>
      <c r="H98" s="169">
        <v>1</v>
      </c>
      <c r="I98" s="169" t="s">
        <v>3751</v>
      </c>
      <c r="J98" s="169" t="s">
        <v>1403</v>
      </c>
      <c r="K98" s="169">
        <v>2026</v>
      </c>
      <c r="L98" s="170">
        <v>2026</v>
      </c>
      <c r="M98" s="171">
        <v>45981</v>
      </c>
      <c r="N98" s="169" t="s">
        <v>36</v>
      </c>
      <c r="O98" s="169" t="s">
        <v>3630</v>
      </c>
      <c r="P98" s="169">
        <v>1170</v>
      </c>
      <c r="Q98" s="169" t="s">
        <v>3635</v>
      </c>
      <c r="R98" s="169">
        <v>1</v>
      </c>
      <c r="S98" s="169">
        <v>15</v>
      </c>
      <c r="T98" s="169" t="s">
        <v>1396</v>
      </c>
      <c r="U98" s="169">
        <v>37</v>
      </c>
      <c r="V98" s="170">
        <v>0</v>
      </c>
      <c r="W98" s="170">
        <v>0</v>
      </c>
      <c r="X98" s="170" t="s">
        <v>1406</v>
      </c>
      <c r="Y98" s="169"/>
      <c r="Z98" s="169" t="s">
        <v>3067</v>
      </c>
      <c r="AA98" s="169"/>
      <c r="AB98" s="169">
        <v>0</v>
      </c>
      <c r="AC98" s="169">
        <v>0</v>
      </c>
      <c r="AD98" s="169">
        <v>0</v>
      </c>
      <c r="AE98" s="169" t="s">
        <v>1446</v>
      </c>
      <c r="AF98" s="169"/>
      <c r="AG98" s="169" t="s">
        <v>1446</v>
      </c>
      <c r="AH98" s="169"/>
      <c r="AI98" s="169"/>
      <c r="AJ98" s="169">
        <v>0</v>
      </c>
      <c r="AK98" s="169" t="s">
        <v>1407</v>
      </c>
      <c r="AL98" s="169">
        <v>50438</v>
      </c>
      <c r="AM98" s="169" t="s">
        <v>1408</v>
      </c>
      <c r="AN98" s="169" t="s">
        <v>3720</v>
      </c>
      <c r="AO98" s="169">
        <v>28</v>
      </c>
      <c r="AP98" s="169" t="s">
        <v>1416</v>
      </c>
      <c r="AQ98" s="169">
        <v>1</v>
      </c>
      <c r="AR98" s="169" t="s">
        <v>1499</v>
      </c>
      <c r="AS98" s="169"/>
      <c r="AT98" s="169" t="s">
        <v>1417</v>
      </c>
      <c r="AU98" s="169" t="s">
        <v>1412</v>
      </c>
    </row>
    <row r="99" spans="1:47" x14ac:dyDescent="0.45">
      <c r="A99" s="169">
        <v>2605700875</v>
      </c>
      <c r="B99" s="169">
        <v>57</v>
      </c>
      <c r="C99" s="169" t="s">
        <v>1551</v>
      </c>
      <c r="D99" s="169">
        <v>57</v>
      </c>
      <c r="E99" s="169" t="s">
        <v>1552</v>
      </c>
      <c r="F99" s="169" t="s">
        <v>3851</v>
      </c>
      <c r="G99" s="169" t="s">
        <v>3852</v>
      </c>
      <c r="H99" s="169">
        <v>1</v>
      </c>
      <c r="I99" s="169" t="s">
        <v>3853</v>
      </c>
      <c r="J99" s="169" t="s">
        <v>1590</v>
      </c>
      <c r="K99" s="169">
        <v>2026</v>
      </c>
      <c r="L99" s="170">
        <v>2026</v>
      </c>
      <c r="M99" s="171">
        <v>45981</v>
      </c>
      <c r="N99" s="169" t="s">
        <v>36</v>
      </c>
      <c r="O99" s="169" t="s">
        <v>3630</v>
      </c>
      <c r="P99" s="169">
        <v>1170</v>
      </c>
      <c r="Q99" s="169" t="s">
        <v>3635</v>
      </c>
      <c r="R99" s="169">
        <v>1</v>
      </c>
      <c r="S99" s="169">
        <v>15</v>
      </c>
      <c r="T99" s="169" t="s">
        <v>1396</v>
      </c>
      <c r="U99" s="169">
        <v>37</v>
      </c>
      <c r="V99" s="170">
        <v>0</v>
      </c>
      <c r="W99" s="170">
        <v>0</v>
      </c>
      <c r="X99" s="170" t="s">
        <v>1406</v>
      </c>
      <c r="Y99" s="169"/>
      <c r="Z99" s="169" t="s">
        <v>3067</v>
      </c>
      <c r="AA99" s="169"/>
      <c r="AB99" s="169">
        <v>0</v>
      </c>
      <c r="AC99" s="169">
        <v>0</v>
      </c>
      <c r="AD99" s="169">
        <v>0</v>
      </c>
      <c r="AE99" s="169" t="s">
        <v>1446</v>
      </c>
      <c r="AF99" s="169"/>
      <c r="AG99" s="169" t="s">
        <v>1446</v>
      </c>
      <c r="AH99" s="169"/>
      <c r="AI99" s="169"/>
      <c r="AJ99" s="169">
        <v>0</v>
      </c>
      <c r="AK99" s="169" t="s">
        <v>1407</v>
      </c>
      <c r="AL99" s="169">
        <v>50410</v>
      </c>
      <c r="AM99" s="169" t="s">
        <v>1408</v>
      </c>
      <c r="AN99" s="169" t="s">
        <v>3854</v>
      </c>
      <c r="AO99" s="169">
        <v>27</v>
      </c>
      <c r="AP99" s="169" t="s">
        <v>1581</v>
      </c>
      <c r="AQ99" s="169">
        <v>1</v>
      </c>
      <c r="AR99" s="169" t="s">
        <v>1499</v>
      </c>
      <c r="AS99" s="169"/>
      <c r="AT99" s="169" t="s">
        <v>1417</v>
      </c>
      <c r="AU99" s="169" t="s">
        <v>1412</v>
      </c>
    </row>
    <row r="100" spans="1:47" x14ac:dyDescent="0.45">
      <c r="A100" s="169">
        <v>2605700876</v>
      </c>
      <c r="B100" s="169">
        <v>57</v>
      </c>
      <c r="C100" s="169" t="s">
        <v>1551</v>
      </c>
      <c r="D100" s="169">
        <v>57</v>
      </c>
      <c r="E100" s="169" t="s">
        <v>1552</v>
      </c>
      <c r="F100" s="169" t="s">
        <v>3855</v>
      </c>
      <c r="G100" s="169" t="s">
        <v>3856</v>
      </c>
      <c r="H100" s="169">
        <v>1</v>
      </c>
      <c r="I100" s="169" t="s">
        <v>3857</v>
      </c>
      <c r="J100" s="169" t="s">
        <v>1590</v>
      </c>
      <c r="K100" s="169">
        <v>2026</v>
      </c>
      <c r="L100" s="170">
        <v>2026</v>
      </c>
      <c r="M100" s="171">
        <v>45987</v>
      </c>
      <c r="N100" s="169" t="s">
        <v>36</v>
      </c>
      <c r="O100" s="169">
        <v>57</v>
      </c>
      <c r="P100" s="169">
        <v>1044</v>
      </c>
      <c r="Q100" s="169" t="s">
        <v>1476</v>
      </c>
      <c r="R100" s="169">
        <v>2</v>
      </c>
      <c r="S100" s="169">
        <v>3</v>
      </c>
      <c r="T100" s="169" t="s">
        <v>1477</v>
      </c>
      <c r="U100" s="169">
        <v>4</v>
      </c>
      <c r="V100" s="170">
        <v>2680118</v>
      </c>
      <c r="W100" s="170">
        <v>0</v>
      </c>
      <c r="X100" s="170" t="s">
        <v>1406</v>
      </c>
      <c r="Y100" s="169"/>
      <c r="Z100" s="169" t="s">
        <v>3067</v>
      </c>
      <c r="AA100" s="171">
        <v>46030</v>
      </c>
      <c r="AB100" s="169">
        <v>26</v>
      </c>
      <c r="AC100" s="169">
        <v>80118</v>
      </c>
      <c r="AD100" s="169">
        <v>57</v>
      </c>
      <c r="AE100" s="169" t="s">
        <v>1551</v>
      </c>
      <c r="AF100" s="169">
        <v>57</v>
      </c>
      <c r="AG100" s="169" t="s">
        <v>1552</v>
      </c>
      <c r="AH100" s="169" t="s">
        <v>36</v>
      </c>
      <c r="AI100" s="169">
        <v>57</v>
      </c>
      <c r="AJ100" s="169">
        <v>1044</v>
      </c>
      <c r="AK100" s="169" t="s">
        <v>1407</v>
      </c>
      <c r="AL100" s="169">
        <v>50338</v>
      </c>
      <c r="AM100" s="169" t="s">
        <v>1408</v>
      </c>
      <c r="AN100" s="169" t="s">
        <v>3496</v>
      </c>
      <c r="AO100" s="169">
        <v>27</v>
      </c>
      <c r="AP100" s="169" t="s">
        <v>1581</v>
      </c>
      <c r="AQ100" s="169">
        <v>1</v>
      </c>
      <c r="AR100" s="169" t="s">
        <v>1410</v>
      </c>
      <c r="AS100" s="169"/>
      <c r="AT100" s="169" t="s">
        <v>1417</v>
      </c>
      <c r="AU100" s="169" t="s">
        <v>1412</v>
      </c>
    </row>
    <row r="101" spans="1:47" x14ac:dyDescent="0.45">
      <c r="A101" s="169">
        <v>2605700877</v>
      </c>
      <c r="B101" s="169">
        <v>57</v>
      </c>
      <c r="C101" s="169" t="s">
        <v>1551</v>
      </c>
      <c r="D101" s="169">
        <v>57</v>
      </c>
      <c r="E101" s="169" t="s">
        <v>1552</v>
      </c>
      <c r="F101" s="169" t="s">
        <v>3858</v>
      </c>
      <c r="G101" s="169" t="s">
        <v>3859</v>
      </c>
      <c r="H101" s="169">
        <v>2</v>
      </c>
      <c r="I101" s="169" t="s">
        <v>3860</v>
      </c>
      <c r="J101" s="169" t="s">
        <v>1590</v>
      </c>
      <c r="K101" s="169">
        <v>2026</v>
      </c>
      <c r="L101" s="170">
        <v>2026</v>
      </c>
      <c r="M101" s="171">
        <v>45988</v>
      </c>
      <c r="N101" s="169" t="s">
        <v>36</v>
      </c>
      <c r="O101" s="169">
        <v>57</v>
      </c>
      <c r="P101" s="169">
        <v>1044</v>
      </c>
      <c r="Q101" s="169" t="s">
        <v>1476</v>
      </c>
      <c r="R101" s="169">
        <v>2</v>
      </c>
      <c r="S101" s="169">
        <v>3</v>
      </c>
      <c r="T101" s="169" t="s">
        <v>1477</v>
      </c>
      <c r="U101" s="169">
        <v>4</v>
      </c>
      <c r="V101" s="170">
        <v>0</v>
      </c>
      <c r="W101" s="170">
        <v>0</v>
      </c>
      <c r="X101" s="170" t="s">
        <v>1406</v>
      </c>
      <c r="Y101" s="169"/>
      <c r="Z101" s="169" t="s">
        <v>3067</v>
      </c>
      <c r="AA101" s="169"/>
      <c r="AB101" s="169">
        <v>0</v>
      </c>
      <c r="AC101" s="169">
        <v>0</v>
      </c>
      <c r="AD101" s="169">
        <v>0</v>
      </c>
      <c r="AE101" s="169" t="s">
        <v>1446</v>
      </c>
      <c r="AF101" s="169"/>
      <c r="AG101" s="169" t="s">
        <v>1446</v>
      </c>
      <c r="AH101" s="169"/>
      <c r="AI101" s="169"/>
      <c r="AJ101" s="169">
        <v>0</v>
      </c>
      <c r="AK101" s="169" t="s">
        <v>1407</v>
      </c>
      <c r="AL101" s="169">
        <v>50665</v>
      </c>
      <c r="AM101" s="169" t="s">
        <v>1408</v>
      </c>
      <c r="AN101" s="169" t="s">
        <v>3861</v>
      </c>
      <c r="AO101" s="169">
        <v>27</v>
      </c>
      <c r="AP101" s="169" t="s">
        <v>1581</v>
      </c>
      <c r="AQ101" s="169">
        <v>1</v>
      </c>
      <c r="AR101" s="169" t="s">
        <v>1499</v>
      </c>
      <c r="AS101" s="169"/>
      <c r="AT101" s="169" t="s">
        <v>1417</v>
      </c>
      <c r="AU101" s="169" t="s">
        <v>1412</v>
      </c>
    </row>
    <row r="102" spans="1:47" x14ac:dyDescent="0.45">
      <c r="A102" s="169">
        <v>2605700880</v>
      </c>
      <c r="B102" s="169">
        <v>57</v>
      </c>
      <c r="C102" s="169" t="s">
        <v>1551</v>
      </c>
      <c r="D102" s="169">
        <v>57</v>
      </c>
      <c r="E102" s="169" t="s">
        <v>1552</v>
      </c>
      <c r="F102" s="169" t="s">
        <v>3862</v>
      </c>
      <c r="G102" s="169" t="s">
        <v>3863</v>
      </c>
      <c r="H102" s="169">
        <v>2</v>
      </c>
      <c r="I102" s="169" t="s">
        <v>3864</v>
      </c>
      <c r="J102" s="169" t="s">
        <v>1590</v>
      </c>
      <c r="K102" s="169">
        <v>2026</v>
      </c>
      <c r="L102" s="170">
        <v>2026</v>
      </c>
      <c r="M102" s="171">
        <v>45994</v>
      </c>
      <c r="N102" s="169" t="s">
        <v>36</v>
      </c>
      <c r="O102" s="169">
        <v>57</v>
      </c>
      <c r="P102" s="169">
        <v>1756</v>
      </c>
      <c r="Q102" s="169" t="s">
        <v>2784</v>
      </c>
      <c r="R102" s="169">
        <v>2</v>
      </c>
      <c r="S102" s="169">
        <v>3</v>
      </c>
      <c r="T102" s="169" t="s">
        <v>1477</v>
      </c>
      <c r="U102" s="169">
        <v>4</v>
      </c>
      <c r="V102" s="170">
        <v>0</v>
      </c>
      <c r="W102" s="170">
        <v>0</v>
      </c>
      <c r="X102" s="170" t="s">
        <v>1406</v>
      </c>
      <c r="Y102" s="169"/>
      <c r="Z102" s="169" t="s">
        <v>3067</v>
      </c>
      <c r="AA102" s="169"/>
      <c r="AB102" s="169">
        <v>0</v>
      </c>
      <c r="AC102" s="169">
        <v>0</v>
      </c>
      <c r="AD102" s="169">
        <v>0</v>
      </c>
      <c r="AE102" s="169" t="s">
        <v>1446</v>
      </c>
      <c r="AF102" s="169"/>
      <c r="AG102" s="169" t="s">
        <v>1446</v>
      </c>
      <c r="AH102" s="169"/>
      <c r="AI102" s="169"/>
      <c r="AJ102" s="169">
        <v>0</v>
      </c>
      <c r="AK102" s="169" t="s">
        <v>1407</v>
      </c>
      <c r="AL102" s="169">
        <v>50419</v>
      </c>
      <c r="AM102" s="169" t="s">
        <v>1408</v>
      </c>
      <c r="AN102" s="169" t="s">
        <v>3813</v>
      </c>
      <c r="AO102" s="169">
        <v>27</v>
      </c>
      <c r="AP102" s="169" t="s">
        <v>1581</v>
      </c>
      <c r="AQ102" s="169">
        <v>1</v>
      </c>
      <c r="AR102" s="169" t="s">
        <v>1410</v>
      </c>
      <c r="AS102" s="169"/>
      <c r="AT102" s="169" t="s">
        <v>1417</v>
      </c>
      <c r="AU102" s="169" t="s">
        <v>1412</v>
      </c>
    </row>
    <row r="103" spans="1:47" x14ac:dyDescent="0.45">
      <c r="A103" s="169">
        <v>2605700881</v>
      </c>
      <c r="B103" s="169">
        <v>57</v>
      </c>
      <c r="C103" s="169" t="s">
        <v>1551</v>
      </c>
      <c r="D103" s="169">
        <v>57</v>
      </c>
      <c r="E103" s="169" t="s">
        <v>1552</v>
      </c>
      <c r="F103" s="169" t="s">
        <v>3865</v>
      </c>
      <c r="G103" s="169" t="s">
        <v>3866</v>
      </c>
      <c r="H103" s="169">
        <v>1</v>
      </c>
      <c r="I103" s="169" t="s">
        <v>3867</v>
      </c>
      <c r="J103" s="169" t="s">
        <v>1403</v>
      </c>
      <c r="K103" s="169">
        <v>2026</v>
      </c>
      <c r="L103" s="170">
        <v>2026</v>
      </c>
      <c r="M103" s="171">
        <v>45996</v>
      </c>
      <c r="N103" s="169" t="s">
        <v>36</v>
      </c>
      <c r="O103" s="169">
        <v>57</v>
      </c>
      <c r="P103" s="169">
        <v>1756</v>
      </c>
      <c r="Q103" s="169" t="s">
        <v>2784</v>
      </c>
      <c r="R103" s="169">
        <v>2</v>
      </c>
      <c r="S103" s="169">
        <v>3</v>
      </c>
      <c r="T103" s="169" t="s">
        <v>1477</v>
      </c>
      <c r="U103" s="169">
        <v>4</v>
      </c>
      <c r="V103" s="170">
        <v>0</v>
      </c>
      <c r="W103" s="170">
        <v>0</v>
      </c>
      <c r="X103" s="170" t="s">
        <v>1406</v>
      </c>
      <c r="Y103" s="169"/>
      <c r="Z103" s="169" t="s">
        <v>3067</v>
      </c>
      <c r="AA103" s="169"/>
      <c r="AB103" s="169">
        <v>0</v>
      </c>
      <c r="AC103" s="169">
        <v>0</v>
      </c>
      <c r="AD103" s="169">
        <v>0</v>
      </c>
      <c r="AE103" s="169" t="s">
        <v>1446</v>
      </c>
      <c r="AF103" s="169"/>
      <c r="AG103" s="169" t="s">
        <v>1446</v>
      </c>
      <c r="AH103" s="169"/>
      <c r="AI103" s="169"/>
      <c r="AJ103" s="169">
        <v>0</v>
      </c>
      <c r="AK103" s="169" t="s">
        <v>1407</v>
      </c>
      <c r="AL103" s="169">
        <v>50808</v>
      </c>
      <c r="AM103" s="169" t="s">
        <v>1408</v>
      </c>
      <c r="AN103" s="169" t="s">
        <v>3729</v>
      </c>
      <c r="AO103" s="169">
        <v>28</v>
      </c>
      <c r="AP103" s="169" t="s">
        <v>1416</v>
      </c>
      <c r="AQ103" s="169">
        <v>1</v>
      </c>
      <c r="AR103" s="169" t="s">
        <v>1410</v>
      </c>
      <c r="AS103" s="169"/>
      <c r="AT103" s="169" t="s">
        <v>1417</v>
      </c>
      <c r="AU103" s="169" t="s">
        <v>1412</v>
      </c>
    </row>
    <row r="104" spans="1:47" x14ac:dyDescent="0.45">
      <c r="A104" s="169">
        <v>2605700882</v>
      </c>
      <c r="B104" s="169">
        <v>57</v>
      </c>
      <c r="C104" s="169" t="s">
        <v>1551</v>
      </c>
      <c r="D104" s="169">
        <v>57</v>
      </c>
      <c r="E104" s="169" t="s">
        <v>1552</v>
      </c>
      <c r="F104" s="169" t="s">
        <v>3868</v>
      </c>
      <c r="G104" s="169" t="s">
        <v>3869</v>
      </c>
      <c r="H104" s="169">
        <v>1</v>
      </c>
      <c r="I104" s="169" t="s">
        <v>3860</v>
      </c>
      <c r="J104" s="169" t="s">
        <v>1590</v>
      </c>
      <c r="K104" s="169">
        <v>2026</v>
      </c>
      <c r="L104" s="170">
        <v>2026</v>
      </c>
      <c r="M104" s="171">
        <v>45997</v>
      </c>
      <c r="N104" s="169" t="s">
        <v>36</v>
      </c>
      <c r="O104" s="169">
        <v>57</v>
      </c>
      <c r="P104" s="169">
        <v>1044</v>
      </c>
      <c r="Q104" s="169" t="s">
        <v>1476</v>
      </c>
      <c r="R104" s="169">
        <v>2</v>
      </c>
      <c r="S104" s="169">
        <v>3</v>
      </c>
      <c r="T104" s="169" t="s">
        <v>1477</v>
      </c>
      <c r="U104" s="169">
        <v>4</v>
      </c>
      <c r="V104" s="170">
        <v>0</v>
      </c>
      <c r="W104" s="170">
        <v>0</v>
      </c>
      <c r="X104" s="170" t="s">
        <v>1406</v>
      </c>
      <c r="Y104" s="171">
        <v>46041</v>
      </c>
      <c r="Z104" s="169" t="s">
        <v>3067</v>
      </c>
      <c r="AA104" s="169"/>
      <c r="AB104" s="169">
        <v>0</v>
      </c>
      <c r="AC104" s="169">
        <v>0</v>
      </c>
      <c r="AD104" s="169">
        <v>0</v>
      </c>
      <c r="AE104" s="169" t="s">
        <v>1446</v>
      </c>
      <c r="AF104" s="169"/>
      <c r="AG104" s="169" t="s">
        <v>1446</v>
      </c>
      <c r="AH104" s="169"/>
      <c r="AI104" s="169"/>
      <c r="AJ104" s="169">
        <v>0</v>
      </c>
      <c r="AK104" s="169" t="s">
        <v>1407</v>
      </c>
      <c r="AL104" s="169">
        <v>50665</v>
      </c>
      <c r="AM104" s="169" t="s">
        <v>1408</v>
      </c>
      <c r="AN104" s="169" t="s">
        <v>3861</v>
      </c>
      <c r="AO104" s="169">
        <v>27</v>
      </c>
      <c r="AP104" s="169" t="s">
        <v>1581</v>
      </c>
      <c r="AQ104" s="169">
        <v>1</v>
      </c>
      <c r="AR104" s="169" t="s">
        <v>1410</v>
      </c>
      <c r="AS104" s="169"/>
      <c r="AT104" s="169" t="s">
        <v>1417</v>
      </c>
      <c r="AU104" s="169" t="s">
        <v>1412</v>
      </c>
    </row>
    <row r="105" spans="1:47" x14ac:dyDescent="0.45">
      <c r="A105" s="169">
        <v>2605700883</v>
      </c>
      <c r="B105" s="169">
        <v>57</v>
      </c>
      <c r="C105" s="169" t="s">
        <v>1551</v>
      </c>
      <c r="D105" s="169">
        <v>57</v>
      </c>
      <c r="E105" s="169" t="s">
        <v>1552</v>
      </c>
      <c r="F105" s="169" t="s">
        <v>3870</v>
      </c>
      <c r="G105" s="169" t="s">
        <v>3871</v>
      </c>
      <c r="H105" s="169">
        <v>2</v>
      </c>
      <c r="I105" s="169" t="s">
        <v>3860</v>
      </c>
      <c r="J105" s="169" t="s">
        <v>1590</v>
      </c>
      <c r="K105" s="169">
        <v>2026</v>
      </c>
      <c r="L105" s="170">
        <v>2026</v>
      </c>
      <c r="M105" s="171">
        <v>45997</v>
      </c>
      <c r="N105" s="169" t="s">
        <v>36</v>
      </c>
      <c r="O105" s="169">
        <v>57</v>
      </c>
      <c r="P105" s="169">
        <v>1044</v>
      </c>
      <c r="Q105" s="169" t="s">
        <v>1476</v>
      </c>
      <c r="R105" s="169">
        <v>2</v>
      </c>
      <c r="S105" s="169">
        <v>3</v>
      </c>
      <c r="T105" s="169" t="s">
        <v>1477</v>
      </c>
      <c r="U105" s="169">
        <v>4</v>
      </c>
      <c r="V105" s="170">
        <v>0</v>
      </c>
      <c r="W105" s="170">
        <v>0</v>
      </c>
      <c r="X105" s="170" t="s">
        <v>1406</v>
      </c>
      <c r="Y105" s="171">
        <v>46041</v>
      </c>
      <c r="Z105" s="169" t="s">
        <v>3067</v>
      </c>
      <c r="AA105" s="169"/>
      <c r="AB105" s="169">
        <v>0</v>
      </c>
      <c r="AC105" s="169">
        <v>0</v>
      </c>
      <c r="AD105" s="169">
        <v>0</v>
      </c>
      <c r="AE105" s="169" t="s">
        <v>1446</v>
      </c>
      <c r="AF105" s="169"/>
      <c r="AG105" s="169" t="s">
        <v>1446</v>
      </c>
      <c r="AH105" s="169"/>
      <c r="AI105" s="169"/>
      <c r="AJ105" s="169">
        <v>0</v>
      </c>
      <c r="AK105" s="169" t="s">
        <v>1407</v>
      </c>
      <c r="AL105" s="169">
        <v>50665</v>
      </c>
      <c r="AM105" s="169" t="s">
        <v>1408</v>
      </c>
      <c r="AN105" s="169" t="s">
        <v>3861</v>
      </c>
      <c r="AO105" s="169">
        <v>27</v>
      </c>
      <c r="AP105" s="169" t="s">
        <v>1581</v>
      </c>
      <c r="AQ105" s="169">
        <v>1</v>
      </c>
      <c r="AR105" s="169" t="s">
        <v>1410</v>
      </c>
      <c r="AS105" s="169"/>
      <c r="AT105" s="169" t="s">
        <v>1417</v>
      </c>
      <c r="AU105" s="169" t="s">
        <v>1412</v>
      </c>
    </row>
    <row r="106" spans="1:47" x14ac:dyDescent="0.45">
      <c r="A106" s="169">
        <v>2605700884</v>
      </c>
      <c r="B106" s="169">
        <v>57</v>
      </c>
      <c r="C106" s="169" t="s">
        <v>1551</v>
      </c>
      <c r="D106" s="169">
        <v>57</v>
      </c>
      <c r="E106" s="169" t="s">
        <v>1552</v>
      </c>
      <c r="F106" s="169" t="s">
        <v>3872</v>
      </c>
      <c r="G106" s="169" t="s">
        <v>3873</v>
      </c>
      <c r="H106" s="169">
        <v>2</v>
      </c>
      <c r="I106" s="169" t="s">
        <v>3860</v>
      </c>
      <c r="J106" s="169" t="s">
        <v>1590</v>
      </c>
      <c r="K106" s="169">
        <v>2026</v>
      </c>
      <c r="L106" s="170">
        <v>2026</v>
      </c>
      <c r="M106" s="171">
        <v>45997</v>
      </c>
      <c r="N106" s="169" t="s">
        <v>36</v>
      </c>
      <c r="O106" s="169">
        <v>57</v>
      </c>
      <c r="P106" s="169">
        <v>1044</v>
      </c>
      <c r="Q106" s="169" t="s">
        <v>1476</v>
      </c>
      <c r="R106" s="169">
        <v>2</v>
      </c>
      <c r="S106" s="169">
        <v>3</v>
      </c>
      <c r="T106" s="169" t="s">
        <v>1477</v>
      </c>
      <c r="U106" s="169">
        <v>4</v>
      </c>
      <c r="V106" s="170">
        <v>0</v>
      </c>
      <c r="W106" s="170">
        <v>0</v>
      </c>
      <c r="X106" s="170" t="s">
        <v>1406</v>
      </c>
      <c r="Y106" s="169"/>
      <c r="Z106" s="169" t="s">
        <v>3067</v>
      </c>
      <c r="AA106" s="169"/>
      <c r="AB106" s="169">
        <v>0</v>
      </c>
      <c r="AC106" s="169">
        <v>0</v>
      </c>
      <c r="AD106" s="169">
        <v>0</v>
      </c>
      <c r="AE106" s="169" t="s">
        <v>1446</v>
      </c>
      <c r="AF106" s="169"/>
      <c r="AG106" s="169" t="s">
        <v>1446</v>
      </c>
      <c r="AH106" s="169"/>
      <c r="AI106" s="169"/>
      <c r="AJ106" s="169">
        <v>0</v>
      </c>
      <c r="AK106" s="169" t="s">
        <v>1407</v>
      </c>
      <c r="AL106" s="169">
        <v>50665</v>
      </c>
      <c r="AM106" s="169" t="s">
        <v>1408</v>
      </c>
      <c r="AN106" s="169" t="s">
        <v>3861</v>
      </c>
      <c r="AO106" s="169">
        <v>27</v>
      </c>
      <c r="AP106" s="169" t="s">
        <v>1581</v>
      </c>
      <c r="AQ106" s="169">
        <v>1</v>
      </c>
      <c r="AR106" s="169" t="s">
        <v>1499</v>
      </c>
      <c r="AS106" s="169"/>
      <c r="AT106" s="169" t="s">
        <v>1417</v>
      </c>
      <c r="AU106" s="169" t="s">
        <v>1412</v>
      </c>
    </row>
    <row r="107" spans="1:47" x14ac:dyDescent="0.45">
      <c r="A107" s="169">
        <v>2605700885</v>
      </c>
      <c r="B107" s="169">
        <v>57</v>
      </c>
      <c r="C107" s="169" t="s">
        <v>1551</v>
      </c>
      <c r="D107" s="169">
        <v>57</v>
      </c>
      <c r="E107" s="169" t="s">
        <v>1552</v>
      </c>
      <c r="F107" s="169" t="s">
        <v>3874</v>
      </c>
      <c r="G107" s="169" t="s">
        <v>3875</v>
      </c>
      <c r="H107" s="169">
        <v>2</v>
      </c>
      <c r="I107" s="169" t="s">
        <v>3860</v>
      </c>
      <c r="J107" s="169" t="s">
        <v>1590</v>
      </c>
      <c r="K107" s="169">
        <v>2026</v>
      </c>
      <c r="L107" s="170">
        <v>2026</v>
      </c>
      <c r="M107" s="171">
        <v>45997</v>
      </c>
      <c r="N107" s="169" t="s">
        <v>36</v>
      </c>
      <c r="O107" s="169">
        <v>57</v>
      </c>
      <c r="P107" s="169">
        <v>1044</v>
      </c>
      <c r="Q107" s="169" t="s">
        <v>1476</v>
      </c>
      <c r="R107" s="169">
        <v>2</v>
      </c>
      <c r="S107" s="169">
        <v>3</v>
      </c>
      <c r="T107" s="169" t="s">
        <v>1477</v>
      </c>
      <c r="U107" s="169">
        <v>4</v>
      </c>
      <c r="V107" s="170">
        <v>0</v>
      </c>
      <c r="W107" s="170">
        <v>0</v>
      </c>
      <c r="X107" s="170" t="s">
        <v>1406</v>
      </c>
      <c r="Y107" s="169"/>
      <c r="Z107" s="169" t="s">
        <v>3067</v>
      </c>
      <c r="AA107" s="169"/>
      <c r="AB107" s="169">
        <v>0</v>
      </c>
      <c r="AC107" s="169">
        <v>0</v>
      </c>
      <c r="AD107" s="169">
        <v>0</v>
      </c>
      <c r="AE107" s="169" t="s">
        <v>1446</v>
      </c>
      <c r="AF107" s="169"/>
      <c r="AG107" s="169" t="s">
        <v>1446</v>
      </c>
      <c r="AH107" s="169"/>
      <c r="AI107" s="169"/>
      <c r="AJ107" s="169">
        <v>0</v>
      </c>
      <c r="AK107" s="169" t="s">
        <v>1407</v>
      </c>
      <c r="AL107" s="169">
        <v>50665</v>
      </c>
      <c r="AM107" s="169" t="s">
        <v>1408</v>
      </c>
      <c r="AN107" s="169" t="s">
        <v>3861</v>
      </c>
      <c r="AO107" s="169">
        <v>27</v>
      </c>
      <c r="AP107" s="169" t="s">
        <v>1581</v>
      </c>
      <c r="AQ107" s="169">
        <v>1</v>
      </c>
      <c r="AR107" s="169" t="s">
        <v>1499</v>
      </c>
      <c r="AS107" s="169"/>
      <c r="AT107" s="169" t="s">
        <v>1417</v>
      </c>
      <c r="AU107" s="169" t="s">
        <v>1412</v>
      </c>
    </row>
    <row r="108" spans="1:47" x14ac:dyDescent="0.45">
      <c r="A108" s="169">
        <v>2605750001</v>
      </c>
      <c r="B108" s="169">
        <v>57</v>
      </c>
      <c r="C108" s="169" t="s">
        <v>1551</v>
      </c>
      <c r="D108" s="169">
        <v>57</v>
      </c>
      <c r="E108" s="169" t="s">
        <v>1552</v>
      </c>
      <c r="F108" s="169" t="s">
        <v>3876</v>
      </c>
      <c r="G108" s="169" t="s">
        <v>3877</v>
      </c>
      <c r="H108" s="169">
        <v>2</v>
      </c>
      <c r="I108" s="169" t="s">
        <v>3878</v>
      </c>
      <c r="J108" s="169" t="s">
        <v>1403</v>
      </c>
      <c r="K108" s="169">
        <v>2026</v>
      </c>
      <c r="L108" s="170">
        <v>2026</v>
      </c>
      <c r="M108" s="171">
        <v>45918</v>
      </c>
      <c r="N108" s="169" t="s">
        <v>36</v>
      </c>
      <c r="O108" s="169">
        <v>6</v>
      </c>
      <c r="P108" s="169">
        <v>488</v>
      </c>
      <c r="Q108" s="169" t="s">
        <v>1553</v>
      </c>
      <c r="R108" s="169">
        <v>2</v>
      </c>
      <c r="S108" s="169">
        <v>1</v>
      </c>
      <c r="T108" s="169" t="s">
        <v>1527</v>
      </c>
      <c r="U108" s="169">
        <v>3</v>
      </c>
      <c r="V108" s="170">
        <v>0</v>
      </c>
      <c r="W108" s="170">
        <v>0</v>
      </c>
      <c r="X108" s="170" t="s">
        <v>1406</v>
      </c>
      <c r="Y108" s="169"/>
      <c r="Z108" s="169" t="s">
        <v>32</v>
      </c>
      <c r="AA108" s="169"/>
      <c r="AB108" s="169">
        <v>0</v>
      </c>
      <c r="AC108" s="169">
        <v>0</v>
      </c>
      <c r="AD108" s="169">
        <v>0</v>
      </c>
      <c r="AE108" s="169" t="s">
        <v>1446</v>
      </c>
      <c r="AF108" s="169"/>
      <c r="AG108" s="169" t="s">
        <v>1446</v>
      </c>
      <c r="AH108" s="169"/>
      <c r="AI108" s="169"/>
      <c r="AJ108" s="169">
        <v>0</v>
      </c>
      <c r="AK108" s="169" t="s">
        <v>1407</v>
      </c>
      <c r="AL108" s="169">
        <v>28091</v>
      </c>
      <c r="AM108" s="169" t="s">
        <v>1421</v>
      </c>
      <c r="AN108" s="169" t="s">
        <v>1452</v>
      </c>
      <c r="AO108" s="169">
        <v>28</v>
      </c>
      <c r="AP108" s="169" t="s">
        <v>1416</v>
      </c>
      <c r="AQ108" s="169">
        <v>0</v>
      </c>
      <c r="AR108" s="169" t="s">
        <v>1410</v>
      </c>
      <c r="AS108" s="169"/>
      <c r="AT108" s="169" t="s">
        <v>1417</v>
      </c>
      <c r="AU108" s="169" t="s">
        <v>1412</v>
      </c>
    </row>
    <row r="109" spans="1:47" x14ac:dyDescent="0.45">
      <c r="A109" s="169">
        <v>2605750002</v>
      </c>
      <c r="B109" s="169">
        <v>57</v>
      </c>
      <c r="C109" s="169" t="s">
        <v>1551</v>
      </c>
      <c r="D109" s="169">
        <v>57</v>
      </c>
      <c r="E109" s="169" t="s">
        <v>1552</v>
      </c>
      <c r="F109" s="169" t="s">
        <v>3879</v>
      </c>
      <c r="G109" s="169" t="s">
        <v>3880</v>
      </c>
      <c r="H109" s="169">
        <v>1</v>
      </c>
      <c r="I109" s="169" t="s">
        <v>1253</v>
      </c>
      <c r="J109" s="169" t="s">
        <v>1403</v>
      </c>
      <c r="K109" s="169">
        <v>2026</v>
      </c>
      <c r="L109" s="170">
        <v>2026</v>
      </c>
      <c r="M109" s="171">
        <v>45901</v>
      </c>
      <c r="N109" s="169" t="s">
        <v>36</v>
      </c>
      <c r="O109" s="169" t="s">
        <v>135</v>
      </c>
      <c r="P109" s="169">
        <v>502</v>
      </c>
      <c r="Q109" s="169" t="s">
        <v>1500</v>
      </c>
      <c r="R109" s="169">
        <v>2</v>
      </c>
      <c r="S109" s="169">
        <v>5</v>
      </c>
      <c r="T109" s="169" t="s">
        <v>1470</v>
      </c>
      <c r="U109" s="169">
        <v>15</v>
      </c>
      <c r="V109" s="170">
        <v>0</v>
      </c>
      <c r="W109" s="170">
        <v>0</v>
      </c>
      <c r="X109" s="170" t="s">
        <v>1406</v>
      </c>
      <c r="Y109" s="169"/>
      <c r="Z109" s="169" t="s">
        <v>32</v>
      </c>
      <c r="AA109" s="169"/>
      <c r="AB109" s="169">
        <v>0</v>
      </c>
      <c r="AC109" s="169">
        <v>0</v>
      </c>
      <c r="AD109" s="169">
        <v>0</v>
      </c>
      <c r="AE109" s="169" t="s">
        <v>1446</v>
      </c>
      <c r="AF109" s="169"/>
      <c r="AG109" s="169" t="s">
        <v>1446</v>
      </c>
      <c r="AH109" s="169"/>
      <c r="AI109" s="169"/>
      <c r="AJ109" s="169">
        <v>0</v>
      </c>
      <c r="AK109" s="169" t="s">
        <v>1407</v>
      </c>
      <c r="AL109" s="169">
        <v>28254</v>
      </c>
      <c r="AM109" s="169" t="s">
        <v>1421</v>
      </c>
      <c r="AN109" s="169" t="s">
        <v>1638</v>
      </c>
      <c r="AO109" s="169">
        <v>28</v>
      </c>
      <c r="AP109" s="169" t="s">
        <v>1416</v>
      </c>
      <c r="AQ109" s="169">
        <v>0</v>
      </c>
      <c r="AR109" s="169" t="s">
        <v>1410</v>
      </c>
      <c r="AS109" s="169"/>
      <c r="AT109" s="169" t="s">
        <v>1417</v>
      </c>
      <c r="AU109" s="169" t="s">
        <v>1412</v>
      </c>
    </row>
    <row r="110" spans="1:47" x14ac:dyDescent="0.45">
      <c r="A110" s="169">
        <v>2605750004</v>
      </c>
      <c r="B110" s="169">
        <v>57</v>
      </c>
      <c r="C110" s="169" t="s">
        <v>1551</v>
      </c>
      <c r="D110" s="169">
        <v>57</v>
      </c>
      <c r="E110" s="169" t="s">
        <v>1552</v>
      </c>
      <c r="F110" s="169" t="s">
        <v>3881</v>
      </c>
      <c r="G110" s="169" t="s">
        <v>3882</v>
      </c>
      <c r="H110" s="169">
        <v>1</v>
      </c>
      <c r="I110" s="169" t="s">
        <v>322</v>
      </c>
      <c r="J110" s="169" t="s">
        <v>1403</v>
      </c>
      <c r="K110" s="169">
        <v>2026</v>
      </c>
      <c r="L110" s="170">
        <v>2026</v>
      </c>
      <c r="M110" s="171">
        <v>45932</v>
      </c>
      <c r="N110" s="169" t="s">
        <v>36</v>
      </c>
      <c r="O110" s="169">
        <v>58</v>
      </c>
      <c r="P110" s="169">
        <v>428</v>
      </c>
      <c r="Q110" s="169" t="s">
        <v>1463</v>
      </c>
      <c r="R110" s="169">
        <v>2</v>
      </c>
      <c r="S110" s="169">
        <v>2</v>
      </c>
      <c r="T110" s="169" t="s">
        <v>1464</v>
      </c>
      <c r="U110" s="169">
        <v>1</v>
      </c>
      <c r="V110" s="170">
        <v>2680060</v>
      </c>
      <c r="W110" s="170">
        <v>0</v>
      </c>
      <c r="X110" s="170" t="s">
        <v>1406</v>
      </c>
      <c r="Y110" s="169"/>
      <c r="Z110" s="169" t="s">
        <v>32</v>
      </c>
      <c r="AA110" s="171">
        <v>45986</v>
      </c>
      <c r="AB110" s="169">
        <v>26</v>
      </c>
      <c r="AC110" s="169">
        <v>80060</v>
      </c>
      <c r="AD110" s="169">
        <v>57</v>
      </c>
      <c r="AE110" s="169" t="s">
        <v>1551</v>
      </c>
      <c r="AF110" s="169">
        <v>57</v>
      </c>
      <c r="AG110" s="169" t="s">
        <v>1552</v>
      </c>
      <c r="AH110" s="169" t="s">
        <v>36</v>
      </c>
      <c r="AI110" s="169">
        <v>58</v>
      </c>
      <c r="AJ110" s="169">
        <v>428</v>
      </c>
      <c r="AK110" s="169" t="s">
        <v>1473</v>
      </c>
      <c r="AL110" s="169">
        <v>28124</v>
      </c>
      <c r="AM110" s="169" t="s">
        <v>1414</v>
      </c>
      <c r="AN110" s="169" t="s">
        <v>1483</v>
      </c>
      <c r="AO110" s="169">
        <v>28</v>
      </c>
      <c r="AP110" s="169" t="s">
        <v>1416</v>
      </c>
      <c r="AQ110" s="169">
        <v>0</v>
      </c>
      <c r="AR110" s="169" t="s">
        <v>1410</v>
      </c>
      <c r="AS110" s="169"/>
      <c r="AT110" s="169" t="s">
        <v>1417</v>
      </c>
      <c r="AU110" s="169" t="s">
        <v>1412</v>
      </c>
    </row>
    <row r="111" spans="1:47" x14ac:dyDescent="0.45">
      <c r="A111" s="169">
        <v>2605750005</v>
      </c>
      <c r="B111" s="169">
        <v>57</v>
      </c>
      <c r="C111" s="169" t="s">
        <v>1551</v>
      </c>
      <c r="D111" s="169">
        <v>57</v>
      </c>
      <c r="E111" s="169" t="s">
        <v>1552</v>
      </c>
      <c r="F111" s="169" t="s">
        <v>3883</v>
      </c>
      <c r="G111" s="169" t="s">
        <v>3884</v>
      </c>
      <c r="H111" s="169">
        <v>1</v>
      </c>
      <c r="I111" s="169" t="s">
        <v>436</v>
      </c>
      <c r="J111" s="169" t="s">
        <v>1403</v>
      </c>
      <c r="K111" s="169">
        <v>2026</v>
      </c>
      <c r="L111" s="170">
        <v>2026</v>
      </c>
      <c r="M111" s="171">
        <v>45906</v>
      </c>
      <c r="N111" s="169" t="s">
        <v>36</v>
      </c>
      <c r="O111" s="169">
        <v>58</v>
      </c>
      <c r="P111" s="169">
        <v>290</v>
      </c>
      <c r="Q111" s="169" t="s">
        <v>1496</v>
      </c>
      <c r="R111" s="169">
        <v>2</v>
      </c>
      <c r="S111" s="169">
        <v>2</v>
      </c>
      <c r="T111" s="169" t="s">
        <v>1464</v>
      </c>
      <c r="U111" s="169">
        <v>1</v>
      </c>
      <c r="V111" s="170">
        <v>2680036</v>
      </c>
      <c r="W111" s="170">
        <v>0</v>
      </c>
      <c r="X111" s="170" t="s">
        <v>1406</v>
      </c>
      <c r="Y111" s="169"/>
      <c r="Z111" s="169" t="s">
        <v>32</v>
      </c>
      <c r="AA111" s="171">
        <v>45965</v>
      </c>
      <c r="AB111" s="169">
        <v>26</v>
      </c>
      <c r="AC111" s="169">
        <v>80036</v>
      </c>
      <c r="AD111" s="169">
        <v>57</v>
      </c>
      <c r="AE111" s="169" t="s">
        <v>1551</v>
      </c>
      <c r="AF111" s="169">
        <v>57</v>
      </c>
      <c r="AG111" s="169" t="s">
        <v>1552</v>
      </c>
      <c r="AH111" s="169" t="s">
        <v>36</v>
      </c>
      <c r="AI111" s="169">
        <v>58</v>
      </c>
      <c r="AJ111" s="169">
        <v>290</v>
      </c>
      <c r="AK111" s="169" t="s">
        <v>1407</v>
      </c>
      <c r="AL111" s="169">
        <v>28040</v>
      </c>
      <c r="AM111" s="169" t="s">
        <v>1421</v>
      </c>
      <c r="AN111" s="169" t="s">
        <v>2891</v>
      </c>
      <c r="AO111" s="169">
        <v>28</v>
      </c>
      <c r="AP111" s="169" t="s">
        <v>1416</v>
      </c>
      <c r="AQ111" s="169">
        <v>0</v>
      </c>
      <c r="AR111" s="169" t="s">
        <v>1410</v>
      </c>
      <c r="AS111" s="169"/>
      <c r="AT111" s="169" t="s">
        <v>1417</v>
      </c>
      <c r="AU111" s="169" t="s">
        <v>1412</v>
      </c>
    </row>
    <row r="112" spans="1:47" x14ac:dyDescent="0.45">
      <c r="A112" s="169">
        <v>2605750007</v>
      </c>
      <c r="B112" s="169">
        <v>57</v>
      </c>
      <c r="C112" s="169" t="s">
        <v>1551</v>
      </c>
      <c r="D112" s="169">
        <v>57</v>
      </c>
      <c r="E112" s="169" t="s">
        <v>1552</v>
      </c>
      <c r="F112" s="169" t="s">
        <v>3885</v>
      </c>
      <c r="G112" s="169" t="s">
        <v>3886</v>
      </c>
      <c r="H112" s="169">
        <v>2</v>
      </c>
      <c r="I112" s="169" t="s">
        <v>201</v>
      </c>
      <c r="J112" s="169" t="s">
        <v>1403</v>
      </c>
      <c r="K112" s="169">
        <v>2026</v>
      </c>
      <c r="L112" s="170">
        <v>2026</v>
      </c>
      <c r="M112" s="171">
        <v>45924</v>
      </c>
      <c r="N112" s="169" t="s">
        <v>36</v>
      </c>
      <c r="O112" s="169">
        <v>58</v>
      </c>
      <c r="P112" s="169">
        <v>427</v>
      </c>
      <c r="Q112" s="169" t="s">
        <v>1479</v>
      </c>
      <c r="R112" s="169">
        <v>2</v>
      </c>
      <c r="S112" s="169">
        <v>2</v>
      </c>
      <c r="T112" s="169" t="s">
        <v>1464</v>
      </c>
      <c r="U112" s="169">
        <v>1</v>
      </c>
      <c r="V112" s="170">
        <v>2680078</v>
      </c>
      <c r="W112" s="170">
        <v>0</v>
      </c>
      <c r="X112" s="170" t="s">
        <v>1406</v>
      </c>
      <c r="Y112" s="169"/>
      <c r="Z112" s="169" t="s">
        <v>32</v>
      </c>
      <c r="AA112" s="171">
        <v>46006</v>
      </c>
      <c r="AB112" s="169">
        <v>26</v>
      </c>
      <c r="AC112" s="169">
        <v>80078</v>
      </c>
      <c r="AD112" s="169">
        <v>57</v>
      </c>
      <c r="AE112" s="169" t="s">
        <v>1551</v>
      </c>
      <c r="AF112" s="169">
        <v>57</v>
      </c>
      <c r="AG112" s="169" t="s">
        <v>1552</v>
      </c>
      <c r="AH112" s="169" t="s">
        <v>36</v>
      </c>
      <c r="AI112" s="169">
        <v>58</v>
      </c>
      <c r="AJ112" s="169">
        <v>427</v>
      </c>
      <c r="AK112" s="169" t="s">
        <v>1407</v>
      </c>
      <c r="AL112" s="169">
        <v>28025</v>
      </c>
      <c r="AM112" s="169" t="s">
        <v>1421</v>
      </c>
      <c r="AN112" s="169" t="s">
        <v>1550</v>
      </c>
      <c r="AO112" s="169">
        <v>28</v>
      </c>
      <c r="AP112" s="169" t="s">
        <v>1416</v>
      </c>
      <c r="AQ112" s="169">
        <v>0</v>
      </c>
      <c r="AR112" s="169" t="s">
        <v>1410</v>
      </c>
      <c r="AS112" s="169"/>
      <c r="AT112" s="169" t="s">
        <v>1417</v>
      </c>
      <c r="AU112" s="169" t="s">
        <v>1412</v>
      </c>
    </row>
    <row r="113" spans="1:47" x14ac:dyDescent="0.45">
      <c r="A113" s="169">
        <v>2605750009</v>
      </c>
      <c r="B113" s="169">
        <v>57</v>
      </c>
      <c r="C113" s="169" t="s">
        <v>1551</v>
      </c>
      <c r="D113" s="169">
        <v>57</v>
      </c>
      <c r="E113" s="169" t="s">
        <v>1552</v>
      </c>
      <c r="F113" s="169" t="s">
        <v>3887</v>
      </c>
      <c r="G113" s="169" t="s">
        <v>3888</v>
      </c>
      <c r="H113" s="169">
        <v>1</v>
      </c>
      <c r="I113" s="169" t="s">
        <v>3094</v>
      </c>
      <c r="J113" s="169" t="s">
        <v>1403</v>
      </c>
      <c r="K113" s="169">
        <v>2026</v>
      </c>
      <c r="L113" s="170">
        <v>2026</v>
      </c>
      <c r="M113" s="171">
        <v>45909</v>
      </c>
      <c r="N113" s="169" t="s">
        <v>36</v>
      </c>
      <c r="O113" s="169">
        <v>58</v>
      </c>
      <c r="P113" s="169">
        <v>427</v>
      </c>
      <c r="Q113" s="169" t="s">
        <v>1479</v>
      </c>
      <c r="R113" s="169">
        <v>2</v>
      </c>
      <c r="S113" s="169">
        <v>2</v>
      </c>
      <c r="T113" s="169" t="s">
        <v>1464</v>
      </c>
      <c r="U113" s="169">
        <v>1</v>
      </c>
      <c r="V113" s="170">
        <v>0</v>
      </c>
      <c r="W113" s="170">
        <v>0</v>
      </c>
      <c r="X113" s="170" t="s">
        <v>1406</v>
      </c>
      <c r="Y113" s="171">
        <v>46016</v>
      </c>
      <c r="Z113" s="169" t="s">
        <v>32</v>
      </c>
      <c r="AA113" s="169"/>
      <c r="AB113" s="169">
        <v>0</v>
      </c>
      <c r="AC113" s="169">
        <v>0</v>
      </c>
      <c r="AD113" s="169">
        <v>0</v>
      </c>
      <c r="AE113" s="169" t="s">
        <v>1446</v>
      </c>
      <c r="AF113" s="169"/>
      <c r="AG113" s="169" t="s">
        <v>1446</v>
      </c>
      <c r="AH113" s="169"/>
      <c r="AI113" s="169"/>
      <c r="AJ113" s="169">
        <v>0</v>
      </c>
      <c r="AK113" s="169" t="s">
        <v>1473</v>
      </c>
      <c r="AL113" s="169">
        <v>28233</v>
      </c>
      <c r="AM113" s="169" t="s">
        <v>1414</v>
      </c>
      <c r="AN113" s="169" t="s">
        <v>1493</v>
      </c>
      <c r="AO113" s="169">
        <v>28</v>
      </c>
      <c r="AP113" s="169" t="s">
        <v>1416</v>
      </c>
      <c r="AQ113" s="169">
        <v>0</v>
      </c>
      <c r="AR113" s="169" t="s">
        <v>1410</v>
      </c>
      <c r="AS113" s="169"/>
      <c r="AT113" s="169" t="s">
        <v>1417</v>
      </c>
      <c r="AU113" s="169" t="s">
        <v>1412</v>
      </c>
    </row>
    <row r="114" spans="1:47" x14ac:dyDescent="0.45">
      <c r="A114" s="169">
        <v>2605750010</v>
      </c>
      <c r="B114" s="169">
        <v>57</v>
      </c>
      <c r="C114" s="169" t="s">
        <v>1551</v>
      </c>
      <c r="D114" s="169">
        <v>57</v>
      </c>
      <c r="E114" s="169" t="s">
        <v>1552</v>
      </c>
      <c r="F114" s="169" t="s">
        <v>3889</v>
      </c>
      <c r="G114" s="169" t="s">
        <v>3890</v>
      </c>
      <c r="H114" s="169">
        <v>1</v>
      </c>
      <c r="I114" s="169" t="s">
        <v>1249</v>
      </c>
      <c r="J114" s="169" t="s">
        <v>1403</v>
      </c>
      <c r="K114" s="169">
        <v>2026</v>
      </c>
      <c r="L114" s="170">
        <v>2026</v>
      </c>
      <c r="M114" s="171">
        <v>45945</v>
      </c>
      <c r="N114" s="169" t="s">
        <v>36</v>
      </c>
      <c r="O114" s="169">
        <v>58</v>
      </c>
      <c r="P114" s="169">
        <v>428</v>
      </c>
      <c r="Q114" s="169" t="s">
        <v>1463</v>
      </c>
      <c r="R114" s="169">
        <v>2</v>
      </c>
      <c r="S114" s="169">
        <v>2</v>
      </c>
      <c r="T114" s="169" t="s">
        <v>1464</v>
      </c>
      <c r="U114" s="169">
        <v>1</v>
      </c>
      <c r="V114" s="170">
        <v>2680033</v>
      </c>
      <c r="W114" s="170">
        <v>0</v>
      </c>
      <c r="X114" s="170" t="s">
        <v>1406</v>
      </c>
      <c r="Y114" s="169"/>
      <c r="Z114" s="169" t="s">
        <v>32</v>
      </c>
      <c r="AA114" s="171">
        <v>45958</v>
      </c>
      <c r="AB114" s="169">
        <v>26</v>
      </c>
      <c r="AC114" s="169">
        <v>80033</v>
      </c>
      <c r="AD114" s="169">
        <v>57</v>
      </c>
      <c r="AE114" s="169" t="s">
        <v>1551</v>
      </c>
      <c r="AF114" s="169">
        <v>57</v>
      </c>
      <c r="AG114" s="169" t="s">
        <v>1552</v>
      </c>
      <c r="AH114" s="169" t="s">
        <v>36</v>
      </c>
      <c r="AI114" s="169">
        <v>58</v>
      </c>
      <c r="AJ114" s="169">
        <v>428</v>
      </c>
      <c r="AK114" s="169" t="s">
        <v>1407</v>
      </c>
      <c r="AL114" s="169">
        <v>37032</v>
      </c>
      <c r="AM114" s="169" t="s">
        <v>1421</v>
      </c>
      <c r="AN114" s="169" t="s">
        <v>3891</v>
      </c>
      <c r="AO114" s="169">
        <v>37</v>
      </c>
      <c r="AP114" s="169" t="s">
        <v>1573</v>
      </c>
      <c r="AQ114" s="169">
        <v>0</v>
      </c>
      <c r="AR114" s="169" t="s">
        <v>1410</v>
      </c>
      <c r="AS114" s="169"/>
      <c r="AT114" s="169" t="s">
        <v>1417</v>
      </c>
      <c r="AU114" s="169" t="s">
        <v>1412</v>
      </c>
    </row>
    <row r="115" spans="1:47" x14ac:dyDescent="0.45">
      <c r="A115" s="169">
        <v>2605750011</v>
      </c>
      <c r="B115" s="169">
        <v>57</v>
      </c>
      <c r="C115" s="169" t="s">
        <v>1551</v>
      </c>
      <c r="D115" s="169">
        <v>57</v>
      </c>
      <c r="E115" s="169" t="s">
        <v>1552</v>
      </c>
      <c r="F115" s="169" t="s">
        <v>3892</v>
      </c>
      <c r="G115" s="169" t="s">
        <v>3893</v>
      </c>
      <c r="H115" s="169">
        <v>2</v>
      </c>
      <c r="I115" s="169" t="s">
        <v>3562</v>
      </c>
      <c r="J115" s="169" t="s">
        <v>1403</v>
      </c>
      <c r="K115" s="169">
        <v>2026</v>
      </c>
      <c r="L115" s="170">
        <v>2026</v>
      </c>
      <c r="M115" s="171">
        <v>45906</v>
      </c>
      <c r="N115" s="169" t="s">
        <v>36</v>
      </c>
      <c r="O115" s="169">
        <v>6</v>
      </c>
      <c r="P115" s="169">
        <v>488</v>
      </c>
      <c r="Q115" s="169" t="s">
        <v>1553</v>
      </c>
      <c r="R115" s="169">
        <v>2</v>
      </c>
      <c r="S115" s="169">
        <v>1</v>
      </c>
      <c r="T115" s="169" t="s">
        <v>1527</v>
      </c>
      <c r="U115" s="169">
        <v>3</v>
      </c>
      <c r="V115" s="170">
        <v>2680095</v>
      </c>
      <c r="W115" s="170">
        <v>0</v>
      </c>
      <c r="X115" s="170" t="s">
        <v>1406</v>
      </c>
      <c r="Y115" s="169"/>
      <c r="Z115" s="169" t="s">
        <v>32</v>
      </c>
      <c r="AA115" s="171">
        <v>46013</v>
      </c>
      <c r="AB115" s="169">
        <v>26</v>
      </c>
      <c r="AC115" s="169">
        <v>80095</v>
      </c>
      <c r="AD115" s="169">
        <v>57</v>
      </c>
      <c r="AE115" s="169" t="s">
        <v>1551</v>
      </c>
      <c r="AF115" s="169">
        <v>57</v>
      </c>
      <c r="AG115" s="169" t="s">
        <v>1552</v>
      </c>
      <c r="AH115" s="169" t="s">
        <v>36</v>
      </c>
      <c r="AI115" s="169">
        <v>6</v>
      </c>
      <c r="AJ115" s="169">
        <v>488</v>
      </c>
      <c r="AK115" s="169" t="s">
        <v>1407</v>
      </c>
      <c r="AL115" s="169">
        <v>28254</v>
      </c>
      <c r="AM115" s="169" t="s">
        <v>1421</v>
      </c>
      <c r="AN115" s="169" t="s">
        <v>1638</v>
      </c>
      <c r="AO115" s="169">
        <v>28</v>
      </c>
      <c r="AP115" s="169" t="s">
        <v>1416</v>
      </c>
      <c r="AQ115" s="169">
        <v>0</v>
      </c>
      <c r="AR115" s="169" t="s">
        <v>1410</v>
      </c>
      <c r="AS115" s="169"/>
      <c r="AT115" s="169" t="s">
        <v>1417</v>
      </c>
      <c r="AU115" s="169" t="s">
        <v>1412</v>
      </c>
    </row>
    <row r="116" spans="1:47" x14ac:dyDescent="0.45">
      <c r="A116" s="169">
        <v>2605750012</v>
      </c>
      <c r="B116" s="169">
        <v>57</v>
      </c>
      <c r="C116" s="169" t="s">
        <v>1551</v>
      </c>
      <c r="D116" s="169">
        <v>57</v>
      </c>
      <c r="E116" s="169" t="s">
        <v>1552</v>
      </c>
      <c r="F116" s="169" t="s">
        <v>3894</v>
      </c>
      <c r="G116" s="169" t="s">
        <v>3895</v>
      </c>
      <c r="H116" s="169">
        <v>1</v>
      </c>
      <c r="I116" s="169" t="s">
        <v>3896</v>
      </c>
      <c r="J116" s="169" t="s">
        <v>1403</v>
      </c>
      <c r="K116" s="169">
        <v>2026</v>
      </c>
      <c r="L116" s="170">
        <v>2026</v>
      </c>
      <c r="M116" s="171">
        <v>45904</v>
      </c>
      <c r="N116" s="169" t="s">
        <v>36</v>
      </c>
      <c r="O116" s="169" t="s">
        <v>51</v>
      </c>
      <c r="P116" s="169">
        <v>428</v>
      </c>
      <c r="Q116" s="169" t="s">
        <v>1463</v>
      </c>
      <c r="R116" s="169">
        <v>1</v>
      </c>
      <c r="S116" s="169">
        <v>2</v>
      </c>
      <c r="T116" s="169" t="s">
        <v>1464</v>
      </c>
      <c r="U116" s="169">
        <v>1</v>
      </c>
      <c r="V116" s="170">
        <v>2680073</v>
      </c>
      <c r="W116" s="170">
        <v>0</v>
      </c>
      <c r="X116" s="170" t="s">
        <v>1406</v>
      </c>
      <c r="Y116" s="169"/>
      <c r="Z116" s="169" t="s">
        <v>32</v>
      </c>
      <c r="AA116" s="171">
        <v>45999</v>
      </c>
      <c r="AB116" s="169">
        <v>26</v>
      </c>
      <c r="AC116" s="169">
        <v>80073</v>
      </c>
      <c r="AD116" s="169">
        <v>57</v>
      </c>
      <c r="AE116" s="169" t="s">
        <v>1551</v>
      </c>
      <c r="AF116" s="169">
        <v>57</v>
      </c>
      <c r="AG116" s="169" t="s">
        <v>1552</v>
      </c>
      <c r="AH116" s="169" t="s">
        <v>36</v>
      </c>
      <c r="AI116" s="169" t="s">
        <v>51</v>
      </c>
      <c r="AJ116" s="169">
        <v>428</v>
      </c>
      <c r="AK116" s="169" t="s">
        <v>1407</v>
      </c>
      <c r="AL116" s="169">
        <v>27012</v>
      </c>
      <c r="AM116" s="169" t="s">
        <v>1421</v>
      </c>
      <c r="AN116" s="169" t="s">
        <v>3897</v>
      </c>
      <c r="AO116" s="169">
        <v>27</v>
      </c>
      <c r="AP116" s="169" t="s">
        <v>1581</v>
      </c>
      <c r="AQ116" s="169">
        <v>0</v>
      </c>
      <c r="AR116" s="169" t="s">
        <v>1410</v>
      </c>
      <c r="AS116" s="169"/>
      <c r="AT116" s="169" t="s">
        <v>1417</v>
      </c>
      <c r="AU116" s="169" t="s">
        <v>1412</v>
      </c>
    </row>
    <row r="117" spans="1:47" x14ac:dyDescent="0.45">
      <c r="A117" s="169">
        <v>2605750014</v>
      </c>
      <c r="B117" s="169">
        <v>57</v>
      </c>
      <c r="C117" s="169" t="s">
        <v>1551</v>
      </c>
      <c r="D117" s="169">
        <v>57</v>
      </c>
      <c r="E117" s="169" t="s">
        <v>1552</v>
      </c>
      <c r="F117" s="169" t="s">
        <v>3898</v>
      </c>
      <c r="G117" s="169" t="s">
        <v>3899</v>
      </c>
      <c r="H117" s="169">
        <v>2</v>
      </c>
      <c r="I117" s="169" t="s">
        <v>1858</v>
      </c>
      <c r="J117" s="169" t="s">
        <v>1403</v>
      </c>
      <c r="K117" s="169">
        <v>2026</v>
      </c>
      <c r="L117" s="170">
        <v>2026</v>
      </c>
      <c r="M117" s="171">
        <v>45943</v>
      </c>
      <c r="N117" s="169" t="s">
        <v>36</v>
      </c>
      <c r="O117" s="169">
        <v>58</v>
      </c>
      <c r="P117" s="169">
        <v>968</v>
      </c>
      <c r="Q117" s="169" t="s">
        <v>1474</v>
      </c>
      <c r="R117" s="169">
        <v>2</v>
      </c>
      <c r="S117" s="169">
        <v>2</v>
      </c>
      <c r="T117" s="169" t="s">
        <v>1464</v>
      </c>
      <c r="U117" s="169">
        <v>1</v>
      </c>
      <c r="V117" s="170">
        <v>2680032</v>
      </c>
      <c r="W117" s="170">
        <v>0</v>
      </c>
      <c r="X117" s="170" t="s">
        <v>1406</v>
      </c>
      <c r="Y117" s="169"/>
      <c r="Z117" s="169" t="s">
        <v>32</v>
      </c>
      <c r="AA117" s="171">
        <v>45957</v>
      </c>
      <c r="AB117" s="169">
        <v>26</v>
      </c>
      <c r="AC117" s="169">
        <v>80032</v>
      </c>
      <c r="AD117" s="169">
        <v>57</v>
      </c>
      <c r="AE117" s="169" t="s">
        <v>1551</v>
      </c>
      <c r="AF117" s="169">
        <v>57</v>
      </c>
      <c r="AG117" s="169" t="s">
        <v>1552</v>
      </c>
      <c r="AH117" s="169" t="s">
        <v>36</v>
      </c>
      <c r="AI117" s="169">
        <v>58</v>
      </c>
      <c r="AJ117" s="169">
        <v>968</v>
      </c>
      <c r="AK117" s="169" t="s">
        <v>1407</v>
      </c>
      <c r="AL117" s="169">
        <v>28023</v>
      </c>
      <c r="AM117" s="169" t="s">
        <v>1421</v>
      </c>
      <c r="AN117" s="169" t="s">
        <v>1622</v>
      </c>
      <c r="AO117" s="169">
        <v>28</v>
      </c>
      <c r="AP117" s="169" t="s">
        <v>1416</v>
      </c>
      <c r="AQ117" s="169">
        <v>0</v>
      </c>
      <c r="AR117" s="169" t="s">
        <v>1410</v>
      </c>
      <c r="AS117" s="169"/>
      <c r="AT117" s="169" t="s">
        <v>1417</v>
      </c>
      <c r="AU117" s="169" t="s">
        <v>1412</v>
      </c>
    </row>
    <row r="118" spans="1:47" x14ac:dyDescent="0.45">
      <c r="A118" s="169">
        <v>2605750015</v>
      </c>
      <c r="B118" s="169">
        <v>57</v>
      </c>
      <c r="C118" s="169" t="s">
        <v>1551</v>
      </c>
      <c r="D118" s="169">
        <v>57</v>
      </c>
      <c r="E118" s="169" t="s">
        <v>1552</v>
      </c>
      <c r="F118" s="169" t="s">
        <v>3900</v>
      </c>
      <c r="G118" s="169" t="s">
        <v>3901</v>
      </c>
      <c r="H118" s="169">
        <v>2</v>
      </c>
      <c r="I118" s="169" t="s">
        <v>3902</v>
      </c>
      <c r="J118" s="169" t="s">
        <v>2816</v>
      </c>
      <c r="K118" s="169">
        <v>2026</v>
      </c>
      <c r="L118" s="170">
        <v>2026</v>
      </c>
      <c r="M118" s="171">
        <v>45934</v>
      </c>
      <c r="N118" s="169" t="s">
        <v>36</v>
      </c>
      <c r="O118" s="169">
        <v>58</v>
      </c>
      <c r="P118" s="169">
        <v>968</v>
      </c>
      <c r="Q118" s="169" t="s">
        <v>1474</v>
      </c>
      <c r="R118" s="169">
        <v>2</v>
      </c>
      <c r="S118" s="169">
        <v>2</v>
      </c>
      <c r="T118" s="169" t="s">
        <v>1464</v>
      </c>
      <c r="U118" s="169">
        <v>1</v>
      </c>
      <c r="V118" s="170">
        <v>2680023</v>
      </c>
      <c r="W118" s="170">
        <v>0</v>
      </c>
      <c r="X118" s="170" t="s">
        <v>1406</v>
      </c>
      <c r="Y118" s="169"/>
      <c r="Z118" s="169" t="s">
        <v>32</v>
      </c>
      <c r="AA118" s="171">
        <v>45950</v>
      </c>
      <c r="AB118" s="169">
        <v>26</v>
      </c>
      <c r="AC118" s="169">
        <v>80023</v>
      </c>
      <c r="AD118" s="169">
        <v>57</v>
      </c>
      <c r="AE118" s="169" t="s">
        <v>1551</v>
      </c>
      <c r="AF118" s="169">
        <v>57</v>
      </c>
      <c r="AG118" s="169" t="s">
        <v>1552</v>
      </c>
      <c r="AH118" s="169" t="s">
        <v>36</v>
      </c>
      <c r="AI118" s="169">
        <v>58</v>
      </c>
      <c r="AJ118" s="169">
        <v>968</v>
      </c>
      <c r="AK118" s="169" t="s">
        <v>1407</v>
      </c>
      <c r="AL118" s="169">
        <v>47047</v>
      </c>
      <c r="AM118" s="169" t="s">
        <v>1418</v>
      </c>
      <c r="AN118" s="169" t="s">
        <v>3903</v>
      </c>
      <c r="AO118" s="169">
        <v>47</v>
      </c>
      <c r="AP118" s="169" t="s">
        <v>1423</v>
      </c>
      <c r="AQ118" s="169">
        <v>0</v>
      </c>
      <c r="AR118" s="169" t="s">
        <v>1410</v>
      </c>
      <c r="AS118" s="169"/>
      <c r="AT118" s="169" t="s">
        <v>1417</v>
      </c>
      <c r="AU118" s="169" t="s">
        <v>1412</v>
      </c>
    </row>
    <row r="119" spans="1:47" x14ac:dyDescent="0.45">
      <c r="A119" s="169">
        <v>2605750016</v>
      </c>
      <c r="B119" s="169">
        <v>57</v>
      </c>
      <c r="C119" s="169" t="s">
        <v>1551</v>
      </c>
      <c r="D119" s="169">
        <v>57</v>
      </c>
      <c r="E119" s="169" t="s">
        <v>1552</v>
      </c>
      <c r="F119" s="169" t="s">
        <v>3904</v>
      </c>
      <c r="G119" s="169" t="s">
        <v>3905</v>
      </c>
      <c r="H119" s="169">
        <v>1</v>
      </c>
      <c r="I119" s="169" t="s">
        <v>3906</v>
      </c>
      <c r="J119" s="169" t="s">
        <v>1403</v>
      </c>
      <c r="K119" s="169">
        <v>2026</v>
      </c>
      <c r="L119" s="170">
        <v>2026</v>
      </c>
      <c r="M119" s="171">
        <v>45932</v>
      </c>
      <c r="N119" s="169" t="s">
        <v>36</v>
      </c>
      <c r="O119" s="169">
        <v>58</v>
      </c>
      <c r="P119" s="169">
        <v>852</v>
      </c>
      <c r="Q119" s="169" t="s">
        <v>1472</v>
      </c>
      <c r="R119" s="169">
        <v>2</v>
      </c>
      <c r="S119" s="169">
        <v>2</v>
      </c>
      <c r="T119" s="169" t="s">
        <v>1464</v>
      </c>
      <c r="U119" s="169">
        <v>1</v>
      </c>
      <c r="V119" s="170">
        <v>2680047</v>
      </c>
      <c r="W119" s="170">
        <v>0</v>
      </c>
      <c r="X119" s="170" t="s">
        <v>1406</v>
      </c>
      <c r="Y119" s="169"/>
      <c r="Z119" s="169" t="s">
        <v>32</v>
      </c>
      <c r="AA119" s="171">
        <v>45975</v>
      </c>
      <c r="AB119" s="169">
        <v>26</v>
      </c>
      <c r="AC119" s="169">
        <v>80047</v>
      </c>
      <c r="AD119" s="169">
        <v>57</v>
      </c>
      <c r="AE119" s="169" t="s">
        <v>1551</v>
      </c>
      <c r="AF119" s="169">
        <v>57</v>
      </c>
      <c r="AG119" s="169" t="s">
        <v>1552</v>
      </c>
      <c r="AH119" s="169" t="s">
        <v>36</v>
      </c>
      <c r="AI119" s="169">
        <v>58</v>
      </c>
      <c r="AJ119" s="169">
        <v>852</v>
      </c>
      <c r="AK119" s="169" t="s">
        <v>1407</v>
      </c>
      <c r="AL119" s="169">
        <v>28022</v>
      </c>
      <c r="AM119" s="169" t="s">
        <v>1421</v>
      </c>
      <c r="AN119" s="169" t="s">
        <v>1571</v>
      </c>
      <c r="AO119" s="169">
        <v>28</v>
      </c>
      <c r="AP119" s="169" t="s">
        <v>1416</v>
      </c>
      <c r="AQ119" s="169">
        <v>0</v>
      </c>
      <c r="AR119" s="169" t="s">
        <v>1410</v>
      </c>
      <c r="AS119" s="169"/>
      <c r="AT119" s="169" t="s">
        <v>1417</v>
      </c>
      <c r="AU119" s="169" t="s">
        <v>1412</v>
      </c>
    </row>
    <row r="120" spans="1:47" x14ac:dyDescent="0.45">
      <c r="A120" s="169">
        <v>2605750017</v>
      </c>
      <c r="B120" s="169">
        <v>57</v>
      </c>
      <c r="C120" s="169" t="s">
        <v>1551</v>
      </c>
      <c r="D120" s="169">
        <v>57</v>
      </c>
      <c r="E120" s="169" t="s">
        <v>1552</v>
      </c>
      <c r="F120" s="169" t="s">
        <v>3907</v>
      </c>
      <c r="G120" s="169" t="s">
        <v>3908</v>
      </c>
      <c r="H120" s="169">
        <v>1</v>
      </c>
      <c r="I120" s="169" t="s">
        <v>3909</v>
      </c>
      <c r="J120" s="169" t="s">
        <v>1403</v>
      </c>
      <c r="K120" s="169">
        <v>2026</v>
      </c>
      <c r="L120" s="170">
        <v>2026</v>
      </c>
      <c r="M120" s="171">
        <v>45951</v>
      </c>
      <c r="N120" s="169" t="s">
        <v>36</v>
      </c>
      <c r="O120" s="169">
        <v>58</v>
      </c>
      <c r="P120" s="169">
        <v>427</v>
      </c>
      <c r="Q120" s="169" t="s">
        <v>1479</v>
      </c>
      <c r="R120" s="169">
        <v>2</v>
      </c>
      <c r="S120" s="169">
        <v>2</v>
      </c>
      <c r="T120" s="169" t="s">
        <v>1464</v>
      </c>
      <c r="U120" s="169">
        <v>1</v>
      </c>
      <c r="V120" s="170">
        <v>2680109</v>
      </c>
      <c r="W120" s="170">
        <v>0</v>
      </c>
      <c r="X120" s="170" t="s">
        <v>1406</v>
      </c>
      <c r="Y120" s="169"/>
      <c r="Z120" s="169" t="s">
        <v>32</v>
      </c>
      <c r="AA120" s="171">
        <v>46027</v>
      </c>
      <c r="AB120" s="169">
        <v>26</v>
      </c>
      <c r="AC120" s="169">
        <v>80109</v>
      </c>
      <c r="AD120" s="169">
        <v>57</v>
      </c>
      <c r="AE120" s="169" t="s">
        <v>1551</v>
      </c>
      <c r="AF120" s="169">
        <v>57</v>
      </c>
      <c r="AG120" s="169" t="s">
        <v>1552</v>
      </c>
      <c r="AH120" s="169" t="s">
        <v>36</v>
      </c>
      <c r="AI120" s="169">
        <v>58</v>
      </c>
      <c r="AJ120" s="169">
        <v>427</v>
      </c>
      <c r="AK120" s="169" t="s">
        <v>1407</v>
      </c>
      <c r="AL120" s="169">
        <v>28234</v>
      </c>
      <c r="AM120" s="169" t="s">
        <v>1414</v>
      </c>
      <c r="AN120" s="169" t="s">
        <v>2788</v>
      </c>
      <c r="AO120" s="169">
        <v>28</v>
      </c>
      <c r="AP120" s="169" t="s">
        <v>1416</v>
      </c>
      <c r="AQ120" s="169">
        <v>0</v>
      </c>
      <c r="AR120" s="169" t="s">
        <v>1410</v>
      </c>
      <c r="AS120" s="169"/>
      <c r="AT120" s="169" t="s">
        <v>1417</v>
      </c>
      <c r="AU120" s="169" t="s">
        <v>1412</v>
      </c>
    </row>
    <row r="121" spans="1:47" x14ac:dyDescent="0.45">
      <c r="A121" s="169">
        <v>2605750018</v>
      </c>
      <c r="B121" s="169">
        <v>57</v>
      </c>
      <c r="C121" s="169" t="s">
        <v>1551</v>
      </c>
      <c r="D121" s="169">
        <v>57</v>
      </c>
      <c r="E121" s="169" t="s">
        <v>1552</v>
      </c>
      <c r="F121" s="169" t="s">
        <v>3910</v>
      </c>
      <c r="G121" s="169" t="s">
        <v>3911</v>
      </c>
      <c r="H121" s="169">
        <v>2</v>
      </c>
      <c r="I121" s="169" t="s">
        <v>1778</v>
      </c>
      <c r="J121" s="169" t="s">
        <v>1403</v>
      </c>
      <c r="K121" s="169">
        <v>2026</v>
      </c>
      <c r="L121" s="170">
        <v>2026</v>
      </c>
      <c r="M121" s="171">
        <v>45928</v>
      </c>
      <c r="N121" s="169" t="s">
        <v>36</v>
      </c>
      <c r="O121" s="169" t="s">
        <v>135</v>
      </c>
      <c r="P121" s="169">
        <v>502</v>
      </c>
      <c r="Q121" s="169" t="s">
        <v>1500</v>
      </c>
      <c r="R121" s="169">
        <v>2</v>
      </c>
      <c r="S121" s="169">
        <v>5</v>
      </c>
      <c r="T121" s="169" t="s">
        <v>1470</v>
      </c>
      <c r="U121" s="169">
        <v>15</v>
      </c>
      <c r="V121" s="170">
        <v>2680010</v>
      </c>
      <c r="W121" s="170">
        <v>0</v>
      </c>
      <c r="X121" s="170" t="s">
        <v>1406</v>
      </c>
      <c r="Y121" s="169"/>
      <c r="Z121" s="169" t="s">
        <v>32</v>
      </c>
      <c r="AA121" s="171">
        <v>45938</v>
      </c>
      <c r="AB121" s="169">
        <v>26</v>
      </c>
      <c r="AC121" s="169">
        <v>80010</v>
      </c>
      <c r="AD121" s="169">
        <v>57</v>
      </c>
      <c r="AE121" s="169" t="s">
        <v>1551</v>
      </c>
      <c r="AF121" s="169">
        <v>57</v>
      </c>
      <c r="AG121" s="169" t="s">
        <v>1552</v>
      </c>
      <c r="AH121" s="169" t="s">
        <v>36</v>
      </c>
      <c r="AI121" s="169" t="s">
        <v>135</v>
      </c>
      <c r="AJ121" s="169">
        <v>502</v>
      </c>
      <c r="AK121" s="169" t="s">
        <v>1407</v>
      </c>
      <c r="AL121" s="169">
        <v>36070</v>
      </c>
      <c r="AM121" s="169" t="s">
        <v>1418</v>
      </c>
      <c r="AN121" s="169" t="s">
        <v>1615</v>
      </c>
      <c r="AO121" s="169">
        <v>36</v>
      </c>
      <c r="AP121" s="169" t="s">
        <v>1603</v>
      </c>
      <c r="AQ121" s="169">
        <v>0</v>
      </c>
      <c r="AR121" s="169" t="s">
        <v>1410</v>
      </c>
      <c r="AS121" s="169"/>
      <c r="AT121" s="169" t="s">
        <v>1417</v>
      </c>
      <c r="AU121" s="169" t="s">
        <v>1412</v>
      </c>
    </row>
    <row r="122" spans="1:47" x14ac:dyDescent="0.45">
      <c r="A122" s="169">
        <v>2605750019</v>
      </c>
      <c r="B122" s="169">
        <v>57</v>
      </c>
      <c r="C122" s="169" t="s">
        <v>1551</v>
      </c>
      <c r="D122" s="169">
        <v>57</v>
      </c>
      <c r="E122" s="169" t="s">
        <v>1552</v>
      </c>
      <c r="F122" s="169" t="s">
        <v>3912</v>
      </c>
      <c r="G122" s="169" t="s">
        <v>3913</v>
      </c>
      <c r="H122" s="169">
        <v>1</v>
      </c>
      <c r="I122" s="169" t="s">
        <v>1883</v>
      </c>
      <c r="J122" s="169" t="s">
        <v>1403</v>
      </c>
      <c r="K122" s="169">
        <v>2026</v>
      </c>
      <c r="L122" s="170">
        <v>2026</v>
      </c>
      <c r="M122" s="171">
        <v>45933</v>
      </c>
      <c r="N122" s="169" t="s">
        <v>36</v>
      </c>
      <c r="O122" s="169">
        <v>58</v>
      </c>
      <c r="P122" s="169">
        <v>428</v>
      </c>
      <c r="Q122" s="169" t="s">
        <v>1463</v>
      </c>
      <c r="R122" s="169">
        <v>2</v>
      </c>
      <c r="S122" s="169">
        <v>2</v>
      </c>
      <c r="T122" s="169" t="s">
        <v>1464</v>
      </c>
      <c r="U122" s="169">
        <v>1</v>
      </c>
      <c r="V122" s="170">
        <v>2680026</v>
      </c>
      <c r="W122" s="170">
        <v>0</v>
      </c>
      <c r="X122" s="170" t="s">
        <v>1406</v>
      </c>
      <c r="Y122" s="169"/>
      <c r="Z122" s="169" t="s">
        <v>32</v>
      </c>
      <c r="AA122" s="171">
        <v>45951</v>
      </c>
      <c r="AB122" s="169">
        <v>26</v>
      </c>
      <c r="AC122" s="169">
        <v>80026</v>
      </c>
      <c r="AD122" s="169">
        <v>57</v>
      </c>
      <c r="AE122" s="169" t="s">
        <v>1551</v>
      </c>
      <c r="AF122" s="169">
        <v>57</v>
      </c>
      <c r="AG122" s="169" t="s">
        <v>1552</v>
      </c>
      <c r="AH122" s="169" t="s">
        <v>36</v>
      </c>
      <c r="AI122" s="169">
        <v>58</v>
      </c>
      <c r="AJ122" s="169">
        <v>428</v>
      </c>
      <c r="AK122" s="169" t="s">
        <v>1407</v>
      </c>
      <c r="AL122" s="169">
        <v>28029</v>
      </c>
      <c r="AM122" s="169" t="s">
        <v>1421</v>
      </c>
      <c r="AN122" s="169" t="s">
        <v>1441</v>
      </c>
      <c r="AO122" s="169">
        <v>28</v>
      </c>
      <c r="AP122" s="169" t="s">
        <v>1416</v>
      </c>
      <c r="AQ122" s="169">
        <v>0</v>
      </c>
      <c r="AR122" s="169" t="s">
        <v>1410</v>
      </c>
      <c r="AS122" s="169"/>
      <c r="AT122" s="169" t="s">
        <v>1417</v>
      </c>
      <c r="AU122" s="169" t="s">
        <v>1412</v>
      </c>
    </row>
    <row r="123" spans="1:47" x14ac:dyDescent="0.45">
      <c r="A123" s="169">
        <v>2605750020</v>
      </c>
      <c r="B123" s="169">
        <v>57</v>
      </c>
      <c r="C123" s="169" t="s">
        <v>1551</v>
      </c>
      <c r="D123" s="169">
        <v>57</v>
      </c>
      <c r="E123" s="169" t="s">
        <v>1552</v>
      </c>
      <c r="F123" s="169" t="s">
        <v>3914</v>
      </c>
      <c r="G123" s="169" t="s">
        <v>3915</v>
      </c>
      <c r="H123" s="169">
        <v>1</v>
      </c>
      <c r="I123" s="169" t="s">
        <v>50</v>
      </c>
      <c r="J123" s="169" t="s">
        <v>1403</v>
      </c>
      <c r="K123" s="169">
        <v>2026</v>
      </c>
      <c r="L123" s="170">
        <v>2026</v>
      </c>
      <c r="M123" s="171">
        <v>45906</v>
      </c>
      <c r="N123" s="169" t="s">
        <v>36</v>
      </c>
      <c r="O123" s="169">
        <v>58</v>
      </c>
      <c r="P123" s="169">
        <v>428</v>
      </c>
      <c r="Q123" s="169" t="s">
        <v>1463</v>
      </c>
      <c r="R123" s="169">
        <v>2</v>
      </c>
      <c r="S123" s="169">
        <v>2</v>
      </c>
      <c r="T123" s="169" t="s">
        <v>1464</v>
      </c>
      <c r="U123" s="169">
        <v>1</v>
      </c>
      <c r="V123" s="170">
        <v>2680007</v>
      </c>
      <c r="W123" s="170">
        <v>0</v>
      </c>
      <c r="X123" s="170" t="s">
        <v>1406</v>
      </c>
      <c r="Y123" s="169"/>
      <c r="Z123" s="169" t="s">
        <v>32</v>
      </c>
      <c r="AA123" s="171">
        <v>45936</v>
      </c>
      <c r="AB123" s="169">
        <v>26</v>
      </c>
      <c r="AC123" s="169">
        <v>80007</v>
      </c>
      <c r="AD123" s="169">
        <v>57</v>
      </c>
      <c r="AE123" s="169" t="s">
        <v>1551</v>
      </c>
      <c r="AF123" s="169">
        <v>57</v>
      </c>
      <c r="AG123" s="169" t="s">
        <v>1552</v>
      </c>
      <c r="AH123" s="169" t="s">
        <v>36</v>
      </c>
      <c r="AI123" s="169">
        <v>58</v>
      </c>
      <c r="AJ123" s="169">
        <v>428</v>
      </c>
      <c r="AK123" s="169" t="s">
        <v>1407</v>
      </c>
      <c r="AL123" s="169">
        <v>28032</v>
      </c>
      <c r="AM123" s="169" t="s">
        <v>1421</v>
      </c>
      <c r="AN123" s="169" t="s">
        <v>1545</v>
      </c>
      <c r="AO123" s="169">
        <v>28</v>
      </c>
      <c r="AP123" s="169" t="s">
        <v>1416</v>
      </c>
      <c r="AQ123" s="169">
        <v>0</v>
      </c>
      <c r="AR123" s="169" t="s">
        <v>1410</v>
      </c>
      <c r="AS123" s="169"/>
      <c r="AT123" s="169" t="s">
        <v>1417</v>
      </c>
      <c r="AU123" s="169" t="s">
        <v>1412</v>
      </c>
    </row>
    <row r="124" spans="1:47" x14ac:dyDescent="0.45">
      <c r="A124" s="169">
        <v>2605750021</v>
      </c>
      <c r="B124" s="169">
        <v>57</v>
      </c>
      <c r="C124" s="169" t="s">
        <v>1551</v>
      </c>
      <c r="D124" s="169">
        <v>57</v>
      </c>
      <c r="E124" s="169" t="s">
        <v>1552</v>
      </c>
      <c r="F124" s="169" t="s">
        <v>3916</v>
      </c>
      <c r="G124" s="169" t="s">
        <v>3917</v>
      </c>
      <c r="H124" s="169">
        <v>1</v>
      </c>
      <c r="I124" s="169" t="s">
        <v>1929</v>
      </c>
      <c r="J124" s="169" t="s">
        <v>1403</v>
      </c>
      <c r="K124" s="169">
        <v>2026</v>
      </c>
      <c r="L124" s="170">
        <v>2026</v>
      </c>
      <c r="M124" s="171">
        <v>45906</v>
      </c>
      <c r="N124" s="169" t="s">
        <v>36</v>
      </c>
      <c r="O124" s="169" t="s">
        <v>51</v>
      </c>
      <c r="P124" s="169">
        <v>427</v>
      </c>
      <c r="Q124" s="169" t="s">
        <v>1479</v>
      </c>
      <c r="R124" s="169">
        <v>1</v>
      </c>
      <c r="S124" s="169">
        <v>2</v>
      </c>
      <c r="T124" s="169" t="s">
        <v>1464</v>
      </c>
      <c r="U124" s="169">
        <v>1</v>
      </c>
      <c r="V124" s="170">
        <v>0</v>
      </c>
      <c r="W124" s="170">
        <v>0</v>
      </c>
      <c r="X124" s="170" t="s">
        <v>1406</v>
      </c>
      <c r="Y124" s="171">
        <v>46008</v>
      </c>
      <c r="Z124" s="169" t="s">
        <v>32</v>
      </c>
      <c r="AA124" s="169"/>
      <c r="AB124" s="169">
        <v>0</v>
      </c>
      <c r="AC124" s="169">
        <v>0</v>
      </c>
      <c r="AD124" s="169">
        <v>0</v>
      </c>
      <c r="AE124" s="169" t="s">
        <v>1446</v>
      </c>
      <c r="AF124" s="169"/>
      <c r="AG124" s="169" t="s">
        <v>1446</v>
      </c>
      <c r="AH124" s="169"/>
      <c r="AI124" s="169"/>
      <c r="AJ124" s="169">
        <v>0</v>
      </c>
      <c r="AK124" s="169" t="s">
        <v>1473</v>
      </c>
      <c r="AL124" s="169">
        <v>28037</v>
      </c>
      <c r="AM124" s="169" t="s">
        <v>1418</v>
      </c>
      <c r="AN124" s="169" t="s">
        <v>3013</v>
      </c>
      <c r="AO124" s="169">
        <v>28</v>
      </c>
      <c r="AP124" s="169" t="s">
        <v>1416</v>
      </c>
      <c r="AQ124" s="169">
        <v>0</v>
      </c>
      <c r="AR124" s="169" t="s">
        <v>1410</v>
      </c>
      <c r="AS124" s="169"/>
      <c r="AT124" s="169" t="s">
        <v>1417</v>
      </c>
      <c r="AU124" s="169" t="s">
        <v>1412</v>
      </c>
    </row>
    <row r="125" spans="1:47" x14ac:dyDescent="0.45">
      <c r="A125" s="169">
        <v>2605750022</v>
      </c>
      <c r="B125" s="169">
        <v>57</v>
      </c>
      <c r="C125" s="169" t="s">
        <v>1551</v>
      </c>
      <c r="D125" s="169">
        <v>57</v>
      </c>
      <c r="E125" s="169" t="s">
        <v>1552</v>
      </c>
      <c r="F125" s="169" t="s">
        <v>3918</v>
      </c>
      <c r="G125" s="169" t="s">
        <v>3919</v>
      </c>
      <c r="H125" s="169">
        <v>1</v>
      </c>
      <c r="I125" s="169" t="s">
        <v>3920</v>
      </c>
      <c r="J125" s="169" t="s">
        <v>1403</v>
      </c>
      <c r="K125" s="169">
        <v>2026</v>
      </c>
      <c r="L125" s="170">
        <v>2026</v>
      </c>
      <c r="M125" s="171">
        <v>45960</v>
      </c>
      <c r="N125" s="169" t="s">
        <v>36</v>
      </c>
      <c r="O125" s="169">
        <v>58</v>
      </c>
      <c r="P125" s="169">
        <v>428</v>
      </c>
      <c r="Q125" s="169" t="s">
        <v>1463</v>
      </c>
      <c r="R125" s="169">
        <v>2</v>
      </c>
      <c r="S125" s="169">
        <v>2</v>
      </c>
      <c r="T125" s="169" t="s">
        <v>1464</v>
      </c>
      <c r="U125" s="169">
        <v>1</v>
      </c>
      <c r="V125" s="170">
        <v>2680063</v>
      </c>
      <c r="W125" s="170">
        <v>0</v>
      </c>
      <c r="X125" s="170" t="s">
        <v>1406</v>
      </c>
      <c r="Y125" s="169"/>
      <c r="Z125" s="169" t="s">
        <v>32</v>
      </c>
      <c r="AA125" s="171">
        <v>45986</v>
      </c>
      <c r="AB125" s="169">
        <v>26</v>
      </c>
      <c r="AC125" s="169">
        <v>80063</v>
      </c>
      <c r="AD125" s="169">
        <v>57</v>
      </c>
      <c r="AE125" s="169" t="s">
        <v>1551</v>
      </c>
      <c r="AF125" s="169">
        <v>57</v>
      </c>
      <c r="AG125" s="169" t="s">
        <v>1552</v>
      </c>
      <c r="AH125" s="169" t="s">
        <v>36</v>
      </c>
      <c r="AI125" s="169">
        <v>58</v>
      </c>
      <c r="AJ125" s="169">
        <v>428</v>
      </c>
      <c r="AK125" s="169" t="s">
        <v>1473</v>
      </c>
      <c r="AL125" s="169">
        <v>28037</v>
      </c>
      <c r="AM125" s="169" t="s">
        <v>1418</v>
      </c>
      <c r="AN125" s="169" t="s">
        <v>3013</v>
      </c>
      <c r="AO125" s="169">
        <v>28</v>
      </c>
      <c r="AP125" s="169" t="s">
        <v>1416</v>
      </c>
      <c r="AQ125" s="169">
        <v>0</v>
      </c>
      <c r="AR125" s="169" t="s">
        <v>1410</v>
      </c>
      <c r="AS125" s="169"/>
      <c r="AT125" s="169" t="s">
        <v>1417</v>
      </c>
      <c r="AU125" s="169" t="s">
        <v>1412</v>
      </c>
    </row>
    <row r="126" spans="1:47" x14ac:dyDescent="0.45">
      <c r="A126" s="169">
        <v>2605750023</v>
      </c>
      <c r="B126" s="169">
        <v>57</v>
      </c>
      <c r="C126" s="169" t="s">
        <v>1551</v>
      </c>
      <c r="D126" s="169">
        <v>57</v>
      </c>
      <c r="E126" s="169" t="s">
        <v>1552</v>
      </c>
      <c r="F126" s="169" t="s">
        <v>3921</v>
      </c>
      <c r="G126" s="169" t="s">
        <v>3922</v>
      </c>
      <c r="H126" s="169">
        <v>1</v>
      </c>
      <c r="I126" s="169" t="s">
        <v>1670</v>
      </c>
      <c r="J126" s="169" t="s">
        <v>1403</v>
      </c>
      <c r="K126" s="169">
        <v>2026</v>
      </c>
      <c r="L126" s="170">
        <v>2026</v>
      </c>
      <c r="M126" s="171">
        <v>45938</v>
      </c>
      <c r="N126" s="169" t="s">
        <v>36</v>
      </c>
      <c r="O126" s="169">
        <v>57</v>
      </c>
      <c r="P126" s="169">
        <v>1044</v>
      </c>
      <c r="Q126" s="169" t="s">
        <v>1476</v>
      </c>
      <c r="R126" s="169">
        <v>2</v>
      </c>
      <c r="S126" s="169">
        <v>3</v>
      </c>
      <c r="T126" s="169" t="s">
        <v>1477</v>
      </c>
      <c r="U126" s="169">
        <v>4</v>
      </c>
      <c r="V126" s="170">
        <v>2680031</v>
      </c>
      <c r="W126" s="170">
        <v>0</v>
      </c>
      <c r="X126" s="170" t="s">
        <v>1406</v>
      </c>
      <c r="Y126" s="169"/>
      <c r="Z126" s="169" t="s">
        <v>32</v>
      </c>
      <c r="AA126" s="171">
        <v>45954</v>
      </c>
      <c r="AB126" s="169">
        <v>26</v>
      </c>
      <c r="AC126" s="169">
        <v>80031</v>
      </c>
      <c r="AD126" s="169">
        <v>57</v>
      </c>
      <c r="AE126" s="169" t="s">
        <v>1551</v>
      </c>
      <c r="AF126" s="169">
        <v>57</v>
      </c>
      <c r="AG126" s="169" t="s">
        <v>1552</v>
      </c>
      <c r="AH126" s="169" t="s">
        <v>36</v>
      </c>
      <c r="AI126" s="169">
        <v>57</v>
      </c>
      <c r="AJ126" s="169">
        <v>1044</v>
      </c>
      <c r="AK126" s="169" t="s">
        <v>1407</v>
      </c>
      <c r="AL126" s="169">
        <v>28030</v>
      </c>
      <c r="AM126" s="169" t="s">
        <v>1418</v>
      </c>
      <c r="AN126" s="169" t="s">
        <v>1566</v>
      </c>
      <c r="AO126" s="169">
        <v>28</v>
      </c>
      <c r="AP126" s="169" t="s">
        <v>1416</v>
      </c>
      <c r="AQ126" s="169">
        <v>0</v>
      </c>
      <c r="AR126" s="169" t="s">
        <v>1410</v>
      </c>
      <c r="AS126" s="169"/>
      <c r="AT126" s="169" t="s">
        <v>1417</v>
      </c>
      <c r="AU126" s="169" t="s">
        <v>1412</v>
      </c>
    </row>
    <row r="127" spans="1:47" x14ac:dyDescent="0.45">
      <c r="A127" s="169">
        <v>2605750024</v>
      </c>
      <c r="B127" s="169">
        <v>57</v>
      </c>
      <c r="C127" s="169" t="s">
        <v>1551</v>
      </c>
      <c r="D127" s="169">
        <v>57</v>
      </c>
      <c r="E127" s="169" t="s">
        <v>1552</v>
      </c>
      <c r="F127" s="169" t="s">
        <v>3923</v>
      </c>
      <c r="G127" s="169" t="s">
        <v>3924</v>
      </c>
      <c r="H127" s="169">
        <v>1</v>
      </c>
      <c r="I127" s="169" t="s">
        <v>3925</v>
      </c>
      <c r="J127" s="169" t="s">
        <v>1403</v>
      </c>
      <c r="K127" s="169">
        <v>2026</v>
      </c>
      <c r="L127" s="170">
        <v>2026</v>
      </c>
      <c r="M127" s="171">
        <v>45930</v>
      </c>
      <c r="N127" s="169" t="s">
        <v>36</v>
      </c>
      <c r="O127" s="169">
        <v>58</v>
      </c>
      <c r="P127" s="169">
        <v>428</v>
      </c>
      <c r="Q127" s="169" t="s">
        <v>1463</v>
      </c>
      <c r="R127" s="169">
        <v>2</v>
      </c>
      <c r="S127" s="169">
        <v>2</v>
      </c>
      <c r="T127" s="169" t="s">
        <v>1464</v>
      </c>
      <c r="U127" s="169">
        <v>1</v>
      </c>
      <c r="V127" s="170">
        <v>2680072</v>
      </c>
      <c r="W127" s="170">
        <v>0</v>
      </c>
      <c r="X127" s="170" t="s">
        <v>1406</v>
      </c>
      <c r="Y127" s="169"/>
      <c r="Z127" s="169" t="s">
        <v>32</v>
      </c>
      <c r="AA127" s="171">
        <v>45996</v>
      </c>
      <c r="AB127" s="169">
        <v>26</v>
      </c>
      <c r="AC127" s="169">
        <v>80072</v>
      </c>
      <c r="AD127" s="169">
        <v>57</v>
      </c>
      <c r="AE127" s="169" t="s">
        <v>1551</v>
      </c>
      <c r="AF127" s="169">
        <v>57</v>
      </c>
      <c r="AG127" s="169" t="s">
        <v>1552</v>
      </c>
      <c r="AH127" s="169" t="s">
        <v>36</v>
      </c>
      <c r="AI127" s="169">
        <v>58</v>
      </c>
      <c r="AJ127" s="169">
        <v>428</v>
      </c>
      <c r="AK127" s="169" t="s">
        <v>1407</v>
      </c>
      <c r="AL127" s="169">
        <v>28127</v>
      </c>
      <c r="AM127" s="169" t="s">
        <v>1418</v>
      </c>
      <c r="AN127" s="169" t="s">
        <v>1539</v>
      </c>
      <c r="AO127" s="169">
        <v>28</v>
      </c>
      <c r="AP127" s="169" t="s">
        <v>1416</v>
      </c>
      <c r="AQ127" s="169">
        <v>0</v>
      </c>
      <c r="AR127" s="169" t="s">
        <v>1410</v>
      </c>
      <c r="AS127" s="169"/>
      <c r="AT127" s="169" t="s">
        <v>1417</v>
      </c>
      <c r="AU127" s="169" t="s">
        <v>1412</v>
      </c>
    </row>
    <row r="128" spans="1:47" x14ac:dyDescent="0.45">
      <c r="A128" s="169">
        <v>2605750025</v>
      </c>
      <c r="B128" s="169">
        <v>57</v>
      </c>
      <c r="C128" s="169" t="s">
        <v>1551</v>
      </c>
      <c r="D128" s="169">
        <v>57</v>
      </c>
      <c r="E128" s="169" t="s">
        <v>1552</v>
      </c>
      <c r="F128" s="169" t="s">
        <v>3926</v>
      </c>
      <c r="G128" s="169" t="s">
        <v>3927</v>
      </c>
      <c r="H128" s="169">
        <v>1</v>
      </c>
      <c r="I128" s="169" t="s">
        <v>1952</v>
      </c>
      <c r="J128" s="169" t="s">
        <v>1403</v>
      </c>
      <c r="K128" s="169">
        <v>2026</v>
      </c>
      <c r="L128" s="170">
        <v>2026</v>
      </c>
      <c r="M128" s="171">
        <v>45905</v>
      </c>
      <c r="N128" s="169" t="s">
        <v>36</v>
      </c>
      <c r="O128" s="169">
        <v>58</v>
      </c>
      <c r="P128" s="169">
        <v>428</v>
      </c>
      <c r="Q128" s="169" t="s">
        <v>1463</v>
      </c>
      <c r="R128" s="169">
        <v>2</v>
      </c>
      <c r="S128" s="169">
        <v>2</v>
      </c>
      <c r="T128" s="169" t="s">
        <v>1464</v>
      </c>
      <c r="U128" s="169">
        <v>1</v>
      </c>
      <c r="V128" s="170">
        <v>2680041</v>
      </c>
      <c r="W128" s="170">
        <v>0</v>
      </c>
      <c r="X128" s="170" t="s">
        <v>1406</v>
      </c>
      <c r="Y128" s="169"/>
      <c r="Z128" s="169" t="s">
        <v>32</v>
      </c>
      <c r="AA128" s="171">
        <v>45971</v>
      </c>
      <c r="AB128" s="169">
        <v>26</v>
      </c>
      <c r="AC128" s="169">
        <v>80041</v>
      </c>
      <c r="AD128" s="169">
        <v>57</v>
      </c>
      <c r="AE128" s="169" t="s">
        <v>1551</v>
      </c>
      <c r="AF128" s="169">
        <v>57</v>
      </c>
      <c r="AG128" s="169" t="s">
        <v>1552</v>
      </c>
      <c r="AH128" s="169" t="s">
        <v>36</v>
      </c>
      <c r="AI128" s="169">
        <v>58</v>
      </c>
      <c r="AJ128" s="169">
        <v>428</v>
      </c>
      <c r="AK128" s="169" t="s">
        <v>1407</v>
      </c>
      <c r="AL128" s="169">
        <v>28032</v>
      </c>
      <c r="AM128" s="169" t="s">
        <v>1421</v>
      </c>
      <c r="AN128" s="169" t="s">
        <v>1545</v>
      </c>
      <c r="AO128" s="169">
        <v>28</v>
      </c>
      <c r="AP128" s="169" t="s">
        <v>1416</v>
      </c>
      <c r="AQ128" s="169">
        <v>0</v>
      </c>
      <c r="AR128" s="169" t="s">
        <v>1410</v>
      </c>
      <c r="AS128" s="169"/>
      <c r="AT128" s="169" t="s">
        <v>1417</v>
      </c>
      <c r="AU128" s="169" t="s">
        <v>1412</v>
      </c>
    </row>
    <row r="129" spans="1:47" x14ac:dyDescent="0.45">
      <c r="A129" s="169">
        <v>2605750026</v>
      </c>
      <c r="B129" s="169">
        <v>57</v>
      </c>
      <c r="C129" s="169" t="s">
        <v>1551</v>
      </c>
      <c r="D129" s="169">
        <v>57</v>
      </c>
      <c r="E129" s="169" t="s">
        <v>1552</v>
      </c>
      <c r="F129" s="169" t="s">
        <v>3928</v>
      </c>
      <c r="G129" s="169" t="s">
        <v>3929</v>
      </c>
      <c r="H129" s="169">
        <v>1</v>
      </c>
      <c r="I129" s="169" t="s">
        <v>154</v>
      </c>
      <c r="J129" s="169" t="s">
        <v>1403</v>
      </c>
      <c r="K129" s="169">
        <v>2026</v>
      </c>
      <c r="L129" s="170">
        <v>2026</v>
      </c>
      <c r="M129" s="171">
        <v>45943</v>
      </c>
      <c r="N129" s="169" t="s">
        <v>36</v>
      </c>
      <c r="O129" s="169">
        <v>58</v>
      </c>
      <c r="P129" s="169">
        <v>968</v>
      </c>
      <c r="Q129" s="169" t="s">
        <v>1474</v>
      </c>
      <c r="R129" s="169">
        <v>2</v>
      </c>
      <c r="S129" s="169">
        <v>2</v>
      </c>
      <c r="T129" s="169" t="s">
        <v>1464</v>
      </c>
      <c r="U129" s="169">
        <v>1</v>
      </c>
      <c r="V129" s="170">
        <v>2680108</v>
      </c>
      <c r="W129" s="170">
        <v>0</v>
      </c>
      <c r="X129" s="170" t="s">
        <v>1406</v>
      </c>
      <c r="Y129" s="169"/>
      <c r="Z129" s="169" t="s">
        <v>32</v>
      </c>
      <c r="AA129" s="171">
        <v>46027</v>
      </c>
      <c r="AB129" s="169">
        <v>26</v>
      </c>
      <c r="AC129" s="169">
        <v>80108</v>
      </c>
      <c r="AD129" s="169">
        <v>57</v>
      </c>
      <c r="AE129" s="169" t="s">
        <v>1551</v>
      </c>
      <c r="AF129" s="169">
        <v>57</v>
      </c>
      <c r="AG129" s="169" t="s">
        <v>1552</v>
      </c>
      <c r="AH129" s="169" t="s">
        <v>36</v>
      </c>
      <c r="AI129" s="169">
        <v>58</v>
      </c>
      <c r="AJ129" s="169">
        <v>968</v>
      </c>
      <c r="AK129" s="169" t="s">
        <v>1407</v>
      </c>
      <c r="AL129" s="169">
        <v>28029</v>
      </c>
      <c r="AM129" s="169" t="s">
        <v>1421</v>
      </c>
      <c r="AN129" s="169" t="s">
        <v>1441</v>
      </c>
      <c r="AO129" s="169">
        <v>28</v>
      </c>
      <c r="AP129" s="169" t="s">
        <v>1416</v>
      </c>
      <c r="AQ129" s="169">
        <v>0</v>
      </c>
      <c r="AR129" s="169" t="s">
        <v>1410</v>
      </c>
      <c r="AS129" s="169"/>
      <c r="AT129" s="169" t="s">
        <v>1417</v>
      </c>
      <c r="AU129" s="169" t="s">
        <v>1412</v>
      </c>
    </row>
    <row r="130" spans="1:47" x14ac:dyDescent="0.45">
      <c r="A130" s="169">
        <v>2605750027</v>
      </c>
      <c r="B130" s="169">
        <v>57</v>
      </c>
      <c r="C130" s="169" t="s">
        <v>1551</v>
      </c>
      <c r="D130" s="169">
        <v>57</v>
      </c>
      <c r="E130" s="169" t="s">
        <v>1552</v>
      </c>
      <c r="F130" s="169" t="s">
        <v>3930</v>
      </c>
      <c r="G130" s="169" t="s">
        <v>3931</v>
      </c>
      <c r="H130" s="169">
        <v>2</v>
      </c>
      <c r="I130" s="169" t="s">
        <v>1677</v>
      </c>
      <c r="J130" s="169" t="s">
        <v>1403</v>
      </c>
      <c r="K130" s="169">
        <v>2026</v>
      </c>
      <c r="L130" s="170">
        <v>2026</v>
      </c>
      <c r="M130" s="171">
        <v>45928</v>
      </c>
      <c r="N130" s="169" t="s">
        <v>36</v>
      </c>
      <c r="O130" s="169">
        <v>58</v>
      </c>
      <c r="P130" s="169">
        <v>968</v>
      </c>
      <c r="Q130" s="169" t="s">
        <v>1474</v>
      </c>
      <c r="R130" s="169">
        <v>2</v>
      </c>
      <c r="S130" s="169">
        <v>2</v>
      </c>
      <c r="T130" s="169" t="s">
        <v>1464</v>
      </c>
      <c r="U130" s="169">
        <v>1</v>
      </c>
      <c r="V130" s="170">
        <v>2680021</v>
      </c>
      <c r="W130" s="170">
        <v>0</v>
      </c>
      <c r="X130" s="170" t="s">
        <v>1406</v>
      </c>
      <c r="Y130" s="169"/>
      <c r="Z130" s="169" t="s">
        <v>32</v>
      </c>
      <c r="AA130" s="171">
        <v>45946</v>
      </c>
      <c r="AB130" s="169">
        <v>26</v>
      </c>
      <c r="AC130" s="169">
        <v>80021</v>
      </c>
      <c r="AD130" s="169">
        <v>57</v>
      </c>
      <c r="AE130" s="169" t="s">
        <v>1551</v>
      </c>
      <c r="AF130" s="169">
        <v>57</v>
      </c>
      <c r="AG130" s="169" t="s">
        <v>1552</v>
      </c>
      <c r="AH130" s="169" t="s">
        <v>36</v>
      </c>
      <c r="AI130" s="169">
        <v>58</v>
      </c>
      <c r="AJ130" s="169">
        <v>968</v>
      </c>
      <c r="AK130" s="169" t="s">
        <v>1407</v>
      </c>
      <c r="AL130" s="169">
        <v>28117</v>
      </c>
      <c r="AM130" s="169" t="s">
        <v>1418</v>
      </c>
      <c r="AN130" s="169" t="s">
        <v>1576</v>
      </c>
      <c r="AO130" s="169">
        <v>28</v>
      </c>
      <c r="AP130" s="169" t="s">
        <v>1416</v>
      </c>
      <c r="AQ130" s="169">
        <v>0</v>
      </c>
      <c r="AR130" s="169" t="s">
        <v>1410</v>
      </c>
      <c r="AS130" s="169"/>
      <c r="AT130" s="169" t="s">
        <v>1417</v>
      </c>
      <c r="AU130" s="169" t="s">
        <v>1412</v>
      </c>
    </row>
    <row r="131" spans="1:47" x14ac:dyDescent="0.45">
      <c r="A131" s="169">
        <v>2605750028</v>
      </c>
      <c r="B131" s="169">
        <v>57</v>
      </c>
      <c r="C131" s="169" t="s">
        <v>1551</v>
      </c>
      <c r="D131" s="169">
        <v>57</v>
      </c>
      <c r="E131" s="169" t="s">
        <v>1552</v>
      </c>
      <c r="F131" s="169" t="s">
        <v>3932</v>
      </c>
      <c r="G131" s="169" t="s">
        <v>3933</v>
      </c>
      <c r="H131" s="169">
        <v>2</v>
      </c>
      <c r="I131" s="169" t="s">
        <v>3934</v>
      </c>
      <c r="J131" s="169" t="s">
        <v>1403</v>
      </c>
      <c r="K131" s="169">
        <v>2026</v>
      </c>
      <c r="L131" s="170">
        <v>2026</v>
      </c>
      <c r="M131" s="171">
        <v>45928</v>
      </c>
      <c r="N131" s="169" t="s">
        <v>36</v>
      </c>
      <c r="O131" s="169" t="s">
        <v>135</v>
      </c>
      <c r="P131" s="169">
        <v>502</v>
      </c>
      <c r="Q131" s="169" t="s">
        <v>1500</v>
      </c>
      <c r="R131" s="169">
        <v>2</v>
      </c>
      <c r="S131" s="169">
        <v>5</v>
      </c>
      <c r="T131" s="169" t="s">
        <v>1470</v>
      </c>
      <c r="U131" s="169">
        <v>15</v>
      </c>
      <c r="V131" s="170">
        <v>2680077</v>
      </c>
      <c r="W131" s="170">
        <v>166</v>
      </c>
      <c r="X131" s="170" t="s">
        <v>1501</v>
      </c>
      <c r="Y131" s="169"/>
      <c r="Z131" s="169" t="s">
        <v>32</v>
      </c>
      <c r="AA131" s="171">
        <v>46006</v>
      </c>
      <c r="AB131" s="169">
        <v>26</v>
      </c>
      <c r="AC131" s="169">
        <v>80077</v>
      </c>
      <c r="AD131" s="169">
        <v>57</v>
      </c>
      <c r="AE131" s="169" t="s">
        <v>1551</v>
      </c>
      <c r="AF131" s="169">
        <v>57</v>
      </c>
      <c r="AG131" s="169" t="s">
        <v>1552</v>
      </c>
      <c r="AH131" s="169" t="s">
        <v>36</v>
      </c>
      <c r="AI131" s="169" t="s">
        <v>135</v>
      </c>
      <c r="AJ131" s="169">
        <v>502</v>
      </c>
      <c r="AK131" s="169" t="s">
        <v>1407</v>
      </c>
      <c r="AL131" s="169">
        <v>28261</v>
      </c>
      <c r="AM131" s="169" t="s">
        <v>1414</v>
      </c>
      <c r="AN131" s="169" t="s">
        <v>1586</v>
      </c>
      <c r="AO131" s="169">
        <v>28</v>
      </c>
      <c r="AP131" s="169" t="s">
        <v>1416</v>
      </c>
      <c r="AQ131" s="169">
        <v>0</v>
      </c>
      <c r="AR131" s="169" t="s">
        <v>1410</v>
      </c>
      <c r="AS131" s="169"/>
      <c r="AT131" s="169" t="s">
        <v>1417</v>
      </c>
      <c r="AU131" s="169" t="s">
        <v>1412</v>
      </c>
    </row>
    <row r="132" spans="1:47" x14ac:dyDescent="0.45">
      <c r="A132" s="169">
        <v>2605750029</v>
      </c>
      <c r="B132" s="169">
        <v>57</v>
      </c>
      <c r="C132" s="169" t="s">
        <v>1551</v>
      </c>
      <c r="D132" s="169">
        <v>57</v>
      </c>
      <c r="E132" s="169" t="s">
        <v>1552</v>
      </c>
      <c r="F132" s="169" t="s">
        <v>3935</v>
      </c>
      <c r="G132" s="169" t="s">
        <v>3936</v>
      </c>
      <c r="H132" s="169">
        <v>1</v>
      </c>
      <c r="I132" s="169" t="s">
        <v>3937</v>
      </c>
      <c r="J132" s="169" t="s">
        <v>1629</v>
      </c>
      <c r="K132" s="169">
        <v>2026</v>
      </c>
      <c r="L132" s="170">
        <v>2026</v>
      </c>
      <c r="M132" s="171">
        <v>45928</v>
      </c>
      <c r="N132" s="169" t="s">
        <v>36</v>
      </c>
      <c r="O132" s="169">
        <v>6</v>
      </c>
      <c r="P132" s="169">
        <v>488</v>
      </c>
      <c r="Q132" s="169" t="s">
        <v>1553</v>
      </c>
      <c r="R132" s="169">
        <v>2</v>
      </c>
      <c r="S132" s="169">
        <v>1</v>
      </c>
      <c r="T132" s="169" t="s">
        <v>1527</v>
      </c>
      <c r="U132" s="169">
        <v>3</v>
      </c>
      <c r="V132" s="170">
        <v>2680105</v>
      </c>
      <c r="W132" s="170">
        <v>0</v>
      </c>
      <c r="X132" s="170" t="s">
        <v>1406</v>
      </c>
      <c r="Y132" s="169"/>
      <c r="Z132" s="169" t="s">
        <v>32</v>
      </c>
      <c r="AA132" s="171">
        <v>46015</v>
      </c>
      <c r="AB132" s="169">
        <v>26</v>
      </c>
      <c r="AC132" s="169">
        <v>80105</v>
      </c>
      <c r="AD132" s="169">
        <v>57</v>
      </c>
      <c r="AE132" s="169" t="s">
        <v>1551</v>
      </c>
      <c r="AF132" s="169">
        <v>57</v>
      </c>
      <c r="AG132" s="169" t="s">
        <v>1552</v>
      </c>
      <c r="AH132" s="169" t="s">
        <v>36</v>
      </c>
      <c r="AI132" s="169">
        <v>6</v>
      </c>
      <c r="AJ132" s="169">
        <v>488</v>
      </c>
      <c r="AK132" s="169" t="s">
        <v>1407</v>
      </c>
      <c r="AL132" s="169">
        <v>39007</v>
      </c>
      <c r="AM132" s="169" t="s">
        <v>1421</v>
      </c>
      <c r="AN132" s="169" t="s">
        <v>3938</v>
      </c>
      <c r="AO132" s="169">
        <v>39</v>
      </c>
      <c r="AP132" s="169" t="s">
        <v>1631</v>
      </c>
      <c r="AQ132" s="169">
        <v>0</v>
      </c>
      <c r="AR132" s="169" t="s">
        <v>1410</v>
      </c>
      <c r="AS132" s="169"/>
      <c r="AT132" s="169" t="s">
        <v>1417</v>
      </c>
      <c r="AU132" s="169" t="s">
        <v>1412</v>
      </c>
    </row>
    <row r="133" spans="1:47" x14ac:dyDescent="0.45">
      <c r="A133" s="169">
        <v>2605750030</v>
      </c>
      <c r="B133" s="169">
        <v>57</v>
      </c>
      <c r="C133" s="169" t="s">
        <v>1551</v>
      </c>
      <c r="D133" s="169">
        <v>57</v>
      </c>
      <c r="E133" s="169" t="s">
        <v>1552</v>
      </c>
      <c r="F133" s="169" t="s">
        <v>3939</v>
      </c>
      <c r="G133" s="169" t="s">
        <v>3940</v>
      </c>
      <c r="H133" s="169">
        <v>1</v>
      </c>
      <c r="I133" s="169" t="s">
        <v>1968</v>
      </c>
      <c r="J133" s="169" t="s">
        <v>1403</v>
      </c>
      <c r="K133" s="169">
        <v>2026</v>
      </c>
      <c r="L133" s="170">
        <v>2026</v>
      </c>
      <c r="M133" s="171">
        <v>45937</v>
      </c>
      <c r="N133" s="169" t="s">
        <v>36</v>
      </c>
      <c r="O133" s="169" t="s">
        <v>135</v>
      </c>
      <c r="P133" s="169">
        <v>502</v>
      </c>
      <c r="Q133" s="169" t="s">
        <v>1500</v>
      </c>
      <c r="R133" s="169">
        <v>2</v>
      </c>
      <c r="S133" s="169">
        <v>5</v>
      </c>
      <c r="T133" s="169" t="s">
        <v>1470</v>
      </c>
      <c r="U133" s="169">
        <v>15</v>
      </c>
      <c r="V133" s="170">
        <v>2680029</v>
      </c>
      <c r="W133" s="170">
        <v>0</v>
      </c>
      <c r="X133" s="170" t="s">
        <v>1406</v>
      </c>
      <c r="Y133" s="169"/>
      <c r="Z133" s="169" t="s">
        <v>32</v>
      </c>
      <c r="AA133" s="171">
        <v>45953</v>
      </c>
      <c r="AB133" s="169">
        <v>26</v>
      </c>
      <c r="AC133" s="169">
        <v>80029</v>
      </c>
      <c r="AD133" s="169">
        <v>57</v>
      </c>
      <c r="AE133" s="169" t="s">
        <v>1551</v>
      </c>
      <c r="AF133" s="169">
        <v>57</v>
      </c>
      <c r="AG133" s="169" t="s">
        <v>1552</v>
      </c>
      <c r="AH133" s="169" t="s">
        <v>36</v>
      </c>
      <c r="AI133" s="169" t="s">
        <v>135</v>
      </c>
      <c r="AJ133" s="169">
        <v>502</v>
      </c>
      <c r="AK133" s="169" t="s">
        <v>1407</v>
      </c>
      <c r="AL133" s="169">
        <v>28182</v>
      </c>
      <c r="AM133" s="169" t="s">
        <v>1418</v>
      </c>
      <c r="AN133" s="169" t="s">
        <v>2872</v>
      </c>
      <c r="AO133" s="169">
        <v>28</v>
      </c>
      <c r="AP133" s="169" t="s">
        <v>1416</v>
      </c>
      <c r="AQ133" s="169">
        <v>0</v>
      </c>
      <c r="AR133" s="169" t="s">
        <v>1410</v>
      </c>
      <c r="AS133" s="169"/>
      <c r="AT133" s="169" t="s">
        <v>1417</v>
      </c>
      <c r="AU133" s="169" t="s">
        <v>1412</v>
      </c>
    </row>
    <row r="134" spans="1:47" x14ac:dyDescent="0.45">
      <c r="A134" s="169">
        <v>2605750031</v>
      </c>
      <c r="B134" s="169">
        <v>57</v>
      </c>
      <c r="C134" s="169" t="s">
        <v>1551</v>
      </c>
      <c r="D134" s="169">
        <v>57</v>
      </c>
      <c r="E134" s="169" t="s">
        <v>1552</v>
      </c>
      <c r="F134" s="169" t="s">
        <v>3941</v>
      </c>
      <c r="G134" s="169" t="s">
        <v>3942</v>
      </c>
      <c r="H134" s="169">
        <v>1</v>
      </c>
      <c r="I134" s="169" t="s">
        <v>2577</v>
      </c>
      <c r="J134" s="169" t="s">
        <v>1403</v>
      </c>
      <c r="K134" s="169">
        <v>2026</v>
      </c>
      <c r="L134" s="170">
        <v>2026</v>
      </c>
      <c r="M134" s="171">
        <v>45932</v>
      </c>
      <c r="N134" s="169" t="s">
        <v>36</v>
      </c>
      <c r="O134" s="169">
        <v>7</v>
      </c>
      <c r="P134" s="169">
        <v>266</v>
      </c>
      <c r="Q134" s="169" t="s">
        <v>1526</v>
      </c>
      <c r="R134" s="169">
        <v>2</v>
      </c>
      <c r="S134" s="169">
        <v>1</v>
      </c>
      <c r="T134" s="169" t="s">
        <v>1527</v>
      </c>
      <c r="U134" s="169">
        <v>3</v>
      </c>
      <c r="V134" s="170">
        <v>2680020</v>
      </c>
      <c r="W134" s="170">
        <v>0</v>
      </c>
      <c r="X134" s="170" t="s">
        <v>1406</v>
      </c>
      <c r="Y134" s="169"/>
      <c r="Z134" s="169" t="s">
        <v>32</v>
      </c>
      <c r="AA134" s="171">
        <v>45946</v>
      </c>
      <c r="AB134" s="169">
        <v>26</v>
      </c>
      <c r="AC134" s="169">
        <v>80020</v>
      </c>
      <c r="AD134" s="169">
        <v>57</v>
      </c>
      <c r="AE134" s="169" t="s">
        <v>1551</v>
      </c>
      <c r="AF134" s="169">
        <v>57</v>
      </c>
      <c r="AG134" s="169" t="s">
        <v>1552</v>
      </c>
      <c r="AH134" s="169" t="s">
        <v>36</v>
      </c>
      <c r="AI134" s="169">
        <v>7</v>
      </c>
      <c r="AJ134" s="169">
        <v>266</v>
      </c>
      <c r="AK134" s="169" t="s">
        <v>1407</v>
      </c>
      <c r="AL134" s="169">
        <v>28971</v>
      </c>
      <c r="AM134" s="169" t="s">
        <v>1421</v>
      </c>
      <c r="AN134" s="169" t="s">
        <v>3943</v>
      </c>
      <c r="AO134" s="169">
        <v>28</v>
      </c>
      <c r="AP134" s="169" t="s">
        <v>1416</v>
      </c>
      <c r="AQ134" s="169">
        <v>0</v>
      </c>
      <c r="AR134" s="169" t="s">
        <v>1410</v>
      </c>
      <c r="AS134" s="169"/>
      <c r="AT134" s="169" t="s">
        <v>1417</v>
      </c>
      <c r="AU134" s="169" t="s">
        <v>1412</v>
      </c>
    </row>
    <row r="135" spans="1:47" x14ac:dyDescent="0.45">
      <c r="A135" s="169">
        <v>2605750032</v>
      </c>
      <c r="B135" s="169">
        <v>57</v>
      </c>
      <c r="C135" s="169" t="s">
        <v>1551</v>
      </c>
      <c r="D135" s="169">
        <v>57</v>
      </c>
      <c r="E135" s="169" t="s">
        <v>1552</v>
      </c>
      <c r="F135" s="169" t="s">
        <v>3944</v>
      </c>
      <c r="G135" s="169" t="s">
        <v>3945</v>
      </c>
      <c r="H135" s="169">
        <v>1</v>
      </c>
      <c r="I135" s="169" t="s">
        <v>3946</v>
      </c>
      <c r="J135" s="169" t="s">
        <v>1561</v>
      </c>
      <c r="K135" s="169">
        <v>2026</v>
      </c>
      <c r="L135" s="170">
        <v>2026</v>
      </c>
      <c r="M135" s="171">
        <v>45955</v>
      </c>
      <c r="N135" s="169" t="s">
        <v>36</v>
      </c>
      <c r="O135" s="169" t="s">
        <v>135</v>
      </c>
      <c r="P135" s="169">
        <v>502</v>
      </c>
      <c r="Q135" s="169" t="s">
        <v>1500</v>
      </c>
      <c r="R135" s="169">
        <v>2</v>
      </c>
      <c r="S135" s="169">
        <v>5</v>
      </c>
      <c r="T135" s="169" t="s">
        <v>1470</v>
      </c>
      <c r="U135" s="169">
        <v>15</v>
      </c>
      <c r="V135" s="170">
        <v>2680106</v>
      </c>
      <c r="W135" s="170">
        <v>0</v>
      </c>
      <c r="X135" s="170" t="s">
        <v>1406</v>
      </c>
      <c r="Y135" s="169"/>
      <c r="Z135" s="169" t="s">
        <v>32</v>
      </c>
      <c r="AA135" s="171">
        <v>46015</v>
      </c>
      <c r="AB135" s="169">
        <v>26</v>
      </c>
      <c r="AC135" s="169">
        <v>80106</v>
      </c>
      <c r="AD135" s="169">
        <v>57</v>
      </c>
      <c r="AE135" s="169" t="s">
        <v>1551</v>
      </c>
      <c r="AF135" s="169">
        <v>57</v>
      </c>
      <c r="AG135" s="169" t="s">
        <v>1552</v>
      </c>
      <c r="AH135" s="169" t="s">
        <v>36</v>
      </c>
      <c r="AI135" s="169" t="s">
        <v>135</v>
      </c>
      <c r="AJ135" s="169">
        <v>502</v>
      </c>
      <c r="AK135" s="169" t="s">
        <v>1407</v>
      </c>
      <c r="AL135" s="169">
        <v>24090</v>
      </c>
      <c r="AM135" s="169" t="s">
        <v>1421</v>
      </c>
      <c r="AN135" s="169" t="s">
        <v>3947</v>
      </c>
      <c r="AO135" s="169">
        <v>24</v>
      </c>
      <c r="AP135" s="169" t="s">
        <v>3948</v>
      </c>
      <c r="AQ135" s="169">
        <v>0</v>
      </c>
      <c r="AR135" s="169" t="s">
        <v>1410</v>
      </c>
      <c r="AS135" s="169"/>
      <c r="AT135" s="169" t="s">
        <v>1417</v>
      </c>
      <c r="AU135" s="169" t="s">
        <v>1412</v>
      </c>
    </row>
    <row r="136" spans="1:47" x14ac:dyDescent="0.45">
      <c r="A136" s="169">
        <v>2605750033</v>
      </c>
      <c r="B136" s="169">
        <v>57</v>
      </c>
      <c r="C136" s="169" t="s">
        <v>1551</v>
      </c>
      <c r="D136" s="169">
        <v>57</v>
      </c>
      <c r="E136" s="169" t="s">
        <v>1552</v>
      </c>
      <c r="F136" s="169" t="s">
        <v>3949</v>
      </c>
      <c r="G136" s="169" t="s">
        <v>3950</v>
      </c>
      <c r="H136" s="169">
        <v>2</v>
      </c>
      <c r="I136" s="169" t="s">
        <v>3951</v>
      </c>
      <c r="J136" s="169" t="s">
        <v>1403</v>
      </c>
      <c r="K136" s="169">
        <v>2026</v>
      </c>
      <c r="L136" s="170">
        <v>2026</v>
      </c>
      <c r="M136" s="171">
        <v>45904</v>
      </c>
      <c r="N136" s="169" t="s">
        <v>36</v>
      </c>
      <c r="O136" s="169" t="s">
        <v>94</v>
      </c>
      <c r="P136" s="169">
        <v>121</v>
      </c>
      <c r="Q136" s="169" t="s">
        <v>1502</v>
      </c>
      <c r="R136" s="169">
        <v>2</v>
      </c>
      <c r="S136" s="169">
        <v>8</v>
      </c>
      <c r="T136" s="169" t="s">
        <v>1503</v>
      </c>
      <c r="U136" s="169">
        <v>6</v>
      </c>
      <c r="V136" s="170">
        <v>2680004</v>
      </c>
      <c r="W136" s="170">
        <v>0</v>
      </c>
      <c r="X136" s="170" t="s">
        <v>1406</v>
      </c>
      <c r="Y136" s="169"/>
      <c r="Z136" s="169" t="s">
        <v>32</v>
      </c>
      <c r="AA136" s="171">
        <v>45929</v>
      </c>
      <c r="AB136" s="169">
        <v>26</v>
      </c>
      <c r="AC136" s="169">
        <v>80004</v>
      </c>
      <c r="AD136" s="169">
        <v>57</v>
      </c>
      <c r="AE136" s="169" t="s">
        <v>1551</v>
      </c>
      <c r="AF136" s="169">
        <v>57</v>
      </c>
      <c r="AG136" s="169" t="s">
        <v>1552</v>
      </c>
      <c r="AH136" s="169" t="s">
        <v>36</v>
      </c>
      <c r="AI136" s="169" t="s">
        <v>94</v>
      </c>
      <c r="AJ136" s="169">
        <v>121</v>
      </c>
      <c r="AK136" s="169" t="s">
        <v>1407</v>
      </c>
      <c r="AL136" s="169">
        <v>28230</v>
      </c>
      <c r="AM136" s="169" t="s">
        <v>1418</v>
      </c>
      <c r="AN136" s="169" t="s">
        <v>2794</v>
      </c>
      <c r="AO136" s="169">
        <v>28</v>
      </c>
      <c r="AP136" s="169" t="s">
        <v>1416</v>
      </c>
      <c r="AQ136" s="169">
        <v>0</v>
      </c>
      <c r="AR136" s="169" t="s">
        <v>1410</v>
      </c>
      <c r="AS136" s="169"/>
      <c r="AT136" s="169" t="s">
        <v>1417</v>
      </c>
      <c r="AU136" s="169" t="s">
        <v>1412</v>
      </c>
    </row>
    <row r="137" spans="1:47" x14ac:dyDescent="0.45">
      <c r="A137" s="169">
        <v>2605750034</v>
      </c>
      <c r="B137" s="169">
        <v>57</v>
      </c>
      <c r="C137" s="169" t="s">
        <v>1551</v>
      </c>
      <c r="D137" s="169">
        <v>57</v>
      </c>
      <c r="E137" s="169" t="s">
        <v>1552</v>
      </c>
      <c r="F137" s="169" t="s">
        <v>3952</v>
      </c>
      <c r="G137" s="169" t="s">
        <v>3953</v>
      </c>
      <c r="H137" s="169">
        <v>2</v>
      </c>
      <c r="I137" s="169" t="s">
        <v>3954</v>
      </c>
      <c r="J137" s="169" t="s">
        <v>1403</v>
      </c>
      <c r="K137" s="169">
        <v>2026</v>
      </c>
      <c r="L137" s="170">
        <v>2026</v>
      </c>
      <c r="M137" s="171">
        <v>45928</v>
      </c>
      <c r="N137" s="169" t="s">
        <v>36</v>
      </c>
      <c r="O137" s="169" t="s">
        <v>94</v>
      </c>
      <c r="P137" s="169">
        <v>65</v>
      </c>
      <c r="Q137" s="169" t="s">
        <v>3133</v>
      </c>
      <c r="R137" s="169">
        <v>2</v>
      </c>
      <c r="S137" s="169">
        <v>8</v>
      </c>
      <c r="T137" s="169" t="s">
        <v>1503</v>
      </c>
      <c r="U137" s="169">
        <v>6</v>
      </c>
      <c r="V137" s="170">
        <v>2680052</v>
      </c>
      <c r="W137" s="170">
        <v>0</v>
      </c>
      <c r="X137" s="170" t="s">
        <v>1406</v>
      </c>
      <c r="Y137" s="169"/>
      <c r="Z137" s="169" t="s">
        <v>32</v>
      </c>
      <c r="AA137" s="171">
        <v>45979</v>
      </c>
      <c r="AB137" s="169">
        <v>26</v>
      </c>
      <c r="AC137" s="169">
        <v>80052</v>
      </c>
      <c r="AD137" s="169">
        <v>57</v>
      </c>
      <c r="AE137" s="169" t="s">
        <v>1551</v>
      </c>
      <c r="AF137" s="169">
        <v>57</v>
      </c>
      <c r="AG137" s="169" t="s">
        <v>1552</v>
      </c>
      <c r="AH137" s="169" t="s">
        <v>36</v>
      </c>
      <c r="AI137" s="169" t="s">
        <v>94</v>
      </c>
      <c r="AJ137" s="169">
        <v>65</v>
      </c>
      <c r="AK137" s="169" t="s">
        <v>1407</v>
      </c>
      <c r="AL137" s="169">
        <v>28147</v>
      </c>
      <c r="AM137" s="169" t="s">
        <v>1418</v>
      </c>
      <c r="AN137" s="169" t="s">
        <v>3955</v>
      </c>
      <c r="AO137" s="169">
        <v>28</v>
      </c>
      <c r="AP137" s="169" t="s">
        <v>1416</v>
      </c>
      <c r="AQ137" s="169">
        <v>0</v>
      </c>
      <c r="AR137" s="169" t="s">
        <v>1410</v>
      </c>
      <c r="AS137" s="169"/>
      <c r="AT137" s="169" t="s">
        <v>1417</v>
      </c>
      <c r="AU137" s="169" t="s">
        <v>1412</v>
      </c>
    </row>
    <row r="138" spans="1:47" x14ac:dyDescent="0.45">
      <c r="A138" s="169">
        <v>2605750035</v>
      </c>
      <c r="B138" s="169">
        <v>57</v>
      </c>
      <c r="C138" s="169" t="s">
        <v>1551</v>
      </c>
      <c r="D138" s="169">
        <v>57</v>
      </c>
      <c r="E138" s="169" t="s">
        <v>1552</v>
      </c>
      <c r="F138" s="169" t="s">
        <v>3956</v>
      </c>
      <c r="G138" s="169" t="s">
        <v>3957</v>
      </c>
      <c r="H138" s="169">
        <v>2</v>
      </c>
      <c r="I138" s="169" t="s">
        <v>678</v>
      </c>
      <c r="J138" s="169" t="s">
        <v>1403</v>
      </c>
      <c r="K138" s="169">
        <v>2026</v>
      </c>
      <c r="L138" s="170">
        <v>2026</v>
      </c>
      <c r="M138" s="171">
        <v>45938</v>
      </c>
      <c r="N138" s="169" t="s">
        <v>36</v>
      </c>
      <c r="O138" s="169">
        <v>58</v>
      </c>
      <c r="P138" s="169">
        <v>290</v>
      </c>
      <c r="Q138" s="169" t="s">
        <v>1496</v>
      </c>
      <c r="R138" s="169">
        <v>2</v>
      </c>
      <c r="S138" s="169">
        <v>2</v>
      </c>
      <c r="T138" s="169" t="s">
        <v>1464</v>
      </c>
      <c r="U138" s="169">
        <v>1</v>
      </c>
      <c r="V138" s="170">
        <v>2680028</v>
      </c>
      <c r="W138" s="170">
        <v>0</v>
      </c>
      <c r="X138" s="170" t="s">
        <v>1406</v>
      </c>
      <c r="Y138" s="169"/>
      <c r="Z138" s="169" t="s">
        <v>32</v>
      </c>
      <c r="AA138" s="171">
        <v>45952</v>
      </c>
      <c r="AB138" s="169">
        <v>26</v>
      </c>
      <c r="AC138" s="169">
        <v>80028</v>
      </c>
      <c r="AD138" s="169">
        <v>57</v>
      </c>
      <c r="AE138" s="169" t="s">
        <v>1551</v>
      </c>
      <c r="AF138" s="169">
        <v>57</v>
      </c>
      <c r="AG138" s="169" t="s">
        <v>1552</v>
      </c>
      <c r="AH138" s="169" t="s">
        <v>36</v>
      </c>
      <c r="AI138" s="169">
        <v>58</v>
      </c>
      <c r="AJ138" s="169">
        <v>290</v>
      </c>
      <c r="AK138" s="169" t="s">
        <v>1407</v>
      </c>
      <c r="AL138" s="169">
        <v>28198</v>
      </c>
      <c r="AM138" s="169" t="s">
        <v>1418</v>
      </c>
      <c r="AN138" s="169" t="s">
        <v>2808</v>
      </c>
      <c r="AO138" s="169">
        <v>28</v>
      </c>
      <c r="AP138" s="169" t="s">
        <v>1416</v>
      </c>
      <c r="AQ138" s="169">
        <v>0</v>
      </c>
      <c r="AR138" s="169" t="s">
        <v>1410</v>
      </c>
      <c r="AS138" s="169"/>
      <c r="AT138" s="169" t="s">
        <v>1417</v>
      </c>
      <c r="AU138" s="169" t="s">
        <v>1412</v>
      </c>
    </row>
    <row r="139" spans="1:47" x14ac:dyDescent="0.45">
      <c r="A139" s="169">
        <v>2605750036</v>
      </c>
      <c r="B139" s="169">
        <v>57</v>
      </c>
      <c r="C139" s="169" t="s">
        <v>1551</v>
      </c>
      <c r="D139" s="169">
        <v>57</v>
      </c>
      <c r="E139" s="169" t="s">
        <v>1552</v>
      </c>
      <c r="F139" s="169" t="s">
        <v>3958</v>
      </c>
      <c r="G139" s="169" t="s">
        <v>3959</v>
      </c>
      <c r="H139" s="169">
        <v>1</v>
      </c>
      <c r="I139" s="169" t="s">
        <v>3960</v>
      </c>
      <c r="J139" s="169" t="s">
        <v>1403</v>
      </c>
      <c r="K139" s="169">
        <v>2026</v>
      </c>
      <c r="L139" s="170">
        <v>2026</v>
      </c>
      <c r="M139" s="171">
        <v>45928</v>
      </c>
      <c r="N139" s="169" t="s">
        <v>36</v>
      </c>
      <c r="O139" s="169" t="s">
        <v>51</v>
      </c>
      <c r="P139" s="169">
        <v>427</v>
      </c>
      <c r="Q139" s="169" t="s">
        <v>1479</v>
      </c>
      <c r="R139" s="169">
        <v>1</v>
      </c>
      <c r="S139" s="169">
        <v>2</v>
      </c>
      <c r="T139" s="169" t="s">
        <v>1464</v>
      </c>
      <c r="U139" s="169">
        <v>1</v>
      </c>
      <c r="V139" s="170">
        <v>0</v>
      </c>
      <c r="W139" s="170">
        <v>0</v>
      </c>
      <c r="X139" s="170" t="s">
        <v>1406</v>
      </c>
      <c r="Y139" s="171">
        <v>46052</v>
      </c>
      <c r="Z139" s="169" t="s">
        <v>32</v>
      </c>
      <c r="AA139" s="169"/>
      <c r="AB139" s="169">
        <v>0</v>
      </c>
      <c r="AC139" s="169">
        <v>0</v>
      </c>
      <c r="AD139" s="169">
        <v>0</v>
      </c>
      <c r="AE139" s="169" t="s">
        <v>1446</v>
      </c>
      <c r="AF139" s="169"/>
      <c r="AG139" s="169" t="s">
        <v>1446</v>
      </c>
      <c r="AH139" s="169"/>
      <c r="AI139" s="169"/>
      <c r="AJ139" s="169">
        <v>0</v>
      </c>
      <c r="AK139" s="169" t="s">
        <v>1473</v>
      </c>
      <c r="AL139" s="169">
        <v>28027</v>
      </c>
      <c r="AM139" s="169" t="s">
        <v>1418</v>
      </c>
      <c r="AN139" s="169" t="s">
        <v>1624</v>
      </c>
      <c r="AO139" s="169">
        <v>28</v>
      </c>
      <c r="AP139" s="169" t="s">
        <v>1416</v>
      </c>
      <c r="AQ139" s="169">
        <v>0</v>
      </c>
      <c r="AR139" s="169" t="s">
        <v>1410</v>
      </c>
      <c r="AS139" s="169"/>
      <c r="AT139" s="169" t="s">
        <v>1417</v>
      </c>
      <c r="AU139" s="169" t="s">
        <v>1412</v>
      </c>
    </row>
    <row r="140" spans="1:47" x14ac:dyDescent="0.45">
      <c r="A140" s="169">
        <v>2605750037</v>
      </c>
      <c r="B140" s="169">
        <v>57</v>
      </c>
      <c r="C140" s="169" t="s">
        <v>1551</v>
      </c>
      <c r="D140" s="169">
        <v>57</v>
      </c>
      <c r="E140" s="169" t="s">
        <v>1552</v>
      </c>
      <c r="F140" s="169" t="s">
        <v>3961</v>
      </c>
      <c r="G140" s="169" t="s">
        <v>3962</v>
      </c>
      <c r="H140" s="169">
        <v>1</v>
      </c>
      <c r="I140" s="169" t="s">
        <v>1917</v>
      </c>
      <c r="J140" s="169" t="s">
        <v>1403</v>
      </c>
      <c r="K140" s="169">
        <v>2026</v>
      </c>
      <c r="L140" s="170">
        <v>2026</v>
      </c>
      <c r="M140" s="171">
        <v>45928</v>
      </c>
      <c r="N140" s="169" t="s">
        <v>36</v>
      </c>
      <c r="O140" s="169">
        <v>58</v>
      </c>
      <c r="P140" s="169">
        <v>428</v>
      </c>
      <c r="Q140" s="169" t="s">
        <v>1463</v>
      </c>
      <c r="R140" s="169">
        <v>2</v>
      </c>
      <c r="S140" s="169">
        <v>2</v>
      </c>
      <c r="T140" s="169" t="s">
        <v>1464</v>
      </c>
      <c r="U140" s="169">
        <v>1</v>
      </c>
      <c r="V140" s="170">
        <v>2680131</v>
      </c>
      <c r="W140" s="170">
        <v>0</v>
      </c>
      <c r="X140" s="170" t="s">
        <v>1406</v>
      </c>
      <c r="Y140" s="169"/>
      <c r="Z140" s="169" t="s">
        <v>32</v>
      </c>
      <c r="AA140" s="171">
        <v>46042</v>
      </c>
      <c r="AB140" s="169">
        <v>26</v>
      </c>
      <c r="AC140" s="169">
        <v>80131</v>
      </c>
      <c r="AD140" s="169">
        <v>57</v>
      </c>
      <c r="AE140" s="169" t="s">
        <v>1551</v>
      </c>
      <c r="AF140" s="169">
        <v>57</v>
      </c>
      <c r="AG140" s="169" t="s">
        <v>1552</v>
      </c>
      <c r="AH140" s="169" t="s">
        <v>36</v>
      </c>
      <c r="AI140" s="169">
        <v>58</v>
      </c>
      <c r="AJ140" s="169">
        <v>428</v>
      </c>
      <c r="AK140" s="169" t="s">
        <v>1407</v>
      </c>
      <c r="AL140" s="169">
        <v>28032</v>
      </c>
      <c r="AM140" s="169" t="s">
        <v>1421</v>
      </c>
      <c r="AN140" s="169" t="s">
        <v>1545</v>
      </c>
      <c r="AO140" s="169">
        <v>28</v>
      </c>
      <c r="AP140" s="169" t="s">
        <v>1416</v>
      </c>
      <c r="AQ140" s="169">
        <v>0</v>
      </c>
      <c r="AR140" s="169" t="s">
        <v>1410</v>
      </c>
      <c r="AS140" s="169"/>
      <c r="AT140" s="169" t="s">
        <v>1417</v>
      </c>
      <c r="AU140" s="169" t="s">
        <v>1412</v>
      </c>
    </row>
    <row r="141" spans="1:47" x14ac:dyDescent="0.45">
      <c r="A141" s="169">
        <v>2605750038</v>
      </c>
      <c r="B141" s="169">
        <v>57</v>
      </c>
      <c r="C141" s="169" t="s">
        <v>1551</v>
      </c>
      <c r="D141" s="169">
        <v>57</v>
      </c>
      <c r="E141" s="169" t="s">
        <v>1552</v>
      </c>
      <c r="F141" s="169" t="s">
        <v>3963</v>
      </c>
      <c r="G141" s="169" t="s">
        <v>3964</v>
      </c>
      <c r="H141" s="169">
        <v>2</v>
      </c>
      <c r="I141" s="169" t="s">
        <v>3965</v>
      </c>
      <c r="J141" s="169" t="s">
        <v>1403</v>
      </c>
      <c r="K141" s="169">
        <v>2026</v>
      </c>
      <c r="L141" s="170">
        <v>2026</v>
      </c>
      <c r="M141" s="171">
        <v>45906</v>
      </c>
      <c r="N141" s="169" t="s">
        <v>36</v>
      </c>
      <c r="O141" s="169">
        <v>58</v>
      </c>
      <c r="P141" s="169">
        <v>427</v>
      </c>
      <c r="Q141" s="169" t="s">
        <v>1479</v>
      </c>
      <c r="R141" s="169">
        <v>2</v>
      </c>
      <c r="S141" s="169">
        <v>2</v>
      </c>
      <c r="T141" s="169" t="s">
        <v>1464</v>
      </c>
      <c r="U141" s="169">
        <v>1</v>
      </c>
      <c r="V141" s="170">
        <v>2680014</v>
      </c>
      <c r="W141" s="170">
        <v>0</v>
      </c>
      <c r="X141" s="170" t="s">
        <v>1406</v>
      </c>
      <c r="Y141" s="169"/>
      <c r="Z141" s="169" t="s">
        <v>32</v>
      </c>
      <c r="AA141" s="171">
        <v>45944</v>
      </c>
      <c r="AB141" s="169">
        <v>26</v>
      </c>
      <c r="AC141" s="169">
        <v>80014</v>
      </c>
      <c r="AD141" s="169">
        <v>57</v>
      </c>
      <c r="AE141" s="169" t="s">
        <v>1551</v>
      </c>
      <c r="AF141" s="169">
        <v>57</v>
      </c>
      <c r="AG141" s="169" t="s">
        <v>1552</v>
      </c>
      <c r="AH141" s="169" t="s">
        <v>36</v>
      </c>
      <c r="AI141" s="169">
        <v>58</v>
      </c>
      <c r="AJ141" s="169">
        <v>427</v>
      </c>
      <c r="AK141" s="169" t="s">
        <v>1407</v>
      </c>
      <c r="AL141" s="169">
        <v>28037</v>
      </c>
      <c r="AM141" s="169" t="s">
        <v>1418</v>
      </c>
      <c r="AN141" s="169" t="s">
        <v>3013</v>
      </c>
      <c r="AO141" s="169">
        <v>28</v>
      </c>
      <c r="AP141" s="169" t="s">
        <v>1416</v>
      </c>
      <c r="AQ141" s="169">
        <v>0</v>
      </c>
      <c r="AR141" s="169" t="s">
        <v>1410</v>
      </c>
      <c r="AS141" s="169"/>
      <c r="AT141" s="169" t="s">
        <v>1417</v>
      </c>
      <c r="AU141" s="169" t="s">
        <v>1412</v>
      </c>
    </row>
    <row r="142" spans="1:47" x14ac:dyDescent="0.45">
      <c r="A142" s="169">
        <v>2605750039</v>
      </c>
      <c r="B142" s="169">
        <v>57</v>
      </c>
      <c r="C142" s="169" t="s">
        <v>1551</v>
      </c>
      <c r="D142" s="169">
        <v>57</v>
      </c>
      <c r="E142" s="169" t="s">
        <v>1552</v>
      </c>
      <c r="F142" s="169" t="s">
        <v>3966</v>
      </c>
      <c r="G142" s="169" t="s">
        <v>3967</v>
      </c>
      <c r="H142" s="169">
        <v>1</v>
      </c>
      <c r="I142" s="169" t="s">
        <v>1858</v>
      </c>
      <c r="J142" s="169" t="s">
        <v>1403</v>
      </c>
      <c r="K142" s="169">
        <v>2026</v>
      </c>
      <c r="L142" s="170">
        <v>2026</v>
      </c>
      <c r="M142" s="171">
        <v>45911</v>
      </c>
      <c r="N142" s="169" t="s">
        <v>36</v>
      </c>
      <c r="O142" s="169">
        <v>58</v>
      </c>
      <c r="P142" s="169">
        <v>428</v>
      </c>
      <c r="Q142" s="169" t="s">
        <v>1463</v>
      </c>
      <c r="R142" s="169">
        <v>2</v>
      </c>
      <c r="S142" s="169">
        <v>2</v>
      </c>
      <c r="T142" s="169" t="s">
        <v>1464</v>
      </c>
      <c r="U142" s="169">
        <v>1</v>
      </c>
      <c r="V142" s="170">
        <v>2680011</v>
      </c>
      <c r="W142" s="170">
        <v>0</v>
      </c>
      <c r="X142" s="170" t="s">
        <v>1406</v>
      </c>
      <c r="Y142" s="169"/>
      <c r="Z142" s="169" t="s">
        <v>32</v>
      </c>
      <c r="AA142" s="171">
        <v>45940</v>
      </c>
      <c r="AB142" s="169">
        <v>26</v>
      </c>
      <c r="AC142" s="169">
        <v>80011</v>
      </c>
      <c r="AD142" s="169">
        <v>57</v>
      </c>
      <c r="AE142" s="169" t="s">
        <v>1551</v>
      </c>
      <c r="AF142" s="169">
        <v>57</v>
      </c>
      <c r="AG142" s="169" t="s">
        <v>1552</v>
      </c>
      <c r="AH142" s="169" t="s">
        <v>36</v>
      </c>
      <c r="AI142" s="169">
        <v>58</v>
      </c>
      <c r="AJ142" s="169">
        <v>428</v>
      </c>
      <c r="AK142" s="169" t="s">
        <v>1407</v>
      </c>
      <c r="AL142" s="169">
        <v>28254</v>
      </c>
      <c r="AM142" s="169" t="s">
        <v>1421</v>
      </c>
      <c r="AN142" s="169" t="s">
        <v>1638</v>
      </c>
      <c r="AO142" s="169">
        <v>28</v>
      </c>
      <c r="AP142" s="169" t="s">
        <v>1416</v>
      </c>
      <c r="AQ142" s="169">
        <v>0</v>
      </c>
      <c r="AR142" s="169" t="s">
        <v>1410</v>
      </c>
      <c r="AS142" s="169"/>
      <c r="AT142" s="169" t="s">
        <v>1417</v>
      </c>
      <c r="AU142" s="169" t="s">
        <v>1412</v>
      </c>
    </row>
    <row r="143" spans="1:47" x14ac:dyDescent="0.45">
      <c r="A143" s="169">
        <v>2605750040</v>
      </c>
      <c r="B143" s="169">
        <v>57</v>
      </c>
      <c r="C143" s="169" t="s">
        <v>1551</v>
      </c>
      <c r="D143" s="169">
        <v>57</v>
      </c>
      <c r="E143" s="169" t="s">
        <v>1552</v>
      </c>
      <c r="F143" s="169" t="s">
        <v>3968</v>
      </c>
      <c r="G143" s="169" t="s">
        <v>3969</v>
      </c>
      <c r="H143" s="169">
        <v>1</v>
      </c>
      <c r="I143" s="169" t="s">
        <v>3970</v>
      </c>
      <c r="J143" s="169" t="s">
        <v>1403</v>
      </c>
      <c r="K143" s="169">
        <v>2026</v>
      </c>
      <c r="L143" s="170">
        <v>2026</v>
      </c>
      <c r="M143" s="171">
        <v>45917</v>
      </c>
      <c r="N143" s="169" t="s">
        <v>36</v>
      </c>
      <c r="O143" s="169">
        <v>58</v>
      </c>
      <c r="P143" s="169">
        <v>428</v>
      </c>
      <c r="Q143" s="169" t="s">
        <v>1463</v>
      </c>
      <c r="R143" s="169">
        <v>2</v>
      </c>
      <c r="S143" s="169">
        <v>2</v>
      </c>
      <c r="T143" s="169" t="s">
        <v>1464</v>
      </c>
      <c r="U143" s="169">
        <v>1</v>
      </c>
      <c r="V143" s="170">
        <v>2680009</v>
      </c>
      <c r="W143" s="170">
        <v>0</v>
      </c>
      <c r="X143" s="170" t="s">
        <v>1406</v>
      </c>
      <c r="Y143" s="169"/>
      <c r="Z143" s="169" t="s">
        <v>32</v>
      </c>
      <c r="AA143" s="171">
        <v>45938</v>
      </c>
      <c r="AB143" s="169">
        <v>26</v>
      </c>
      <c r="AC143" s="169">
        <v>80009</v>
      </c>
      <c r="AD143" s="169">
        <v>57</v>
      </c>
      <c r="AE143" s="169" t="s">
        <v>1551</v>
      </c>
      <c r="AF143" s="169">
        <v>57</v>
      </c>
      <c r="AG143" s="169" t="s">
        <v>1552</v>
      </c>
      <c r="AH143" s="169" t="s">
        <v>36</v>
      </c>
      <c r="AI143" s="169">
        <v>58</v>
      </c>
      <c r="AJ143" s="169">
        <v>428</v>
      </c>
      <c r="AK143" s="169" t="s">
        <v>1407</v>
      </c>
      <c r="AL143" s="169">
        <v>28082</v>
      </c>
      <c r="AM143" s="169" t="s">
        <v>1421</v>
      </c>
      <c r="AN143" s="169" t="s">
        <v>1623</v>
      </c>
      <c r="AO143" s="169">
        <v>28</v>
      </c>
      <c r="AP143" s="169" t="s">
        <v>1416</v>
      </c>
      <c r="AQ143" s="169">
        <v>0</v>
      </c>
      <c r="AR143" s="169" t="s">
        <v>1410</v>
      </c>
      <c r="AS143" s="169"/>
      <c r="AT143" s="169" t="s">
        <v>1417</v>
      </c>
      <c r="AU143" s="169" t="s">
        <v>1412</v>
      </c>
    </row>
    <row r="144" spans="1:47" x14ac:dyDescent="0.45">
      <c r="A144" s="169">
        <v>2605750041</v>
      </c>
      <c r="B144" s="169">
        <v>57</v>
      </c>
      <c r="C144" s="169" t="s">
        <v>1551</v>
      </c>
      <c r="D144" s="169">
        <v>57</v>
      </c>
      <c r="E144" s="169" t="s">
        <v>1552</v>
      </c>
      <c r="F144" s="169" t="s">
        <v>3971</v>
      </c>
      <c r="G144" s="169" t="s">
        <v>3972</v>
      </c>
      <c r="H144" s="169">
        <v>1</v>
      </c>
      <c r="I144" s="169" t="s">
        <v>204</v>
      </c>
      <c r="J144" s="169" t="s">
        <v>1403</v>
      </c>
      <c r="K144" s="169">
        <v>2026</v>
      </c>
      <c r="L144" s="170">
        <v>2026</v>
      </c>
      <c r="M144" s="171">
        <v>45958</v>
      </c>
      <c r="N144" s="169" t="s">
        <v>36</v>
      </c>
      <c r="O144" s="169">
        <v>58</v>
      </c>
      <c r="P144" s="169">
        <v>428</v>
      </c>
      <c r="Q144" s="169" t="s">
        <v>1463</v>
      </c>
      <c r="R144" s="169">
        <v>2</v>
      </c>
      <c r="S144" s="169">
        <v>2</v>
      </c>
      <c r="T144" s="169" t="s">
        <v>1464</v>
      </c>
      <c r="U144" s="169">
        <v>1</v>
      </c>
      <c r="V144" s="170">
        <v>2680121</v>
      </c>
      <c r="W144" s="170">
        <v>0</v>
      </c>
      <c r="X144" s="170" t="s">
        <v>1406</v>
      </c>
      <c r="Y144" s="169"/>
      <c r="Z144" s="169" t="s">
        <v>32</v>
      </c>
      <c r="AA144" s="171">
        <v>46031</v>
      </c>
      <c r="AB144" s="169">
        <v>26</v>
      </c>
      <c r="AC144" s="169">
        <v>80121</v>
      </c>
      <c r="AD144" s="169">
        <v>57</v>
      </c>
      <c r="AE144" s="169" t="s">
        <v>1551</v>
      </c>
      <c r="AF144" s="169">
        <v>57</v>
      </c>
      <c r="AG144" s="169" t="s">
        <v>1552</v>
      </c>
      <c r="AH144" s="169" t="s">
        <v>36</v>
      </c>
      <c r="AI144" s="169">
        <v>58</v>
      </c>
      <c r="AJ144" s="169">
        <v>428</v>
      </c>
      <c r="AK144" s="169" t="s">
        <v>1407</v>
      </c>
      <c r="AL144" s="169">
        <v>28203</v>
      </c>
      <c r="AM144" s="169" t="s">
        <v>1418</v>
      </c>
      <c r="AN144" s="169" t="s">
        <v>1619</v>
      </c>
      <c r="AO144" s="169">
        <v>28</v>
      </c>
      <c r="AP144" s="169" t="s">
        <v>1416</v>
      </c>
      <c r="AQ144" s="169">
        <v>0</v>
      </c>
      <c r="AR144" s="169" t="s">
        <v>1410</v>
      </c>
      <c r="AS144" s="169"/>
      <c r="AT144" s="169" t="s">
        <v>1417</v>
      </c>
      <c r="AU144" s="169" t="s">
        <v>1412</v>
      </c>
    </row>
    <row r="145" spans="1:47" x14ac:dyDescent="0.45">
      <c r="A145" s="169">
        <v>2605750043</v>
      </c>
      <c r="B145" s="169">
        <v>57</v>
      </c>
      <c r="C145" s="169" t="s">
        <v>1551</v>
      </c>
      <c r="D145" s="169">
        <v>57</v>
      </c>
      <c r="E145" s="169" t="s">
        <v>1552</v>
      </c>
      <c r="F145" s="169" t="s">
        <v>3973</v>
      </c>
      <c r="G145" s="169" t="s">
        <v>3974</v>
      </c>
      <c r="H145" s="169">
        <v>2</v>
      </c>
      <c r="I145" s="169" t="s">
        <v>1134</v>
      </c>
      <c r="J145" s="169" t="s">
        <v>1403</v>
      </c>
      <c r="K145" s="169">
        <v>2026</v>
      </c>
      <c r="L145" s="170">
        <v>2026</v>
      </c>
      <c r="M145" s="171">
        <v>45961</v>
      </c>
      <c r="N145" s="169" t="s">
        <v>36</v>
      </c>
      <c r="O145" s="169" t="s">
        <v>51</v>
      </c>
      <c r="P145" s="169">
        <v>856</v>
      </c>
      <c r="Q145" s="169" t="s">
        <v>1533</v>
      </c>
      <c r="R145" s="169">
        <v>1</v>
      </c>
      <c r="S145" s="169">
        <v>2</v>
      </c>
      <c r="T145" s="169" t="s">
        <v>1464</v>
      </c>
      <c r="U145" s="169">
        <v>1</v>
      </c>
      <c r="V145" s="170">
        <v>0</v>
      </c>
      <c r="W145" s="170">
        <v>0</v>
      </c>
      <c r="X145" s="170" t="s">
        <v>1406</v>
      </c>
      <c r="Y145" s="171">
        <v>45986</v>
      </c>
      <c r="Z145" s="169" t="s">
        <v>32</v>
      </c>
      <c r="AA145" s="169"/>
      <c r="AB145" s="169">
        <v>0</v>
      </c>
      <c r="AC145" s="169">
        <v>0</v>
      </c>
      <c r="AD145" s="169">
        <v>0</v>
      </c>
      <c r="AE145" s="169" t="s">
        <v>1446</v>
      </c>
      <c r="AF145" s="169"/>
      <c r="AG145" s="169" t="s">
        <v>1446</v>
      </c>
      <c r="AH145" s="169"/>
      <c r="AI145" s="169"/>
      <c r="AJ145" s="169">
        <v>0</v>
      </c>
      <c r="AK145" s="169" t="s">
        <v>1473</v>
      </c>
      <c r="AL145" s="169">
        <v>28009</v>
      </c>
      <c r="AM145" s="169" t="s">
        <v>1418</v>
      </c>
      <c r="AN145" s="169" t="s">
        <v>1607</v>
      </c>
      <c r="AO145" s="169">
        <v>28</v>
      </c>
      <c r="AP145" s="169" t="s">
        <v>1416</v>
      </c>
      <c r="AQ145" s="169">
        <v>0</v>
      </c>
      <c r="AR145" s="169" t="s">
        <v>1410</v>
      </c>
      <c r="AS145" s="169"/>
      <c r="AT145" s="169" t="s">
        <v>1417</v>
      </c>
      <c r="AU145" s="169" t="s">
        <v>1412</v>
      </c>
    </row>
    <row r="146" spans="1:47" x14ac:dyDescent="0.45">
      <c r="A146" s="169">
        <v>2605750044</v>
      </c>
      <c r="B146" s="169">
        <v>57</v>
      </c>
      <c r="C146" s="169" t="s">
        <v>1551</v>
      </c>
      <c r="D146" s="169">
        <v>57</v>
      </c>
      <c r="E146" s="169" t="s">
        <v>1552</v>
      </c>
      <c r="F146" s="169" t="s">
        <v>3975</v>
      </c>
      <c r="G146" s="169" t="s">
        <v>3976</v>
      </c>
      <c r="H146" s="169">
        <v>1</v>
      </c>
      <c r="I146" s="169" t="s">
        <v>3977</v>
      </c>
      <c r="J146" s="169" t="s">
        <v>1403</v>
      </c>
      <c r="K146" s="169">
        <v>2026</v>
      </c>
      <c r="L146" s="170">
        <v>2026</v>
      </c>
      <c r="M146" s="171">
        <v>45959</v>
      </c>
      <c r="N146" s="169" t="s">
        <v>36</v>
      </c>
      <c r="O146" s="169">
        <v>58</v>
      </c>
      <c r="P146" s="169">
        <v>588</v>
      </c>
      <c r="Q146" s="169" t="s">
        <v>1524</v>
      </c>
      <c r="R146" s="169">
        <v>2</v>
      </c>
      <c r="S146" s="169">
        <v>2</v>
      </c>
      <c r="T146" s="169" t="s">
        <v>1464</v>
      </c>
      <c r="U146" s="169">
        <v>1</v>
      </c>
      <c r="V146" s="170">
        <v>2680070</v>
      </c>
      <c r="W146" s="170">
        <v>0</v>
      </c>
      <c r="X146" s="170" t="s">
        <v>1406</v>
      </c>
      <c r="Y146" s="169"/>
      <c r="Z146" s="169" t="s">
        <v>32</v>
      </c>
      <c r="AA146" s="171">
        <v>45993</v>
      </c>
      <c r="AB146" s="169">
        <v>26</v>
      </c>
      <c r="AC146" s="169">
        <v>80070</v>
      </c>
      <c r="AD146" s="169">
        <v>57</v>
      </c>
      <c r="AE146" s="169" t="s">
        <v>1551</v>
      </c>
      <c r="AF146" s="169">
        <v>57</v>
      </c>
      <c r="AG146" s="169" t="s">
        <v>1552</v>
      </c>
      <c r="AH146" s="169" t="s">
        <v>36</v>
      </c>
      <c r="AI146" s="169">
        <v>58</v>
      </c>
      <c r="AJ146" s="169">
        <v>588</v>
      </c>
      <c r="AK146" s="169" t="s">
        <v>1473</v>
      </c>
      <c r="AL146" s="169">
        <v>28185</v>
      </c>
      <c r="AM146" s="169" t="s">
        <v>1418</v>
      </c>
      <c r="AN146" s="169" t="s">
        <v>1438</v>
      </c>
      <c r="AO146" s="169">
        <v>28</v>
      </c>
      <c r="AP146" s="169" t="s">
        <v>1416</v>
      </c>
      <c r="AQ146" s="169">
        <v>0</v>
      </c>
      <c r="AR146" s="169" t="s">
        <v>1410</v>
      </c>
      <c r="AS146" s="169"/>
      <c r="AT146" s="169" t="s">
        <v>1417</v>
      </c>
      <c r="AU146" s="169" t="s">
        <v>1412</v>
      </c>
    </row>
    <row r="147" spans="1:47" x14ac:dyDescent="0.45">
      <c r="A147" s="169">
        <v>2605750045</v>
      </c>
      <c r="B147" s="169">
        <v>57</v>
      </c>
      <c r="C147" s="169" t="s">
        <v>1551</v>
      </c>
      <c r="D147" s="169">
        <v>57</v>
      </c>
      <c r="E147" s="169" t="s">
        <v>1552</v>
      </c>
      <c r="F147" s="169" t="s">
        <v>3978</v>
      </c>
      <c r="G147" s="169" t="s">
        <v>3979</v>
      </c>
      <c r="H147" s="169">
        <v>2</v>
      </c>
      <c r="I147" s="169" t="s">
        <v>392</v>
      </c>
      <c r="J147" s="169" t="s">
        <v>1403</v>
      </c>
      <c r="K147" s="169">
        <v>2026</v>
      </c>
      <c r="L147" s="170">
        <v>2026</v>
      </c>
      <c r="M147" s="171">
        <v>45922</v>
      </c>
      <c r="N147" s="169" t="s">
        <v>36</v>
      </c>
      <c r="O147" s="169">
        <v>57</v>
      </c>
      <c r="P147" s="169">
        <v>1044</v>
      </c>
      <c r="Q147" s="169" t="s">
        <v>1476</v>
      </c>
      <c r="R147" s="169">
        <v>2</v>
      </c>
      <c r="S147" s="169">
        <v>3</v>
      </c>
      <c r="T147" s="169" t="s">
        <v>1477</v>
      </c>
      <c r="U147" s="169">
        <v>4</v>
      </c>
      <c r="V147" s="170">
        <v>2680054</v>
      </c>
      <c r="W147" s="170">
        <v>0</v>
      </c>
      <c r="X147" s="170" t="s">
        <v>1406</v>
      </c>
      <c r="Y147" s="169"/>
      <c r="Z147" s="169" t="s">
        <v>32</v>
      </c>
      <c r="AA147" s="171">
        <v>45980</v>
      </c>
      <c r="AB147" s="169">
        <v>26</v>
      </c>
      <c r="AC147" s="169">
        <v>80054</v>
      </c>
      <c r="AD147" s="169">
        <v>57</v>
      </c>
      <c r="AE147" s="169" t="s">
        <v>1551</v>
      </c>
      <c r="AF147" s="169">
        <v>57</v>
      </c>
      <c r="AG147" s="169" t="s">
        <v>1552</v>
      </c>
      <c r="AH147" s="169" t="s">
        <v>36</v>
      </c>
      <c r="AI147" s="169">
        <v>57</v>
      </c>
      <c r="AJ147" s="169">
        <v>1044</v>
      </c>
      <c r="AK147" s="169" t="s">
        <v>1407</v>
      </c>
      <c r="AL147" s="169">
        <v>28025</v>
      </c>
      <c r="AM147" s="169" t="s">
        <v>1421</v>
      </c>
      <c r="AN147" s="169" t="s">
        <v>1550</v>
      </c>
      <c r="AO147" s="169">
        <v>28</v>
      </c>
      <c r="AP147" s="169" t="s">
        <v>1416</v>
      </c>
      <c r="AQ147" s="169">
        <v>0</v>
      </c>
      <c r="AR147" s="169" t="s">
        <v>1410</v>
      </c>
      <c r="AS147" s="169"/>
      <c r="AT147" s="169" t="s">
        <v>1417</v>
      </c>
      <c r="AU147" s="169" t="s">
        <v>1412</v>
      </c>
    </row>
    <row r="148" spans="1:47" x14ac:dyDescent="0.45">
      <c r="A148" s="169">
        <v>2605750046</v>
      </c>
      <c r="B148" s="169">
        <v>57</v>
      </c>
      <c r="C148" s="169" t="s">
        <v>1551</v>
      </c>
      <c r="D148" s="169">
        <v>57</v>
      </c>
      <c r="E148" s="169" t="s">
        <v>1552</v>
      </c>
      <c r="F148" s="169" t="s">
        <v>3980</v>
      </c>
      <c r="G148" s="169" t="s">
        <v>3981</v>
      </c>
      <c r="H148" s="169">
        <v>1</v>
      </c>
      <c r="I148" s="169" t="s">
        <v>3982</v>
      </c>
      <c r="J148" s="169" t="s">
        <v>1403</v>
      </c>
      <c r="K148" s="169">
        <v>2026</v>
      </c>
      <c r="L148" s="170">
        <v>2026</v>
      </c>
      <c r="M148" s="171">
        <v>45959</v>
      </c>
      <c r="N148" s="169" t="s">
        <v>36</v>
      </c>
      <c r="O148" s="169">
        <v>58</v>
      </c>
      <c r="P148" s="169">
        <v>427</v>
      </c>
      <c r="Q148" s="169" t="s">
        <v>1479</v>
      </c>
      <c r="R148" s="169">
        <v>2</v>
      </c>
      <c r="S148" s="169">
        <v>2</v>
      </c>
      <c r="T148" s="169" t="s">
        <v>1464</v>
      </c>
      <c r="U148" s="169">
        <v>1</v>
      </c>
      <c r="V148" s="170">
        <v>0</v>
      </c>
      <c r="W148" s="170">
        <v>0</v>
      </c>
      <c r="X148" s="170" t="s">
        <v>1406</v>
      </c>
      <c r="Y148" s="171">
        <v>46028</v>
      </c>
      <c r="Z148" s="169" t="s">
        <v>32</v>
      </c>
      <c r="AA148" s="169"/>
      <c r="AB148" s="169">
        <v>0</v>
      </c>
      <c r="AC148" s="169">
        <v>0</v>
      </c>
      <c r="AD148" s="169">
        <v>0</v>
      </c>
      <c r="AE148" s="169" t="s">
        <v>1446</v>
      </c>
      <c r="AF148" s="169"/>
      <c r="AG148" s="169" t="s">
        <v>1446</v>
      </c>
      <c r="AH148" s="169"/>
      <c r="AI148" s="169"/>
      <c r="AJ148" s="169">
        <v>0</v>
      </c>
      <c r="AK148" s="169" t="s">
        <v>1473</v>
      </c>
      <c r="AL148" s="169">
        <v>28185</v>
      </c>
      <c r="AM148" s="169" t="s">
        <v>1418</v>
      </c>
      <c r="AN148" s="169" t="s">
        <v>1438</v>
      </c>
      <c r="AO148" s="169">
        <v>28</v>
      </c>
      <c r="AP148" s="169" t="s">
        <v>1416</v>
      </c>
      <c r="AQ148" s="169">
        <v>0</v>
      </c>
      <c r="AR148" s="169" t="s">
        <v>1410</v>
      </c>
      <c r="AS148" s="169"/>
      <c r="AT148" s="169" t="s">
        <v>1417</v>
      </c>
      <c r="AU148" s="169" t="s">
        <v>1412</v>
      </c>
    </row>
    <row r="149" spans="1:47" x14ac:dyDescent="0.45">
      <c r="A149" s="169">
        <v>2605750047</v>
      </c>
      <c r="B149" s="169">
        <v>57</v>
      </c>
      <c r="C149" s="169" t="s">
        <v>1551</v>
      </c>
      <c r="D149" s="169">
        <v>57</v>
      </c>
      <c r="E149" s="169" t="s">
        <v>1552</v>
      </c>
      <c r="F149" s="169" t="s">
        <v>3983</v>
      </c>
      <c r="G149" s="169" t="s">
        <v>3984</v>
      </c>
      <c r="H149" s="169">
        <v>1</v>
      </c>
      <c r="I149" s="169" t="s">
        <v>3985</v>
      </c>
      <c r="J149" s="169" t="s">
        <v>1403</v>
      </c>
      <c r="K149" s="169">
        <v>2026</v>
      </c>
      <c r="L149" s="170">
        <v>2026</v>
      </c>
      <c r="M149" s="171">
        <v>45955</v>
      </c>
      <c r="N149" s="169" t="s">
        <v>36</v>
      </c>
      <c r="O149" s="169">
        <v>58</v>
      </c>
      <c r="P149" s="169">
        <v>968</v>
      </c>
      <c r="Q149" s="169" t="s">
        <v>1474</v>
      </c>
      <c r="R149" s="169">
        <v>2</v>
      </c>
      <c r="S149" s="169">
        <v>2</v>
      </c>
      <c r="T149" s="169" t="s">
        <v>1464</v>
      </c>
      <c r="U149" s="169">
        <v>1</v>
      </c>
      <c r="V149" s="170">
        <v>0</v>
      </c>
      <c r="W149" s="170">
        <v>0</v>
      </c>
      <c r="X149" s="170" t="s">
        <v>1406</v>
      </c>
      <c r="Y149" s="169"/>
      <c r="Z149" s="169" t="s">
        <v>32</v>
      </c>
      <c r="AA149" s="169"/>
      <c r="AB149" s="169">
        <v>0</v>
      </c>
      <c r="AC149" s="169">
        <v>0</v>
      </c>
      <c r="AD149" s="169">
        <v>0</v>
      </c>
      <c r="AE149" s="169" t="s">
        <v>1446</v>
      </c>
      <c r="AF149" s="169"/>
      <c r="AG149" s="169" t="s">
        <v>1446</v>
      </c>
      <c r="AH149" s="169"/>
      <c r="AI149" s="169"/>
      <c r="AJ149" s="169">
        <v>0</v>
      </c>
      <c r="AK149" s="169" t="s">
        <v>1410</v>
      </c>
      <c r="AL149" s="169">
        <v>28203</v>
      </c>
      <c r="AM149" s="169" t="s">
        <v>1418</v>
      </c>
      <c r="AN149" s="169" t="s">
        <v>1619</v>
      </c>
      <c r="AO149" s="169">
        <v>28</v>
      </c>
      <c r="AP149" s="169" t="s">
        <v>1416</v>
      </c>
      <c r="AQ149" s="169">
        <v>0</v>
      </c>
      <c r="AR149" s="169" t="s">
        <v>1410</v>
      </c>
      <c r="AS149" s="169"/>
      <c r="AT149" s="169" t="s">
        <v>1417</v>
      </c>
      <c r="AU149" s="169" t="s">
        <v>1412</v>
      </c>
    </row>
    <row r="150" spans="1:47" x14ac:dyDescent="0.45">
      <c r="A150" s="169">
        <v>2605750048</v>
      </c>
      <c r="B150" s="169">
        <v>57</v>
      </c>
      <c r="C150" s="169" t="s">
        <v>1551</v>
      </c>
      <c r="D150" s="169">
        <v>57</v>
      </c>
      <c r="E150" s="169" t="s">
        <v>1552</v>
      </c>
      <c r="F150" s="169" t="s">
        <v>3986</v>
      </c>
      <c r="G150" s="169" t="s">
        <v>3987</v>
      </c>
      <c r="H150" s="169">
        <v>1</v>
      </c>
      <c r="I150" s="169" t="s">
        <v>2089</v>
      </c>
      <c r="J150" s="169" t="s">
        <v>1403</v>
      </c>
      <c r="K150" s="169">
        <v>2026</v>
      </c>
      <c r="L150" s="170">
        <v>2026</v>
      </c>
      <c r="M150" s="171">
        <v>45935</v>
      </c>
      <c r="N150" s="169" t="s">
        <v>36</v>
      </c>
      <c r="O150" s="169" t="s">
        <v>51</v>
      </c>
      <c r="P150" s="169">
        <v>427</v>
      </c>
      <c r="Q150" s="169" t="s">
        <v>1479</v>
      </c>
      <c r="R150" s="169">
        <v>1</v>
      </c>
      <c r="S150" s="169">
        <v>2</v>
      </c>
      <c r="T150" s="169" t="s">
        <v>1464</v>
      </c>
      <c r="U150" s="169">
        <v>1</v>
      </c>
      <c r="V150" s="170">
        <v>0</v>
      </c>
      <c r="W150" s="170">
        <v>0</v>
      </c>
      <c r="X150" s="170" t="s">
        <v>1406</v>
      </c>
      <c r="Y150" s="171">
        <v>46017</v>
      </c>
      <c r="Z150" s="169" t="s">
        <v>32</v>
      </c>
      <c r="AA150" s="169"/>
      <c r="AB150" s="169">
        <v>0</v>
      </c>
      <c r="AC150" s="169">
        <v>0</v>
      </c>
      <c r="AD150" s="169">
        <v>0</v>
      </c>
      <c r="AE150" s="169" t="s">
        <v>1446</v>
      </c>
      <c r="AF150" s="169"/>
      <c r="AG150" s="169" t="s">
        <v>1446</v>
      </c>
      <c r="AH150" s="169"/>
      <c r="AI150" s="169"/>
      <c r="AJ150" s="169">
        <v>0</v>
      </c>
      <c r="AK150" s="169" t="s">
        <v>1473</v>
      </c>
      <c r="AL150" s="169">
        <v>28027</v>
      </c>
      <c r="AM150" s="169" t="s">
        <v>1418</v>
      </c>
      <c r="AN150" s="169" t="s">
        <v>1624</v>
      </c>
      <c r="AO150" s="169">
        <v>28</v>
      </c>
      <c r="AP150" s="169" t="s">
        <v>1416</v>
      </c>
      <c r="AQ150" s="169">
        <v>0</v>
      </c>
      <c r="AR150" s="169" t="s">
        <v>1410</v>
      </c>
      <c r="AS150" s="169"/>
      <c r="AT150" s="169" t="s">
        <v>1417</v>
      </c>
      <c r="AU150" s="169" t="s">
        <v>1412</v>
      </c>
    </row>
    <row r="151" spans="1:47" x14ac:dyDescent="0.45">
      <c r="A151" s="169">
        <v>2605750049</v>
      </c>
      <c r="B151" s="169">
        <v>57</v>
      </c>
      <c r="C151" s="169" t="s">
        <v>1551</v>
      </c>
      <c r="D151" s="169">
        <v>57</v>
      </c>
      <c r="E151" s="169" t="s">
        <v>1552</v>
      </c>
      <c r="F151" s="169" t="s">
        <v>3988</v>
      </c>
      <c r="G151" s="169" t="s">
        <v>3989</v>
      </c>
      <c r="H151" s="169">
        <v>1</v>
      </c>
      <c r="I151" s="169" t="s">
        <v>3990</v>
      </c>
      <c r="J151" s="169" t="s">
        <v>1403</v>
      </c>
      <c r="K151" s="169">
        <v>2026</v>
      </c>
      <c r="L151" s="170">
        <v>2026</v>
      </c>
      <c r="M151" s="171">
        <v>45937</v>
      </c>
      <c r="N151" s="169" t="s">
        <v>36</v>
      </c>
      <c r="O151" s="169">
        <v>58</v>
      </c>
      <c r="P151" s="169">
        <v>857</v>
      </c>
      <c r="Q151" s="169" t="s">
        <v>1481</v>
      </c>
      <c r="R151" s="169">
        <v>2</v>
      </c>
      <c r="S151" s="169">
        <v>2</v>
      </c>
      <c r="T151" s="169" t="s">
        <v>1464</v>
      </c>
      <c r="U151" s="169">
        <v>1</v>
      </c>
      <c r="V151" s="170">
        <v>2680025</v>
      </c>
      <c r="W151" s="170">
        <v>0</v>
      </c>
      <c r="X151" s="170" t="s">
        <v>1406</v>
      </c>
      <c r="Y151" s="169"/>
      <c r="Z151" s="169" t="s">
        <v>32</v>
      </c>
      <c r="AA151" s="171">
        <v>45951</v>
      </c>
      <c r="AB151" s="169">
        <v>26</v>
      </c>
      <c r="AC151" s="169">
        <v>80025</v>
      </c>
      <c r="AD151" s="169">
        <v>57</v>
      </c>
      <c r="AE151" s="169" t="s">
        <v>1551</v>
      </c>
      <c r="AF151" s="169">
        <v>57</v>
      </c>
      <c r="AG151" s="169" t="s">
        <v>1552</v>
      </c>
      <c r="AH151" s="169" t="s">
        <v>36</v>
      </c>
      <c r="AI151" s="169">
        <v>58</v>
      </c>
      <c r="AJ151" s="169">
        <v>857</v>
      </c>
      <c r="AK151" s="169" t="s">
        <v>1407</v>
      </c>
      <c r="AL151" s="169">
        <v>28032</v>
      </c>
      <c r="AM151" s="169" t="s">
        <v>1421</v>
      </c>
      <c r="AN151" s="169" t="s">
        <v>1545</v>
      </c>
      <c r="AO151" s="169">
        <v>28</v>
      </c>
      <c r="AP151" s="169" t="s">
        <v>1416</v>
      </c>
      <c r="AQ151" s="169">
        <v>0</v>
      </c>
      <c r="AR151" s="169" t="s">
        <v>1410</v>
      </c>
      <c r="AS151" s="169"/>
      <c r="AT151" s="169" t="s">
        <v>1417</v>
      </c>
      <c r="AU151" s="169" t="s">
        <v>1412</v>
      </c>
    </row>
    <row r="152" spans="1:47" x14ac:dyDescent="0.45">
      <c r="A152" s="169">
        <v>2605750050</v>
      </c>
      <c r="B152" s="169">
        <v>57</v>
      </c>
      <c r="C152" s="169" t="s">
        <v>1551</v>
      </c>
      <c r="D152" s="169">
        <v>57</v>
      </c>
      <c r="E152" s="169" t="s">
        <v>1552</v>
      </c>
      <c r="F152" s="169" t="s">
        <v>3991</v>
      </c>
      <c r="G152" s="169" t="s">
        <v>3992</v>
      </c>
      <c r="H152" s="169">
        <v>2</v>
      </c>
      <c r="I152" s="169" t="s">
        <v>3993</v>
      </c>
      <c r="J152" s="169" t="s">
        <v>1403</v>
      </c>
      <c r="K152" s="169">
        <v>2026</v>
      </c>
      <c r="L152" s="170">
        <v>2026</v>
      </c>
      <c r="M152" s="171">
        <v>45930</v>
      </c>
      <c r="N152" s="169" t="s">
        <v>36</v>
      </c>
      <c r="O152" s="169" t="s">
        <v>51</v>
      </c>
      <c r="P152" s="169">
        <v>428</v>
      </c>
      <c r="Q152" s="169" t="s">
        <v>1463</v>
      </c>
      <c r="R152" s="169">
        <v>1</v>
      </c>
      <c r="S152" s="169">
        <v>2</v>
      </c>
      <c r="T152" s="169" t="s">
        <v>1464</v>
      </c>
      <c r="U152" s="169">
        <v>1</v>
      </c>
      <c r="V152" s="170">
        <v>0</v>
      </c>
      <c r="W152" s="170">
        <v>0</v>
      </c>
      <c r="X152" s="170" t="s">
        <v>1406</v>
      </c>
      <c r="Y152" s="171">
        <v>46007</v>
      </c>
      <c r="Z152" s="169" t="s">
        <v>32</v>
      </c>
      <c r="AA152" s="169"/>
      <c r="AB152" s="169">
        <v>0</v>
      </c>
      <c r="AC152" s="169">
        <v>0</v>
      </c>
      <c r="AD152" s="169">
        <v>0</v>
      </c>
      <c r="AE152" s="169" t="s">
        <v>1446</v>
      </c>
      <c r="AF152" s="169"/>
      <c r="AG152" s="169" t="s">
        <v>1446</v>
      </c>
      <c r="AH152" s="169"/>
      <c r="AI152" s="169"/>
      <c r="AJ152" s="169">
        <v>0</v>
      </c>
      <c r="AK152" s="169" t="s">
        <v>1473</v>
      </c>
      <c r="AL152" s="169">
        <v>28120</v>
      </c>
      <c r="AM152" s="169" t="s">
        <v>1418</v>
      </c>
      <c r="AN152" s="169" t="s">
        <v>1593</v>
      </c>
      <c r="AO152" s="169">
        <v>28</v>
      </c>
      <c r="AP152" s="169" t="s">
        <v>1416</v>
      </c>
      <c r="AQ152" s="169">
        <v>0</v>
      </c>
      <c r="AR152" s="169" t="s">
        <v>1410</v>
      </c>
      <c r="AS152" s="169"/>
      <c r="AT152" s="169" t="s">
        <v>1417</v>
      </c>
      <c r="AU152" s="169" t="s">
        <v>1412</v>
      </c>
    </row>
    <row r="153" spans="1:47" x14ac:dyDescent="0.45">
      <c r="A153" s="169">
        <v>2605750051</v>
      </c>
      <c r="B153" s="169">
        <v>57</v>
      </c>
      <c r="C153" s="169" t="s">
        <v>1551</v>
      </c>
      <c r="D153" s="169">
        <v>57</v>
      </c>
      <c r="E153" s="169" t="s">
        <v>1552</v>
      </c>
      <c r="F153" s="169" t="s">
        <v>3994</v>
      </c>
      <c r="G153" s="169" t="s">
        <v>3995</v>
      </c>
      <c r="H153" s="169">
        <v>2</v>
      </c>
      <c r="I153" s="169" t="s">
        <v>281</v>
      </c>
      <c r="J153" s="169" t="s">
        <v>1403</v>
      </c>
      <c r="K153" s="169">
        <v>2026</v>
      </c>
      <c r="L153" s="170">
        <v>2026</v>
      </c>
      <c r="M153" s="171">
        <v>45916</v>
      </c>
      <c r="N153" s="169" t="s">
        <v>36</v>
      </c>
      <c r="O153" s="169" t="s">
        <v>94</v>
      </c>
      <c r="P153" s="169">
        <v>121</v>
      </c>
      <c r="Q153" s="169" t="s">
        <v>1502</v>
      </c>
      <c r="R153" s="169">
        <v>2</v>
      </c>
      <c r="S153" s="169">
        <v>8</v>
      </c>
      <c r="T153" s="169" t="s">
        <v>1503</v>
      </c>
      <c r="U153" s="169">
        <v>6</v>
      </c>
      <c r="V153" s="170">
        <v>2680008</v>
      </c>
      <c r="W153" s="170">
        <v>0</v>
      </c>
      <c r="X153" s="170" t="s">
        <v>1406</v>
      </c>
      <c r="Y153" s="169"/>
      <c r="Z153" s="169" t="s">
        <v>32</v>
      </c>
      <c r="AA153" s="171">
        <v>45936</v>
      </c>
      <c r="AB153" s="169">
        <v>26</v>
      </c>
      <c r="AC153" s="169">
        <v>80008</v>
      </c>
      <c r="AD153" s="169">
        <v>57</v>
      </c>
      <c r="AE153" s="169" t="s">
        <v>1551</v>
      </c>
      <c r="AF153" s="169">
        <v>57</v>
      </c>
      <c r="AG153" s="169" t="s">
        <v>1552</v>
      </c>
      <c r="AH153" s="169" t="s">
        <v>36</v>
      </c>
      <c r="AI153" s="169" t="s">
        <v>94</v>
      </c>
      <c r="AJ153" s="169">
        <v>121</v>
      </c>
      <c r="AK153" s="169" t="s">
        <v>1407</v>
      </c>
      <c r="AL153" s="169">
        <v>28243</v>
      </c>
      <c r="AM153" s="169" t="s">
        <v>1421</v>
      </c>
      <c r="AN153" s="169" t="s">
        <v>1601</v>
      </c>
      <c r="AO153" s="169">
        <v>28</v>
      </c>
      <c r="AP153" s="169" t="s">
        <v>1416</v>
      </c>
      <c r="AQ153" s="169">
        <v>0</v>
      </c>
      <c r="AR153" s="169" t="s">
        <v>1410</v>
      </c>
      <c r="AS153" s="169"/>
      <c r="AT153" s="169" t="s">
        <v>1417</v>
      </c>
      <c r="AU153" s="169" t="s">
        <v>1412</v>
      </c>
    </row>
    <row r="154" spans="1:47" x14ac:dyDescent="0.45">
      <c r="A154" s="169">
        <v>2605750052</v>
      </c>
      <c r="B154" s="169">
        <v>57</v>
      </c>
      <c r="C154" s="169" t="s">
        <v>1551</v>
      </c>
      <c r="D154" s="169">
        <v>57</v>
      </c>
      <c r="E154" s="169" t="s">
        <v>1552</v>
      </c>
      <c r="F154" s="169" t="s">
        <v>3996</v>
      </c>
      <c r="G154" s="169" t="s">
        <v>3997</v>
      </c>
      <c r="H154" s="169">
        <v>2</v>
      </c>
      <c r="I154" s="169" t="s">
        <v>1858</v>
      </c>
      <c r="J154" s="169" t="s">
        <v>1403</v>
      </c>
      <c r="K154" s="169">
        <v>2026</v>
      </c>
      <c r="L154" s="170">
        <v>2026</v>
      </c>
      <c r="M154" s="171">
        <v>45901</v>
      </c>
      <c r="N154" s="169" t="s">
        <v>36</v>
      </c>
      <c r="O154" s="169">
        <v>58</v>
      </c>
      <c r="P154" s="169">
        <v>968</v>
      </c>
      <c r="Q154" s="169" t="s">
        <v>1474</v>
      </c>
      <c r="R154" s="169">
        <v>2</v>
      </c>
      <c r="S154" s="169">
        <v>2</v>
      </c>
      <c r="T154" s="169" t="s">
        <v>1464</v>
      </c>
      <c r="U154" s="169">
        <v>1</v>
      </c>
      <c r="V154" s="170">
        <v>2680046</v>
      </c>
      <c r="W154" s="170">
        <v>0</v>
      </c>
      <c r="X154" s="170" t="s">
        <v>1406</v>
      </c>
      <c r="Y154" s="169"/>
      <c r="Z154" s="169" t="s">
        <v>32</v>
      </c>
      <c r="AA154" s="171">
        <v>45975</v>
      </c>
      <c r="AB154" s="169">
        <v>26</v>
      </c>
      <c r="AC154" s="169">
        <v>80046</v>
      </c>
      <c r="AD154" s="169">
        <v>57</v>
      </c>
      <c r="AE154" s="169" t="s">
        <v>1551</v>
      </c>
      <c r="AF154" s="169">
        <v>57</v>
      </c>
      <c r="AG154" s="169" t="s">
        <v>1552</v>
      </c>
      <c r="AH154" s="169" t="s">
        <v>36</v>
      </c>
      <c r="AI154" s="169">
        <v>58</v>
      </c>
      <c r="AJ154" s="169">
        <v>968</v>
      </c>
      <c r="AK154" s="169" t="s">
        <v>1407</v>
      </c>
      <c r="AL154" s="169">
        <v>28121</v>
      </c>
      <c r="AM154" s="169" t="s">
        <v>1418</v>
      </c>
      <c r="AN154" s="169" t="s">
        <v>1556</v>
      </c>
      <c r="AO154" s="169">
        <v>28</v>
      </c>
      <c r="AP154" s="169" t="s">
        <v>1416</v>
      </c>
      <c r="AQ154" s="169">
        <v>0</v>
      </c>
      <c r="AR154" s="169" t="s">
        <v>1410</v>
      </c>
      <c r="AS154" s="169"/>
      <c r="AT154" s="169" t="s">
        <v>1417</v>
      </c>
      <c r="AU154" s="169" t="s">
        <v>1412</v>
      </c>
    </row>
    <row r="155" spans="1:47" x14ac:dyDescent="0.45">
      <c r="A155" s="169">
        <v>2605750053</v>
      </c>
      <c r="B155" s="169">
        <v>57</v>
      </c>
      <c r="C155" s="169" t="s">
        <v>1551</v>
      </c>
      <c r="D155" s="169">
        <v>57</v>
      </c>
      <c r="E155" s="169" t="s">
        <v>1552</v>
      </c>
      <c r="F155" s="169" t="s">
        <v>3998</v>
      </c>
      <c r="G155" s="169" t="s">
        <v>3999</v>
      </c>
      <c r="H155" s="169">
        <v>2</v>
      </c>
      <c r="I155" s="169" t="s">
        <v>4000</v>
      </c>
      <c r="J155" s="169" t="s">
        <v>1403</v>
      </c>
      <c r="K155" s="169">
        <v>2026</v>
      </c>
      <c r="L155" s="170">
        <v>2026</v>
      </c>
      <c r="M155" s="171">
        <v>45928</v>
      </c>
      <c r="N155" s="169" t="s">
        <v>36</v>
      </c>
      <c r="O155" s="169">
        <v>57</v>
      </c>
      <c r="P155" s="169">
        <v>1044</v>
      </c>
      <c r="Q155" s="169" t="s">
        <v>1476</v>
      </c>
      <c r="R155" s="169">
        <v>2</v>
      </c>
      <c r="S155" s="169">
        <v>3</v>
      </c>
      <c r="T155" s="169" t="s">
        <v>1477</v>
      </c>
      <c r="U155" s="169">
        <v>4</v>
      </c>
      <c r="V155" s="170">
        <v>2680107</v>
      </c>
      <c r="W155" s="170">
        <v>0</v>
      </c>
      <c r="X155" s="170" t="s">
        <v>1406</v>
      </c>
      <c r="Y155" s="169"/>
      <c r="Z155" s="169" t="s">
        <v>32</v>
      </c>
      <c r="AA155" s="171">
        <v>46027</v>
      </c>
      <c r="AB155" s="169">
        <v>26</v>
      </c>
      <c r="AC155" s="169">
        <v>80107</v>
      </c>
      <c r="AD155" s="169">
        <v>57</v>
      </c>
      <c r="AE155" s="169" t="s">
        <v>1551</v>
      </c>
      <c r="AF155" s="169">
        <v>57</v>
      </c>
      <c r="AG155" s="169" t="s">
        <v>1552</v>
      </c>
      <c r="AH155" s="169" t="s">
        <v>36</v>
      </c>
      <c r="AI155" s="169">
        <v>57</v>
      </c>
      <c r="AJ155" s="169">
        <v>1044</v>
      </c>
      <c r="AK155" s="169" t="s">
        <v>1407</v>
      </c>
      <c r="AL155" s="169">
        <v>28147</v>
      </c>
      <c r="AM155" s="169" t="s">
        <v>1418</v>
      </c>
      <c r="AN155" s="169" t="s">
        <v>3955</v>
      </c>
      <c r="AO155" s="169">
        <v>28</v>
      </c>
      <c r="AP155" s="169" t="s">
        <v>1416</v>
      </c>
      <c r="AQ155" s="169">
        <v>0</v>
      </c>
      <c r="AR155" s="169" t="s">
        <v>1410</v>
      </c>
      <c r="AS155" s="169"/>
      <c r="AT155" s="169" t="s">
        <v>1417</v>
      </c>
      <c r="AU155" s="169" t="s">
        <v>1412</v>
      </c>
    </row>
    <row r="156" spans="1:47" x14ac:dyDescent="0.45">
      <c r="A156" s="169">
        <v>2605750054</v>
      </c>
      <c r="B156" s="169">
        <v>57</v>
      </c>
      <c r="C156" s="169" t="s">
        <v>1551</v>
      </c>
      <c r="D156" s="169">
        <v>57</v>
      </c>
      <c r="E156" s="169" t="s">
        <v>1552</v>
      </c>
      <c r="F156" s="169" t="s">
        <v>4001</v>
      </c>
      <c r="G156" s="169" t="s">
        <v>4002</v>
      </c>
      <c r="H156" s="169">
        <v>2</v>
      </c>
      <c r="I156" s="169" t="s">
        <v>1253</v>
      </c>
      <c r="J156" s="169" t="s">
        <v>1403</v>
      </c>
      <c r="K156" s="169">
        <v>2026</v>
      </c>
      <c r="L156" s="170">
        <v>2026</v>
      </c>
      <c r="M156" s="171">
        <v>45906</v>
      </c>
      <c r="N156" s="169" t="s">
        <v>36</v>
      </c>
      <c r="O156" s="169" t="s">
        <v>51</v>
      </c>
      <c r="P156" s="169">
        <v>427</v>
      </c>
      <c r="Q156" s="169" t="s">
        <v>1479</v>
      </c>
      <c r="R156" s="169">
        <v>1</v>
      </c>
      <c r="S156" s="169">
        <v>2</v>
      </c>
      <c r="T156" s="169" t="s">
        <v>1464</v>
      </c>
      <c r="U156" s="169">
        <v>1</v>
      </c>
      <c r="V156" s="170">
        <v>0</v>
      </c>
      <c r="W156" s="170">
        <v>0</v>
      </c>
      <c r="X156" s="170" t="s">
        <v>1406</v>
      </c>
      <c r="Y156" s="171">
        <v>46014</v>
      </c>
      <c r="Z156" s="169" t="s">
        <v>32</v>
      </c>
      <c r="AA156" s="169"/>
      <c r="AB156" s="169">
        <v>0</v>
      </c>
      <c r="AC156" s="169">
        <v>0</v>
      </c>
      <c r="AD156" s="169">
        <v>0</v>
      </c>
      <c r="AE156" s="169" t="s">
        <v>1446</v>
      </c>
      <c r="AF156" s="169"/>
      <c r="AG156" s="169" t="s">
        <v>1446</v>
      </c>
      <c r="AH156" s="169"/>
      <c r="AI156" s="169"/>
      <c r="AJ156" s="169">
        <v>0</v>
      </c>
      <c r="AK156" s="169" t="s">
        <v>1473</v>
      </c>
      <c r="AL156" s="169">
        <v>28032</v>
      </c>
      <c r="AM156" s="169" t="s">
        <v>1421</v>
      </c>
      <c r="AN156" s="169" t="s">
        <v>1545</v>
      </c>
      <c r="AO156" s="169">
        <v>28</v>
      </c>
      <c r="AP156" s="169" t="s">
        <v>1416</v>
      </c>
      <c r="AQ156" s="169">
        <v>0</v>
      </c>
      <c r="AR156" s="169" t="s">
        <v>1410</v>
      </c>
      <c r="AS156" s="169"/>
      <c r="AT156" s="169" t="s">
        <v>1417</v>
      </c>
      <c r="AU156" s="169" t="s">
        <v>1412</v>
      </c>
    </row>
    <row r="157" spans="1:47" x14ac:dyDescent="0.45">
      <c r="A157" s="169">
        <v>2605750055</v>
      </c>
      <c r="B157" s="169">
        <v>57</v>
      </c>
      <c r="C157" s="169" t="s">
        <v>1551</v>
      </c>
      <c r="D157" s="169">
        <v>57</v>
      </c>
      <c r="E157" s="169" t="s">
        <v>1552</v>
      </c>
      <c r="F157" s="169" t="s">
        <v>4003</v>
      </c>
      <c r="G157" s="169" t="s">
        <v>4004</v>
      </c>
      <c r="H157" s="169">
        <v>1</v>
      </c>
      <c r="I157" s="169" t="s">
        <v>1674</v>
      </c>
      <c r="J157" s="169" t="s">
        <v>1403</v>
      </c>
      <c r="K157" s="169">
        <v>2026</v>
      </c>
      <c r="L157" s="170">
        <v>2026</v>
      </c>
      <c r="M157" s="171">
        <v>45961</v>
      </c>
      <c r="N157" s="169" t="s">
        <v>36</v>
      </c>
      <c r="O157" s="169" t="s">
        <v>51</v>
      </c>
      <c r="P157" s="169">
        <v>428</v>
      </c>
      <c r="Q157" s="169" t="s">
        <v>1463</v>
      </c>
      <c r="R157" s="169">
        <v>1</v>
      </c>
      <c r="S157" s="169">
        <v>2</v>
      </c>
      <c r="T157" s="169" t="s">
        <v>1464</v>
      </c>
      <c r="U157" s="169">
        <v>1</v>
      </c>
      <c r="V157" s="170">
        <v>2680061</v>
      </c>
      <c r="W157" s="170">
        <v>0</v>
      </c>
      <c r="X157" s="170" t="s">
        <v>1406</v>
      </c>
      <c r="Y157" s="169"/>
      <c r="Z157" s="169" t="s">
        <v>32</v>
      </c>
      <c r="AA157" s="171">
        <v>45986</v>
      </c>
      <c r="AB157" s="169">
        <v>26</v>
      </c>
      <c r="AC157" s="169">
        <v>80061</v>
      </c>
      <c r="AD157" s="169">
        <v>57</v>
      </c>
      <c r="AE157" s="169" t="s">
        <v>1551</v>
      </c>
      <c r="AF157" s="169">
        <v>57</v>
      </c>
      <c r="AG157" s="169" t="s">
        <v>1552</v>
      </c>
      <c r="AH157" s="169" t="s">
        <v>36</v>
      </c>
      <c r="AI157" s="169" t="s">
        <v>51</v>
      </c>
      <c r="AJ157" s="169">
        <v>428</v>
      </c>
      <c r="AK157" s="169" t="s">
        <v>1473</v>
      </c>
      <c r="AL157" s="169">
        <v>28199</v>
      </c>
      <c r="AM157" s="169" t="s">
        <v>1418</v>
      </c>
      <c r="AN157" s="169" t="s">
        <v>4005</v>
      </c>
      <c r="AO157" s="169">
        <v>28</v>
      </c>
      <c r="AP157" s="169" t="s">
        <v>1416</v>
      </c>
      <c r="AQ157" s="169">
        <v>0</v>
      </c>
      <c r="AR157" s="169" t="s">
        <v>1410</v>
      </c>
      <c r="AS157" s="169"/>
      <c r="AT157" s="169" t="s">
        <v>1417</v>
      </c>
      <c r="AU157" s="169" t="s">
        <v>1412</v>
      </c>
    </row>
    <row r="158" spans="1:47" x14ac:dyDescent="0.45">
      <c r="A158" s="169">
        <v>2605750056</v>
      </c>
      <c r="B158" s="169">
        <v>57</v>
      </c>
      <c r="C158" s="169" t="s">
        <v>1551</v>
      </c>
      <c r="D158" s="169">
        <v>57</v>
      </c>
      <c r="E158" s="169" t="s">
        <v>1552</v>
      </c>
      <c r="F158" s="169" t="s">
        <v>4006</v>
      </c>
      <c r="G158" s="169" t="s">
        <v>4007</v>
      </c>
      <c r="H158" s="169">
        <v>1</v>
      </c>
      <c r="I158" s="169" t="s">
        <v>4008</v>
      </c>
      <c r="J158" s="169" t="s">
        <v>1403</v>
      </c>
      <c r="K158" s="169">
        <v>2026</v>
      </c>
      <c r="L158" s="170">
        <v>2026</v>
      </c>
      <c r="M158" s="171">
        <v>45961</v>
      </c>
      <c r="N158" s="169" t="s">
        <v>36</v>
      </c>
      <c r="O158" s="169" t="s">
        <v>51</v>
      </c>
      <c r="P158" s="169">
        <v>428</v>
      </c>
      <c r="Q158" s="169" t="s">
        <v>1463</v>
      </c>
      <c r="R158" s="169">
        <v>1</v>
      </c>
      <c r="S158" s="169">
        <v>2</v>
      </c>
      <c r="T158" s="169" t="s">
        <v>1464</v>
      </c>
      <c r="U158" s="169">
        <v>1</v>
      </c>
      <c r="V158" s="170">
        <v>0</v>
      </c>
      <c r="W158" s="170">
        <v>0</v>
      </c>
      <c r="X158" s="170" t="s">
        <v>1406</v>
      </c>
      <c r="Y158" s="169"/>
      <c r="Z158" s="169" t="s">
        <v>32</v>
      </c>
      <c r="AA158" s="169"/>
      <c r="AB158" s="169">
        <v>0</v>
      </c>
      <c r="AC158" s="169">
        <v>0</v>
      </c>
      <c r="AD158" s="169">
        <v>0</v>
      </c>
      <c r="AE158" s="169" t="s">
        <v>1446</v>
      </c>
      <c r="AF158" s="169"/>
      <c r="AG158" s="169" t="s">
        <v>1446</v>
      </c>
      <c r="AH158" s="169"/>
      <c r="AI158" s="169"/>
      <c r="AJ158" s="169">
        <v>0</v>
      </c>
      <c r="AK158" s="169" t="s">
        <v>1473</v>
      </c>
      <c r="AL158" s="169">
        <v>28199</v>
      </c>
      <c r="AM158" s="169" t="s">
        <v>1418</v>
      </c>
      <c r="AN158" s="169" t="s">
        <v>4005</v>
      </c>
      <c r="AO158" s="169">
        <v>28</v>
      </c>
      <c r="AP158" s="169" t="s">
        <v>1416</v>
      </c>
      <c r="AQ158" s="169">
        <v>0</v>
      </c>
      <c r="AR158" s="169" t="s">
        <v>1410</v>
      </c>
      <c r="AS158" s="169"/>
      <c r="AT158" s="169" t="s">
        <v>1417</v>
      </c>
      <c r="AU158" s="169" t="s">
        <v>1412</v>
      </c>
    </row>
    <row r="159" spans="1:47" x14ac:dyDescent="0.45">
      <c r="A159" s="169">
        <v>2605750057</v>
      </c>
      <c r="B159" s="169">
        <v>57</v>
      </c>
      <c r="C159" s="169" t="s">
        <v>1551</v>
      </c>
      <c r="D159" s="169">
        <v>57</v>
      </c>
      <c r="E159" s="169" t="s">
        <v>1552</v>
      </c>
      <c r="F159" s="169" t="s">
        <v>4009</v>
      </c>
      <c r="G159" s="169" t="s">
        <v>4010</v>
      </c>
      <c r="H159" s="169">
        <v>2</v>
      </c>
      <c r="I159" s="169" t="s">
        <v>210</v>
      </c>
      <c r="J159" s="169" t="s">
        <v>1403</v>
      </c>
      <c r="K159" s="169">
        <v>2026</v>
      </c>
      <c r="L159" s="170">
        <v>2026</v>
      </c>
      <c r="M159" s="171">
        <v>45926</v>
      </c>
      <c r="N159" s="169" t="s">
        <v>36</v>
      </c>
      <c r="O159" s="169">
        <v>58</v>
      </c>
      <c r="P159" s="169">
        <v>260</v>
      </c>
      <c r="Q159" s="169" t="s">
        <v>1519</v>
      </c>
      <c r="R159" s="169">
        <v>2</v>
      </c>
      <c r="S159" s="169">
        <v>2</v>
      </c>
      <c r="T159" s="169" t="s">
        <v>1464</v>
      </c>
      <c r="U159" s="169">
        <v>1</v>
      </c>
      <c r="V159" s="170">
        <v>2680059</v>
      </c>
      <c r="W159" s="170">
        <v>0</v>
      </c>
      <c r="X159" s="170" t="s">
        <v>1406</v>
      </c>
      <c r="Y159" s="169"/>
      <c r="Z159" s="169" t="s">
        <v>32</v>
      </c>
      <c r="AA159" s="171">
        <v>45981</v>
      </c>
      <c r="AB159" s="169">
        <v>26</v>
      </c>
      <c r="AC159" s="169">
        <v>80059</v>
      </c>
      <c r="AD159" s="169">
        <v>57</v>
      </c>
      <c r="AE159" s="169" t="s">
        <v>1551</v>
      </c>
      <c r="AF159" s="169">
        <v>57</v>
      </c>
      <c r="AG159" s="169" t="s">
        <v>1552</v>
      </c>
      <c r="AH159" s="169" t="s">
        <v>36</v>
      </c>
      <c r="AI159" s="169">
        <v>58</v>
      </c>
      <c r="AJ159" s="169">
        <v>260</v>
      </c>
      <c r="AK159" s="169" t="s">
        <v>1407</v>
      </c>
      <c r="AL159" s="169">
        <v>28282</v>
      </c>
      <c r="AM159" s="169" t="s">
        <v>1414</v>
      </c>
      <c r="AN159" s="169" t="s">
        <v>1572</v>
      </c>
      <c r="AO159" s="169">
        <v>28</v>
      </c>
      <c r="AP159" s="169" t="s">
        <v>1416</v>
      </c>
      <c r="AQ159" s="169">
        <v>0</v>
      </c>
      <c r="AR159" s="169" t="s">
        <v>1410</v>
      </c>
      <c r="AS159" s="169"/>
      <c r="AT159" s="169" t="s">
        <v>1417</v>
      </c>
      <c r="AU159" s="169" t="s">
        <v>1412</v>
      </c>
    </row>
    <row r="160" spans="1:47" x14ac:dyDescent="0.45">
      <c r="A160" s="169">
        <v>2605750058</v>
      </c>
      <c r="B160" s="169">
        <v>57</v>
      </c>
      <c r="C160" s="169" t="s">
        <v>1551</v>
      </c>
      <c r="D160" s="169">
        <v>57</v>
      </c>
      <c r="E160" s="169" t="s">
        <v>1552</v>
      </c>
      <c r="F160" s="169" t="s">
        <v>4011</v>
      </c>
      <c r="G160" s="169" t="s">
        <v>4012</v>
      </c>
      <c r="H160" s="169">
        <v>2</v>
      </c>
      <c r="I160" s="169" t="s">
        <v>4013</v>
      </c>
      <c r="J160" s="169" t="s">
        <v>1403</v>
      </c>
      <c r="K160" s="169">
        <v>2026</v>
      </c>
      <c r="L160" s="170">
        <v>2026</v>
      </c>
      <c r="M160" s="171">
        <v>45908</v>
      </c>
      <c r="N160" s="169" t="s">
        <v>36</v>
      </c>
      <c r="O160" s="169">
        <v>57</v>
      </c>
      <c r="P160" s="169">
        <v>1044</v>
      </c>
      <c r="Q160" s="169" t="s">
        <v>1476</v>
      </c>
      <c r="R160" s="169">
        <v>2</v>
      </c>
      <c r="S160" s="169">
        <v>3</v>
      </c>
      <c r="T160" s="169" t="s">
        <v>1477</v>
      </c>
      <c r="U160" s="169">
        <v>4</v>
      </c>
      <c r="V160" s="170">
        <v>2680003</v>
      </c>
      <c r="W160" s="170">
        <v>0</v>
      </c>
      <c r="X160" s="170" t="s">
        <v>1406</v>
      </c>
      <c r="Y160" s="169"/>
      <c r="Z160" s="169" t="s">
        <v>32</v>
      </c>
      <c r="AA160" s="171">
        <v>45929</v>
      </c>
      <c r="AB160" s="169">
        <v>26</v>
      </c>
      <c r="AC160" s="169">
        <v>80003</v>
      </c>
      <c r="AD160" s="169">
        <v>57</v>
      </c>
      <c r="AE160" s="169" t="s">
        <v>1551</v>
      </c>
      <c r="AF160" s="169">
        <v>57</v>
      </c>
      <c r="AG160" s="169" t="s">
        <v>1552</v>
      </c>
      <c r="AH160" s="169" t="s">
        <v>36</v>
      </c>
      <c r="AI160" s="169">
        <v>57</v>
      </c>
      <c r="AJ160" s="169">
        <v>1044</v>
      </c>
      <c r="AK160" s="169" t="s">
        <v>1407</v>
      </c>
      <c r="AL160" s="169">
        <v>28282</v>
      </c>
      <c r="AM160" s="169" t="s">
        <v>1414</v>
      </c>
      <c r="AN160" s="169" t="s">
        <v>1572</v>
      </c>
      <c r="AO160" s="169">
        <v>28</v>
      </c>
      <c r="AP160" s="169" t="s">
        <v>1416</v>
      </c>
      <c r="AQ160" s="169">
        <v>0</v>
      </c>
      <c r="AR160" s="169" t="s">
        <v>1410</v>
      </c>
      <c r="AS160" s="169"/>
      <c r="AT160" s="169" t="s">
        <v>1417</v>
      </c>
      <c r="AU160" s="169" t="s">
        <v>1412</v>
      </c>
    </row>
    <row r="161" spans="1:47" x14ac:dyDescent="0.45">
      <c r="A161" s="169">
        <v>2605750061</v>
      </c>
      <c r="B161" s="169">
        <v>57</v>
      </c>
      <c r="C161" s="169" t="s">
        <v>1551</v>
      </c>
      <c r="D161" s="169">
        <v>57</v>
      </c>
      <c r="E161" s="169" t="s">
        <v>1552</v>
      </c>
      <c r="F161" s="169" t="s">
        <v>4014</v>
      </c>
      <c r="G161" s="169" t="s">
        <v>4015</v>
      </c>
      <c r="H161" s="169">
        <v>1</v>
      </c>
      <c r="I161" s="169" t="s">
        <v>543</v>
      </c>
      <c r="J161" s="169" t="s">
        <v>1403</v>
      </c>
      <c r="K161" s="169">
        <v>2026</v>
      </c>
      <c r="L161" s="170">
        <v>2026</v>
      </c>
      <c r="M161" s="171">
        <v>45949</v>
      </c>
      <c r="N161" s="169" t="s">
        <v>36</v>
      </c>
      <c r="O161" s="169">
        <v>58</v>
      </c>
      <c r="P161" s="169">
        <v>428</v>
      </c>
      <c r="Q161" s="169" t="s">
        <v>1463</v>
      </c>
      <c r="R161" s="169">
        <v>2</v>
      </c>
      <c r="S161" s="169">
        <v>2</v>
      </c>
      <c r="T161" s="169" t="s">
        <v>1464</v>
      </c>
      <c r="U161" s="169">
        <v>1</v>
      </c>
      <c r="V161" s="170">
        <v>2680037</v>
      </c>
      <c r="W161" s="170">
        <v>0</v>
      </c>
      <c r="X161" s="170" t="s">
        <v>1406</v>
      </c>
      <c r="Y161" s="169"/>
      <c r="Z161" s="169" t="s">
        <v>32</v>
      </c>
      <c r="AA161" s="171">
        <v>45965</v>
      </c>
      <c r="AB161" s="169">
        <v>26</v>
      </c>
      <c r="AC161" s="169">
        <v>80037</v>
      </c>
      <c r="AD161" s="169">
        <v>57</v>
      </c>
      <c r="AE161" s="169" t="s">
        <v>1551</v>
      </c>
      <c r="AF161" s="169">
        <v>57</v>
      </c>
      <c r="AG161" s="169" t="s">
        <v>1552</v>
      </c>
      <c r="AH161" s="169" t="s">
        <v>36</v>
      </c>
      <c r="AI161" s="169">
        <v>58</v>
      </c>
      <c r="AJ161" s="169">
        <v>428</v>
      </c>
      <c r="AK161" s="169" t="s">
        <v>1407</v>
      </c>
      <c r="AL161" s="169">
        <v>28185</v>
      </c>
      <c r="AM161" s="169" t="s">
        <v>1418</v>
      </c>
      <c r="AN161" s="169" t="s">
        <v>1438</v>
      </c>
      <c r="AO161" s="169">
        <v>28</v>
      </c>
      <c r="AP161" s="169" t="s">
        <v>1416</v>
      </c>
      <c r="AQ161" s="169">
        <v>0</v>
      </c>
      <c r="AR161" s="169" t="s">
        <v>1410</v>
      </c>
      <c r="AS161" s="169"/>
      <c r="AT161" s="169" t="s">
        <v>1417</v>
      </c>
      <c r="AU161" s="169" t="s">
        <v>1412</v>
      </c>
    </row>
    <row r="162" spans="1:47" x14ac:dyDescent="0.45">
      <c r="A162" s="169">
        <v>2605750062</v>
      </c>
      <c r="B162" s="169">
        <v>57</v>
      </c>
      <c r="C162" s="169" t="s">
        <v>1551</v>
      </c>
      <c r="D162" s="169">
        <v>57</v>
      </c>
      <c r="E162" s="169" t="s">
        <v>1552</v>
      </c>
      <c r="F162" s="169" t="s">
        <v>4016</v>
      </c>
      <c r="G162" s="169" t="s">
        <v>4017</v>
      </c>
      <c r="H162" s="169">
        <v>2</v>
      </c>
      <c r="I162" s="169" t="s">
        <v>405</v>
      </c>
      <c r="J162" s="169" t="s">
        <v>1403</v>
      </c>
      <c r="K162" s="169">
        <v>2026</v>
      </c>
      <c r="L162" s="170">
        <v>2026</v>
      </c>
      <c r="M162" s="171">
        <v>45940</v>
      </c>
      <c r="N162" s="169" t="s">
        <v>36</v>
      </c>
      <c r="O162" s="169">
        <v>57</v>
      </c>
      <c r="P162" s="169">
        <v>1044</v>
      </c>
      <c r="Q162" s="169" t="s">
        <v>1476</v>
      </c>
      <c r="R162" s="169">
        <v>2</v>
      </c>
      <c r="S162" s="169">
        <v>3</v>
      </c>
      <c r="T162" s="169" t="s">
        <v>1477</v>
      </c>
      <c r="U162" s="169">
        <v>4</v>
      </c>
      <c r="V162" s="170">
        <v>2680111</v>
      </c>
      <c r="W162" s="170">
        <v>0</v>
      </c>
      <c r="X162" s="170" t="s">
        <v>1406</v>
      </c>
      <c r="Y162" s="169"/>
      <c r="Z162" s="169" t="s">
        <v>32</v>
      </c>
      <c r="AA162" s="171">
        <v>46028</v>
      </c>
      <c r="AB162" s="169">
        <v>26</v>
      </c>
      <c r="AC162" s="169">
        <v>80111</v>
      </c>
      <c r="AD162" s="169">
        <v>57</v>
      </c>
      <c r="AE162" s="169" t="s">
        <v>1551</v>
      </c>
      <c r="AF162" s="169">
        <v>57</v>
      </c>
      <c r="AG162" s="169" t="s">
        <v>1552</v>
      </c>
      <c r="AH162" s="169" t="s">
        <v>36</v>
      </c>
      <c r="AI162" s="169">
        <v>57</v>
      </c>
      <c r="AJ162" s="169">
        <v>1044</v>
      </c>
      <c r="AK162" s="169" t="s">
        <v>1407</v>
      </c>
      <c r="AL162" s="169">
        <v>28030</v>
      </c>
      <c r="AM162" s="169" t="s">
        <v>1418</v>
      </c>
      <c r="AN162" s="169" t="s">
        <v>1566</v>
      </c>
      <c r="AO162" s="169">
        <v>28</v>
      </c>
      <c r="AP162" s="169" t="s">
        <v>1416</v>
      </c>
      <c r="AQ162" s="169">
        <v>0</v>
      </c>
      <c r="AR162" s="169" t="s">
        <v>1410</v>
      </c>
      <c r="AS162" s="169"/>
      <c r="AT162" s="169" t="s">
        <v>1417</v>
      </c>
      <c r="AU162" s="169" t="s">
        <v>1412</v>
      </c>
    </row>
    <row r="163" spans="1:47" x14ac:dyDescent="0.45">
      <c r="A163" s="169">
        <v>2605750063</v>
      </c>
      <c r="B163" s="169">
        <v>57</v>
      </c>
      <c r="C163" s="169" t="s">
        <v>1551</v>
      </c>
      <c r="D163" s="169">
        <v>57</v>
      </c>
      <c r="E163" s="169" t="s">
        <v>1552</v>
      </c>
      <c r="F163" s="169" t="s">
        <v>4018</v>
      </c>
      <c r="G163" s="169" t="s">
        <v>4019</v>
      </c>
      <c r="H163" s="169">
        <v>1</v>
      </c>
      <c r="I163" s="169" t="s">
        <v>4020</v>
      </c>
      <c r="J163" s="169" t="s">
        <v>1403</v>
      </c>
      <c r="K163" s="169">
        <v>2026</v>
      </c>
      <c r="L163" s="170">
        <v>2026</v>
      </c>
      <c r="M163" s="171">
        <v>45946</v>
      </c>
      <c r="N163" s="169" t="s">
        <v>36</v>
      </c>
      <c r="O163" s="169" t="s">
        <v>51</v>
      </c>
      <c r="P163" s="169">
        <v>428</v>
      </c>
      <c r="Q163" s="169" t="s">
        <v>1463</v>
      </c>
      <c r="R163" s="169">
        <v>1</v>
      </c>
      <c r="S163" s="169">
        <v>2</v>
      </c>
      <c r="T163" s="169" t="s">
        <v>1464</v>
      </c>
      <c r="U163" s="169">
        <v>1</v>
      </c>
      <c r="V163" s="170">
        <v>0</v>
      </c>
      <c r="W163" s="170">
        <v>0</v>
      </c>
      <c r="X163" s="170" t="s">
        <v>1406</v>
      </c>
      <c r="Y163" s="171">
        <v>45991</v>
      </c>
      <c r="Z163" s="169" t="s">
        <v>32</v>
      </c>
      <c r="AA163" s="169"/>
      <c r="AB163" s="169">
        <v>0</v>
      </c>
      <c r="AC163" s="169">
        <v>0</v>
      </c>
      <c r="AD163" s="169">
        <v>0</v>
      </c>
      <c r="AE163" s="169" t="s">
        <v>1446</v>
      </c>
      <c r="AF163" s="169"/>
      <c r="AG163" s="169" t="s">
        <v>1446</v>
      </c>
      <c r="AH163" s="169"/>
      <c r="AI163" s="169"/>
      <c r="AJ163" s="169">
        <v>0</v>
      </c>
      <c r="AK163" s="169" t="s">
        <v>1473</v>
      </c>
      <c r="AL163" s="169">
        <v>28008</v>
      </c>
      <c r="AM163" s="169" t="s">
        <v>1418</v>
      </c>
      <c r="AN163" s="169" t="s">
        <v>1613</v>
      </c>
      <c r="AO163" s="169">
        <v>28</v>
      </c>
      <c r="AP163" s="169" t="s">
        <v>1416</v>
      </c>
      <c r="AQ163" s="169">
        <v>0</v>
      </c>
      <c r="AR163" s="169" t="s">
        <v>1410</v>
      </c>
      <c r="AS163" s="169"/>
      <c r="AT163" s="169" t="s">
        <v>1417</v>
      </c>
      <c r="AU163" s="169" t="s">
        <v>1412</v>
      </c>
    </row>
    <row r="164" spans="1:47" x14ac:dyDescent="0.45">
      <c r="A164" s="169">
        <v>2605750064</v>
      </c>
      <c r="B164" s="169">
        <v>57</v>
      </c>
      <c r="C164" s="169" t="s">
        <v>1551</v>
      </c>
      <c r="D164" s="169">
        <v>57</v>
      </c>
      <c r="E164" s="169" t="s">
        <v>1552</v>
      </c>
      <c r="F164" s="169" t="s">
        <v>4021</v>
      </c>
      <c r="G164" s="169" t="s">
        <v>4022</v>
      </c>
      <c r="H164" s="169">
        <v>2</v>
      </c>
      <c r="I164" s="169" t="s">
        <v>4023</v>
      </c>
      <c r="J164" s="169" t="s">
        <v>1468</v>
      </c>
      <c r="K164" s="169">
        <v>2026</v>
      </c>
      <c r="L164" s="170">
        <v>2026</v>
      </c>
      <c r="M164" s="171">
        <v>45931</v>
      </c>
      <c r="N164" s="169" t="s">
        <v>36</v>
      </c>
      <c r="O164" s="169">
        <v>58</v>
      </c>
      <c r="P164" s="169">
        <v>852</v>
      </c>
      <c r="Q164" s="169" t="s">
        <v>1472</v>
      </c>
      <c r="R164" s="169">
        <v>2</v>
      </c>
      <c r="S164" s="169">
        <v>2</v>
      </c>
      <c r="T164" s="169" t="s">
        <v>1464</v>
      </c>
      <c r="U164" s="169">
        <v>1</v>
      </c>
      <c r="V164" s="170">
        <v>2680022</v>
      </c>
      <c r="W164" s="170">
        <v>0</v>
      </c>
      <c r="X164" s="170" t="s">
        <v>1406</v>
      </c>
      <c r="Y164" s="169"/>
      <c r="Z164" s="169" t="s">
        <v>32</v>
      </c>
      <c r="AA164" s="171">
        <v>45947</v>
      </c>
      <c r="AB164" s="169">
        <v>26</v>
      </c>
      <c r="AC164" s="169">
        <v>80022</v>
      </c>
      <c r="AD164" s="169">
        <v>57</v>
      </c>
      <c r="AE164" s="169" t="s">
        <v>1551</v>
      </c>
      <c r="AF164" s="169">
        <v>57</v>
      </c>
      <c r="AG164" s="169" t="s">
        <v>1552</v>
      </c>
      <c r="AH164" s="169" t="s">
        <v>36</v>
      </c>
      <c r="AI164" s="169">
        <v>58</v>
      </c>
      <c r="AJ164" s="169">
        <v>852</v>
      </c>
      <c r="AK164" s="169" t="s">
        <v>1407</v>
      </c>
      <c r="AL164" s="169">
        <v>33129</v>
      </c>
      <c r="AM164" s="169" t="s">
        <v>1418</v>
      </c>
      <c r="AN164" s="169" t="s">
        <v>4024</v>
      </c>
      <c r="AO164" s="169">
        <v>33</v>
      </c>
      <c r="AP164" s="169" t="s">
        <v>1427</v>
      </c>
      <c r="AQ164" s="169">
        <v>0</v>
      </c>
      <c r="AR164" s="169" t="s">
        <v>1410</v>
      </c>
      <c r="AS164" s="169"/>
      <c r="AT164" s="169" t="s">
        <v>1417</v>
      </c>
      <c r="AU164" s="169" t="s">
        <v>1412</v>
      </c>
    </row>
    <row r="165" spans="1:47" x14ac:dyDescent="0.45">
      <c r="A165" s="169">
        <v>2605750067</v>
      </c>
      <c r="B165" s="169">
        <v>57</v>
      </c>
      <c r="C165" s="169" t="s">
        <v>1551</v>
      </c>
      <c r="D165" s="169">
        <v>57</v>
      </c>
      <c r="E165" s="169" t="s">
        <v>1552</v>
      </c>
      <c r="F165" s="169" t="s">
        <v>4025</v>
      </c>
      <c r="G165" s="169" t="s">
        <v>4026</v>
      </c>
      <c r="H165" s="169">
        <v>1</v>
      </c>
      <c r="I165" s="169" t="s">
        <v>4027</v>
      </c>
      <c r="J165" s="169" t="s">
        <v>1403</v>
      </c>
      <c r="K165" s="169">
        <v>2026</v>
      </c>
      <c r="L165" s="170">
        <v>2026</v>
      </c>
      <c r="M165" s="171">
        <v>45947</v>
      </c>
      <c r="N165" s="169" t="s">
        <v>36</v>
      </c>
      <c r="O165" s="169">
        <v>58</v>
      </c>
      <c r="P165" s="169">
        <v>428</v>
      </c>
      <c r="Q165" s="169" t="s">
        <v>1463</v>
      </c>
      <c r="R165" s="169">
        <v>2</v>
      </c>
      <c r="S165" s="169">
        <v>2</v>
      </c>
      <c r="T165" s="169" t="s">
        <v>1464</v>
      </c>
      <c r="U165" s="169">
        <v>1</v>
      </c>
      <c r="V165" s="170">
        <v>2680124</v>
      </c>
      <c r="W165" s="170">
        <v>0</v>
      </c>
      <c r="X165" s="170" t="s">
        <v>1406</v>
      </c>
      <c r="Y165" s="169"/>
      <c r="Z165" s="169" t="s">
        <v>32</v>
      </c>
      <c r="AA165" s="171">
        <v>46035</v>
      </c>
      <c r="AB165" s="169">
        <v>26</v>
      </c>
      <c r="AC165" s="169">
        <v>80124</v>
      </c>
      <c r="AD165" s="169">
        <v>57</v>
      </c>
      <c r="AE165" s="169" t="s">
        <v>1551</v>
      </c>
      <c r="AF165" s="169">
        <v>57</v>
      </c>
      <c r="AG165" s="169" t="s">
        <v>1552</v>
      </c>
      <c r="AH165" s="169" t="s">
        <v>36</v>
      </c>
      <c r="AI165" s="169">
        <v>58</v>
      </c>
      <c r="AJ165" s="169">
        <v>428</v>
      </c>
      <c r="AK165" s="169" t="s">
        <v>1407</v>
      </c>
      <c r="AL165" s="169">
        <v>28185</v>
      </c>
      <c r="AM165" s="169" t="s">
        <v>1418</v>
      </c>
      <c r="AN165" s="169" t="s">
        <v>1438</v>
      </c>
      <c r="AO165" s="169">
        <v>28</v>
      </c>
      <c r="AP165" s="169" t="s">
        <v>1416</v>
      </c>
      <c r="AQ165" s="169">
        <v>0</v>
      </c>
      <c r="AR165" s="169" t="s">
        <v>1410</v>
      </c>
      <c r="AS165" s="169"/>
      <c r="AT165" s="169" t="s">
        <v>1417</v>
      </c>
      <c r="AU165" s="169" t="s">
        <v>1412</v>
      </c>
    </row>
    <row r="166" spans="1:47" x14ac:dyDescent="0.45">
      <c r="A166" s="169">
        <v>2605750069</v>
      </c>
      <c r="B166" s="169">
        <v>57</v>
      </c>
      <c r="C166" s="169" t="s">
        <v>1551</v>
      </c>
      <c r="D166" s="169">
        <v>57</v>
      </c>
      <c r="E166" s="169" t="s">
        <v>1552</v>
      </c>
      <c r="F166" s="169" t="s">
        <v>4028</v>
      </c>
      <c r="G166" s="169" t="s">
        <v>4029</v>
      </c>
      <c r="H166" s="169">
        <v>1</v>
      </c>
      <c r="I166" s="169" t="s">
        <v>4030</v>
      </c>
      <c r="J166" s="169" t="s">
        <v>1403</v>
      </c>
      <c r="K166" s="169">
        <v>2026</v>
      </c>
      <c r="L166" s="170">
        <v>2026</v>
      </c>
      <c r="M166" s="171">
        <v>45958</v>
      </c>
      <c r="N166" s="169" t="s">
        <v>36</v>
      </c>
      <c r="O166" s="169">
        <v>7</v>
      </c>
      <c r="P166" s="169">
        <v>266</v>
      </c>
      <c r="Q166" s="169" t="s">
        <v>1526</v>
      </c>
      <c r="R166" s="169">
        <v>2</v>
      </c>
      <c r="S166" s="169">
        <v>1</v>
      </c>
      <c r="T166" s="169" t="s">
        <v>1527</v>
      </c>
      <c r="U166" s="169">
        <v>3</v>
      </c>
      <c r="V166" s="170">
        <v>2680042</v>
      </c>
      <c r="W166" s="170">
        <v>0</v>
      </c>
      <c r="X166" s="170" t="s">
        <v>1406</v>
      </c>
      <c r="Y166" s="169"/>
      <c r="Z166" s="169" t="s">
        <v>32</v>
      </c>
      <c r="AA166" s="171">
        <v>45971</v>
      </c>
      <c r="AB166" s="169">
        <v>26</v>
      </c>
      <c r="AC166" s="169">
        <v>80042</v>
      </c>
      <c r="AD166" s="169">
        <v>57</v>
      </c>
      <c r="AE166" s="169" t="s">
        <v>1551</v>
      </c>
      <c r="AF166" s="169">
        <v>57</v>
      </c>
      <c r="AG166" s="169" t="s">
        <v>1552</v>
      </c>
      <c r="AH166" s="169" t="s">
        <v>36</v>
      </c>
      <c r="AI166" s="169">
        <v>7</v>
      </c>
      <c r="AJ166" s="169">
        <v>266</v>
      </c>
      <c r="AK166" s="169" t="s">
        <v>1407</v>
      </c>
      <c r="AL166" s="169">
        <v>28124</v>
      </c>
      <c r="AM166" s="169" t="s">
        <v>1414</v>
      </c>
      <c r="AN166" s="169" t="s">
        <v>1483</v>
      </c>
      <c r="AO166" s="169">
        <v>28</v>
      </c>
      <c r="AP166" s="169" t="s">
        <v>1416</v>
      </c>
      <c r="AQ166" s="169">
        <v>0</v>
      </c>
      <c r="AR166" s="169" t="s">
        <v>1410</v>
      </c>
      <c r="AS166" s="169"/>
      <c r="AT166" s="169" t="s">
        <v>1417</v>
      </c>
      <c r="AU166" s="169" t="s">
        <v>1412</v>
      </c>
    </row>
    <row r="167" spans="1:47" x14ac:dyDescent="0.45">
      <c r="A167" s="169">
        <v>2605750070</v>
      </c>
      <c r="B167" s="169">
        <v>57</v>
      </c>
      <c r="C167" s="169" t="s">
        <v>1551</v>
      </c>
      <c r="D167" s="169">
        <v>57</v>
      </c>
      <c r="E167" s="169" t="s">
        <v>1552</v>
      </c>
      <c r="F167" s="169" t="s">
        <v>4031</v>
      </c>
      <c r="G167" s="169" t="s">
        <v>4032</v>
      </c>
      <c r="H167" s="169">
        <v>1</v>
      </c>
      <c r="I167" s="169" t="s">
        <v>4033</v>
      </c>
      <c r="J167" s="169" t="s">
        <v>1485</v>
      </c>
      <c r="K167" s="169">
        <v>2026</v>
      </c>
      <c r="L167" s="170">
        <v>2026</v>
      </c>
      <c r="M167" s="171">
        <v>45930</v>
      </c>
      <c r="N167" s="169" t="s">
        <v>36</v>
      </c>
      <c r="O167" s="169">
        <v>58</v>
      </c>
      <c r="P167" s="169">
        <v>856</v>
      </c>
      <c r="Q167" s="169" t="s">
        <v>1533</v>
      </c>
      <c r="R167" s="169">
        <v>2</v>
      </c>
      <c r="S167" s="169">
        <v>2</v>
      </c>
      <c r="T167" s="169" t="s">
        <v>1464</v>
      </c>
      <c r="U167" s="169">
        <v>1</v>
      </c>
      <c r="V167" s="170">
        <v>2680065</v>
      </c>
      <c r="W167" s="170">
        <v>0</v>
      </c>
      <c r="X167" s="170" t="s">
        <v>1406</v>
      </c>
      <c r="Y167" s="169"/>
      <c r="Z167" s="169" t="s">
        <v>32</v>
      </c>
      <c r="AA167" s="171">
        <v>45988</v>
      </c>
      <c r="AB167" s="169">
        <v>26</v>
      </c>
      <c r="AC167" s="169">
        <v>80065</v>
      </c>
      <c r="AD167" s="169">
        <v>57</v>
      </c>
      <c r="AE167" s="169" t="s">
        <v>1551</v>
      </c>
      <c r="AF167" s="169">
        <v>57</v>
      </c>
      <c r="AG167" s="169" t="s">
        <v>1552</v>
      </c>
      <c r="AH167" s="169" t="s">
        <v>36</v>
      </c>
      <c r="AI167" s="169">
        <v>58</v>
      </c>
      <c r="AJ167" s="169">
        <v>856</v>
      </c>
      <c r="AK167" s="169" t="s">
        <v>1407</v>
      </c>
      <c r="AL167" s="169">
        <v>31006</v>
      </c>
      <c r="AM167" s="169" t="s">
        <v>1421</v>
      </c>
      <c r="AN167" s="169" t="s">
        <v>1486</v>
      </c>
      <c r="AO167" s="169">
        <v>31</v>
      </c>
      <c r="AP167" s="169" t="s">
        <v>1487</v>
      </c>
      <c r="AQ167" s="169">
        <v>0</v>
      </c>
      <c r="AR167" s="169" t="s">
        <v>1410</v>
      </c>
      <c r="AS167" s="169"/>
      <c r="AT167" s="169" t="s">
        <v>1417</v>
      </c>
      <c r="AU167" s="169" t="s">
        <v>1412</v>
      </c>
    </row>
    <row r="168" spans="1:47" x14ac:dyDescent="0.45">
      <c r="A168" s="169">
        <v>2605750071</v>
      </c>
      <c r="B168" s="169">
        <v>57</v>
      </c>
      <c r="C168" s="169" t="s">
        <v>1551</v>
      </c>
      <c r="D168" s="169">
        <v>57</v>
      </c>
      <c r="E168" s="169" t="s">
        <v>1552</v>
      </c>
      <c r="F168" s="169" t="s">
        <v>4034</v>
      </c>
      <c r="G168" s="169" t="s">
        <v>4035</v>
      </c>
      <c r="H168" s="169">
        <v>2</v>
      </c>
      <c r="I168" s="169" t="s">
        <v>454</v>
      </c>
      <c r="J168" s="169" t="s">
        <v>1403</v>
      </c>
      <c r="K168" s="169">
        <v>2026</v>
      </c>
      <c r="L168" s="170">
        <v>2026</v>
      </c>
      <c r="M168" s="171">
        <v>45931</v>
      </c>
      <c r="N168" s="169" t="s">
        <v>36</v>
      </c>
      <c r="O168" s="169" t="s">
        <v>51</v>
      </c>
      <c r="P168" s="169">
        <v>427</v>
      </c>
      <c r="Q168" s="169" t="s">
        <v>1479</v>
      </c>
      <c r="R168" s="169">
        <v>1</v>
      </c>
      <c r="S168" s="169">
        <v>2</v>
      </c>
      <c r="T168" s="169" t="s">
        <v>1464</v>
      </c>
      <c r="U168" s="169">
        <v>1</v>
      </c>
      <c r="V168" s="170">
        <v>0</v>
      </c>
      <c r="W168" s="170">
        <v>0</v>
      </c>
      <c r="X168" s="170" t="s">
        <v>1406</v>
      </c>
      <c r="Y168" s="169"/>
      <c r="Z168" s="169" t="s">
        <v>32</v>
      </c>
      <c r="AA168" s="169"/>
      <c r="AB168" s="169">
        <v>0</v>
      </c>
      <c r="AC168" s="169">
        <v>0</v>
      </c>
      <c r="AD168" s="169">
        <v>0</v>
      </c>
      <c r="AE168" s="169" t="s">
        <v>1446</v>
      </c>
      <c r="AF168" s="169"/>
      <c r="AG168" s="169" t="s">
        <v>1446</v>
      </c>
      <c r="AH168" s="169"/>
      <c r="AI168" s="169"/>
      <c r="AJ168" s="169">
        <v>0</v>
      </c>
      <c r="AK168" s="169" t="s">
        <v>1473</v>
      </c>
      <c r="AL168" s="169">
        <v>28027</v>
      </c>
      <c r="AM168" s="169" t="s">
        <v>1418</v>
      </c>
      <c r="AN168" s="169" t="s">
        <v>1624</v>
      </c>
      <c r="AO168" s="169">
        <v>28</v>
      </c>
      <c r="AP168" s="169" t="s">
        <v>1416</v>
      </c>
      <c r="AQ168" s="169">
        <v>0</v>
      </c>
      <c r="AR168" s="169" t="s">
        <v>1410</v>
      </c>
      <c r="AS168" s="169"/>
      <c r="AT168" s="169" t="s">
        <v>1417</v>
      </c>
      <c r="AU168" s="169" t="s">
        <v>1412</v>
      </c>
    </row>
    <row r="169" spans="1:47" x14ac:dyDescent="0.45">
      <c r="A169" s="169">
        <v>2605750072</v>
      </c>
      <c r="B169" s="169">
        <v>57</v>
      </c>
      <c r="C169" s="169" t="s">
        <v>1551</v>
      </c>
      <c r="D169" s="169">
        <v>57</v>
      </c>
      <c r="E169" s="169" t="s">
        <v>1552</v>
      </c>
      <c r="F169" s="169" t="s">
        <v>4036</v>
      </c>
      <c r="G169" s="169" t="s">
        <v>4037</v>
      </c>
      <c r="H169" s="169">
        <v>1</v>
      </c>
      <c r="I169" s="169" t="s">
        <v>288</v>
      </c>
      <c r="J169" s="169" t="s">
        <v>1403</v>
      </c>
      <c r="K169" s="169">
        <v>2026</v>
      </c>
      <c r="L169" s="170">
        <v>2026</v>
      </c>
      <c r="M169" s="171">
        <v>45910</v>
      </c>
      <c r="N169" s="169" t="s">
        <v>36</v>
      </c>
      <c r="O169" s="169">
        <v>58</v>
      </c>
      <c r="P169" s="169">
        <v>428</v>
      </c>
      <c r="Q169" s="169" t="s">
        <v>1463</v>
      </c>
      <c r="R169" s="169">
        <v>2</v>
      </c>
      <c r="S169" s="169">
        <v>2</v>
      </c>
      <c r="T169" s="169" t="s">
        <v>1464</v>
      </c>
      <c r="U169" s="169">
        <v>1</v>
      </c>
      <c r="V169" s="170">
        <v>2680006</v>
      </c>
      <c r="W169" s="170">
        <v>0</v>
      </c>
      <c r="X169" s="170" t="s">
        <v>1406</v>
      </c>
      <c r="Y169" s="169"/>
      <c r="Z169" s="169" t="s">
        <v>32</v>
      </c>
      <c r="AA169" s="171">
        <v>45932</v>
      </c>
      <c r="AB169" s="169">
        <v>26</v>
      </c>
      <c r="AC169" s="169">
        <v>80006</v>
      </c>
      <c r="AD169" s="169">
        <v>57</v>
      </c>
      <c r="AE169" s="169" t="s">
        <v>1551</v>
      </c>
      <c r="AF169" s="169">
        <v>57</v>
      </c>
      <c r="AG169" s="169" t="s">
        <v>1552</v>
      </c>
      <c r="AH169" s="169" t="s">
        <v>36</v>
      </c>
      <c r="AI169" s="169">
        <v>58</v>
      </c>
      <c r="AJ169" s="169">
        <v>428</v>
      </c>
      <c r="AK169" s="169" t="s">
        <v>1407</v>
      </c>
      <c r="AL169" s="169">
        <v>28124</v>
      </c>
      <c r="AM169" s="169" t="s">
        <v>1414</v>
      </c>
      <c r="AN169" s="169" t="s">
        <v>1483</v>
      </c>
      <c r="AO169" s="169">
        <v>28</v>
      </c>
      <c r="AP169" s="169" t="s">
        <v>1416</v>
      </c>
      <c r="AQ169" s="169">
        <v>0</v>
      </c>
      <c r="AR169" s="169" t="s">
        <v>1410</v>
      </c>
      <c r="AS169" s="169"/>
      <c r="AT169" s="169" t="s">
        <v>1417</v>
      </c>
      <c r="AU169" s="169" t="s">
        <v>1412</v>
      </c>
    </row>
    <row r="170" spans="1:47" x14ac:dyDescent="0.45">
      <c r="A170" s="169">
        <v>2605750074</v>
      </c>
      <c r="B170" s="169">
        <v>57</v>
      </c>
      <c r="C170" s="169" t="s">
        <v>1551</v>
      </c>
      <c r="D170" s="169">
        <v>57</v>
      </c>
      <c r="E170" s="169" t="s">
        <v>1552</v>
      </c>
      <c r="F170" s="169" t="s">
        <v>4038</v>
      </c>
      <c r="G170" s="169" t="s">
        <v>4039</v>
      </c>
      <c r="H170" s="169">
        <v>1</v>
      </c>
      <c r="I170" s="169" t="s">
        <v>341</v>
      </c>
      <c r="J170" s="169" t="s">
        <v>1403</v>
      </c>
      <c r="K170" s="169">
        <v>2026</v>
      </c>
      <c r="L170" s="170">
        <v>2026</v>
      </c>
      <c r="M170" s="171">
        <v>45958</v>
      </c>
      <c r="N170" s="169" t="s">
        <v>36</v>
      </c>
      <c r="O170" s="169" t="s">
        <v>51</v>
      </c>
      <c r="P170" s="169">
        <v>427</v>
      </c>
      <c r="Q170" s="169" t="s">
        <v>1479</v>
      </c>
      <c r="R170" s="169">
        <v>1</v>
      </c>
      <c r="S170" s="169">
        <v>2</v>
      </c>
      <c r="T170" s="169" t="s">
        <v>1464</v>
      </c>
      <c r="U170" s="169">
        <v>1</v>
      </c>
      <c r="V170" s="170">
        <v>0</v>
      </c>
      <c r="W170" s="170">
        <v>0</v>
      </c>
      <c r="X170" s="170" t="s">
        <v>1406</v>
      </c>
      <c r="Y170" s="171">
        <v>46035</v>
      </c>
      <c r="Z170" s="169" t="s">
        <v>32</v>
      </c>
      <c r="AA170" s="169"/>
      <c r="AB170" s="169">
        <v>0</v>
      </c>
      <c r="AC170" s="169">
        <v>0</v>
      </c>
      <c r="AD170" s="169">
        <v>0</v>
      </c>
      <c r="AE170" s="169" t="s">
        <v>1446</v>
      </c>
      <c r="AF170" s="169"/>
      <c r="AG170" s="169" t="s">
        <v>1446</v>
      </c>
      <c r="AH170" s="169"/>
      <c r="AI170" s="169"/>
      <c r="AJ170" s="169">
        <v>0</v>
      </c>
      <c r="AK170" s="169" t="s">
        <v>1473</v>
      </c>
      <c r="AL170" s="169">
        <v>28007</v>
      </c>
      <c r="AM170" s="169" t="s">
        <v>1418</v>
      </c>
      <c r="AN170" s="169" t="s">
        <v>1583</v>
      </c>
      <c r="AO170" s="169">
        <v>28</v>
      </c>
      <c r="AP170" s="169" t="s">
        <v>1416</v>
      </c>
      <c r="AQ170" s="169">
        <v>0</v>
      </c>
      <c r="AR170" s="169" t="s">
        <v>1410</v>
      </c>
      <c r="AS170" s="169"/>
      <c r="AT170" s="169" t="s">
        <v>1417</v>
      </c>
      <c r="AU170" s="169" t="s">
        <v>1412</v>
      </c>
    </row>
    <row r="171" spans="1:47" x14ac:dyDescent="0.45">
      <c r="A171" s="169">
        <v>2605750075</v>
      </c>
      <c r="B171" s="169">
        <v>57</v>
      </c>
      <c r="C171" s="169" t="s">
        <v>1551</v>
      </c>
      <c r="D171" s="169">
        <v>57</v>
      </c>
      <c r="E171" s="169" t="s">
        <v>1552</v>
      </c>
      <c r="F171" s="169" t="s">
        <v>4040</v>
      </c>
      <c r="G171" s="169" t="s">
        <v>4041</v>
      </c>
      <c r="H171" s="169">
        <v>1</v>
      </c>
      <c r="I171" s="169" t="s">
        <v>4042</v>
      </c>
      <c r="J171" s="169" t="s">
        <v>1403</v>
      </c>
      <c r="K171" s="169">
        <v>2026</v>
      </c>
      <c r="L171" s="170">
        <v>2026</v>
      </c>
      <c r="M171" s="171">
        <v>45931</v>
      </c>
      <c r="N171" s="169" t="s">
        <v>36</v>
      </c>
      <c r="O171" s="169">
        <v>58</v>
      </c>
      <c r="P171" s="169">
        <v>428</v>
      </c>
      <c r="Q171" s="169" t="s">
        <v>1463</v>
      </c>
      <c r="R171" s="169">
        <v>2</v>
      </c>
      <c r="S171" s="169">
        <v>2</v>
      </c>
      <c r="T171" s="169" t="s">
        <v>1464</v>
      </c>
      <c r="U171" s="169">
        <v>1</v>
      </c>
      <c r="V171" s="170">
        <v>2680087</v>
      </c>
      <c r="W171" s="170">
        <v>0</v>
      </c>
      <c r="X171" s="170" t="s">
        <v>1406</v>
      </c>
      <c r="Y171" s="169"/>
      <c r="Z171" s="169" t="s">
        <v>32</v>
      </c>
      <c r="AA171" s="171">
        <v>46007</v>
      </c>
      <c r="AB171" s="169">
        <v>26</v>
      </c>
      <c r="AC171" s="169">
        <v>80087</v>
      </c>
      <c r="AD171" s="169">
        <v>57</v>
      </c>
      <c r="AE171" s="169" t="s">
        <v>1551</v>
      </c>
      <c r="AF171" s="169">
        <v>57</v>
      </c>
      <c r="AG171" s="169" t="s">
        <v>1552</v>
      </c>
      <c r="AH171" s="169" t="s">
        <v>36</v>
      </c>
      <c r="AI171" s="169">
        <v>58</v>
      </c>
      <c r="AJ171" s="169">
        <v>428</v>
      </c>
      <c r="AK171" s="169" t="s">
        <v>1407</v>
      </c>
      <c r="AL171" s="169">
        <v>26064</v>
      </c>
      <c r="AM171" s="169" t="s">
        <v>1421</v>
      </c>
      <c r="AN171" s="169" t="s">
        <v>2805</v>
      </c>
      <c r="AO171" s="169">
        <v>26</v>
      </c>
      <c r="AP171" s="169" t="s">
        <v>1514</v>
      </c>
      <c r="AQ171" s="169">
        <v>0</v>
      </c>
      <c r="AR171" s="169" t="s">
        <v>1410</v>
      </c>
      <c r="AS171" s="169"/>
      <c r="AT171" s="169" t="s">
        <v>1417</v>
      </c>
      <c r="AU171" s="169" t="s">
        <v>1412</v>
      </c>
    </row>
    <row r="172" spans="1:47" x14ac:dyDescent="0.45">
      <c r="A172" s="169">
        <v>2605750077</v>
      </c>
      <c r="B172" s="169">
        <v>57</v>
      </c>
      <c r="C172" s="169" t="s">
        <v>1551</v>
      </c>
      <c r="D172" s="169">
        <v>57</v>
      </c>
      <c r="E172" s="169" t="s">
        <v>1552</v>
      </c>
      <c r="F172" s="169" t="s">
        <v>4043</v>
      </c>
      <c r="G172" s="169" t="s">
        <v>4044</v>
      </c>
      <c r="H172" s="169">
        <v>1</v>
      </c>
      <c r="I172" s="169" t="s">
        <v>295</v>
      </c>
      <c r="J172" s="169" t="s">
        <v>1403</v>
      </c>
      <c r="K172" s="169">
        <v>2026</v>
      </c>
      <c r="L172" s="170">
        <v>2026</v>
      </c>
      <c r="M172" s="171">
        <v>45957</v>
      </c>
      <c r="N172" s="169" t="s">
        <v>36</v>
      </c>
      <c r="O172" s="169">
        <v>6</v>
      </c>
      <c r="P172" s="169">
        <v>488</v>
      </c>
      <c r="Q172" s="169" t="s">
        <v>1553</v>
      </c>
      <c r="R172" s="169">
        <v>2</v>
      </c>
      <c r="S172" s="169">
        <v>1</v>
      </c>
      <c r="T172" s="169" t="s">
        <v>1527</v>
      </c>
      <c r="U172" s="169">
        <v>3</v>
      </c>
      <c r="V172" s="170">
        <v>2680044</v>
      </c>
      <c r="W172" s="170">
        <v>0</v>
      </c>
      <c r="X172" s="170" t="s">
        <v>1406</v>
      </c>
      <c r="Y172" s="169"/>
      <c r="Z172" s="169" t="s">
        <v>32</v>
      </c>
      <c r="AA172" s="171">
        <v>45974</v>
      </c>
      <c r="AB172" s="169">
        <v>26</v>
      </c>
      <c r="AC172" s="169">
        <v>80044</v>
      </c>
      <c r="AD172" s="169">
        <v>57</v>
      </c>
      <c r="AE172" s="169" t="s">
        <v>1551</v>
      </c>
      <c r="AF172" s="169">
        <v>57</v>
      </c>
      <c r="AG172" s="169" t="s">
        <v>1552</v>
      </c>
      <c r="AH172" s="169" t="s">
        <v>36</v>
      </c>
      <c r="AI172" s="169">
        <v>6</v>
      </c>
      <c r="AJ172" s="169">
        <v>488</v>
      </c>
      <c r="AK172" s="169" t="s">
        <v>1407</v>
      </c>
      <c r="AL172" s="169">
        <v>28282</v>
      </c>
      <c r="AM172" s="169" t="s">
        <v>1414</v>
      </c>
      <c r="AN172" s="169" t="s">
        <v>1572</v>
      </c>
      <c r="AO172" s="169">
        <v>28</v>
      </c>
      <c r="AP172" s="169" t="s">
        <v>1416</v>
      </c>
      <c r="AQ172" s="169">
        <v>0</v>
      </c>
      <c r="AR172" s="169" t="s">
        <v>1410</v>
      </c>
      <c r="AS172" s="169"/>
      <c r="AT172" s="169" t="s">
        <v>1417</v>
      </c>
      <c r="AU172" s="169" t="s">
        <v>1412</v>
      </c>
    </row>
    <row r="173" spans="1:47" x14ac:dyDescent="0.45">
      <c r="A173" s="169">
        <v>2605750078</v>
      </c>
      <c r="B173" s="169">
        <v>57</v>
      </c>
      <c r="C173" s="169" t="s">
        <v>1551</v>
      </c>
      <c r="D173" s="169">
        <v>57</v>
      </c>
      <c r="E173" s="169" t="s">
        <v>1552</v>
      </c>
      <c r="F173" s="169" t="s">
        <v>4045</v>
      </c>
      <c r="G173" s="169" t="s">
        <v>4046</v>
      </c>
      <c r="H173" s="169">
        <v>1</v>
      </c>
      <c r="I173" s="169" t="s">
        <v>4047</v>
      </c>
      <c r="J173" s="169" t="s">
        <v>1403</v>
      </c>
      <c r="K173" s="169">
        <v>2026</v>
      </c>
      <c r="L173" s="170">
        <v>2026</v>
      </c>
      <c r="M173" s="171">
        <v>45925</v>
      </c>
      <c r="N173" s="169" t="s">
        <v>36</v>
      </c>
      <c r="O173" s="169">
        <v>57</v>
      </c>
      <c r="P173" s="169">
        <v>813</v>
      </c>
      <c r="Q173" s="169" t="s">
        <v>1580</v>
      </c>
      <c r="R173" s="169">
        <v>2</v>
      </c>
      <c r="S173" s="169">
        <v>3</v>
      </c>
      <c r="T173" s="169" t="s">
        <v>1477</v>
      </c>
      <c r="U173" s="169">
        <v>4</v>
      </c>
      <c r="V173" s="170">
        <v>0</v>
      </c>
      <c r="W173" s="170">
        <v>0</v>
      </c>
      <c r="X173" s="170" t="s">
        <v>1406</v>
      </c>
      <c r="Y173" s="169"/>
      <c r="Z173" s="169" t="s">
        <v>32</v>
      </c>
      <c r="AA173" s="169"/>
      <c r="AB173" s="169">
        <v>0</v>
      </c>
      <c r="AC173" s="169">
        <v>0</v>
      </c>
      <c r="AD173" s="169">
        <v>0</v>
      </c>
      <c r="AE173" s="169" t="s">
        <v>1446</v>
      </c>
      <c r="AF173" s="169"/>
      <c r="AG173" s="169" t="s">
        <v>1446</v>
      </c>
      <c r="AH173" s="169"/>
      <c r="AI173" s="169"/>
      <c r="AJ173" s="169">
        <v>0</v>
      </c>
      <c r="AK173" s="169" t="s">
        <v>1407</v>
      </c>
      <c r="AL173" s="169">
        <v>28082</v>
      </c>
      <c r="AM173" s="169" t="s">
        <v>1421</v>
      </c>
      <c r="AN173" s="169" t="s">
        <v>1623</v>
      </c>
      <c r="AO173" s="169">
        <v>28</v>
      </c>
      <c r="AP173" s="169" t="s">
        <v>1416</v>
      </c>
      <c r="AQ173" s="169">
        <v>0</v>
      </c>
      <c r="AR173" s="169" t="s">
        <v>1410</v>
      </c>
      <c r="AS173" s="169"/>
      <c r="AT173" s="169" t="s">
        <v>1417</v>
      </c>
      <c r="AU173" s="169" t="s">
        <v>1412</v>
      </c>
    </row>
    <row r="174" spans="1:47" x14ac:dyDescent="0.45">
      <c r="A174" s="169">
        <v>2605750079</v>
      </c>
      <c r="B174" s="169">
        <v>57</v>
      </c>
      <c r="C174" s="169" t="s">
        <v>1551</v>
      </c>
      <c r="D174" s="169">
        <v>57</v>
      </c>
      <c r="E174" s="169" t="s">
        <v>1552</v>
      </c>
      <c r="F174" s="169" t="s">
        <v>4048</v>
      </c>
      <c r="G174" s="169" t="s">
        <v>4049</v>
      </c>
      <c r="H174" s="169">
        <v>1</v>
      </c>
      <c r="I174" s="169" t="s">
        <v>4050</v>
      </c>
      <c r="J174" s="169" t="s">
        <v>1403</v>
      </c>
      <c r="K174" s="169">
        <v>2026</v>
      </c>
      <c r="L174" s="170">
        <v>2026</v>
      </c>
      <c r="M174" s="171">
        <v>45951</v>
      </c>
      <c r="N174" s="169" t="s">
        <v>36</v>
      </c>
      <c r="O174" s="169">
        <v>58</v>
      </c>
      <c r="P174" s="169">
        <v>852</v>
      </c>
      <c r="Q174" s="169" t="s">
        <v>1472</v>
      </c>
      <c r="R174" s="169">
        <v>2</v>
      </c>
      <c r="S174" s="169">
        <v>2</v>
      </c>
      <c r="T174" s="169" t="s">
        <v>1464</v>
      </c>
      <c r="U174" s="169">
        <v>1</v>
      </c>
      <c r="V174" s="170">
        <v>2680075</v>
      </c>
      <c r="W174" s="170">
        <v>0</v>
      </c>
      <c r="X174" s="170" t="s">
        <v>1406</v>
      </c>
      <c r="Y174" s="169"/>
      <c r="Z174" s="169" t="s">
        <v>32</v>
      </c>
      <c r="AA174" s="171">
        <v>45999</v>
      </c>
      <c r="AB174" s="169">
        <v>26</v>
      </c>
      <c r="AC174" s="169">
        <v>80075</v>
      </c>
      <c r="AD174" s="169">
        <v>57</v>
      </c>
      <c r="AE174" s="169" t="s">
        <v>1551</v>
      </c>
      <c r="AF174" s="169">
        <v>57</v>
      </c>
      <c r="AG174" s="169" t="s">
        <v>1552</v>
      </c>
      <c r="AH174" s="169" t="s">
        <v>36</v>
      </c>
      <c r="AI174" s="169" t="s">
        <v>135</v>
      </c>
      <c r="AJ174" s="169">
        <v>502</v>
      </c>
      <c r="AK174" s="169" t="s">
        <v>1407</v>
      </c>
      <c r="AL174" s="169">
        <v>28024</v>
      </c>
      <c r="AM174" s="169" t="s">
        <v>1421</v>
      </c>
      <c r="AN174" s="169" t="s">
        <v>1535</v>
      </c>
      <c r="AO174" s="169">
        <v>28</v>
      </c>
      <c r="AP174" s="169" t="s">
        <v>1416</v>
      </c>
      <c r="AQ174" s="169">
        <v>0</v>
      </c>
      <c r="AR174" s="169" t="s">
        <v>1410</v>
      </c>
      <c r="AS174" s="169"/>
      <c r="AT174" s="169" t="s">
        <v>1417</v>
      </c>
      <c r="AU174" s="169" t="s">
        <v>1412</v>
      </c>
    </row>
    <row r="175" spans="1:47" x14ac:dyDescent="0.45">
      <c r="A175" s="169">
        <v>2605750080</v>
      </c>
      <c r="B175" s="169">
        <v>57</v>
      </c>
      <c r="C175" s="169" t="s">
        <v>1551</v>
      </c>
      <c r="D175" s="169">
        <v>57</v>
      </c>
      <c r="E175" s="169" t="s">
        <v>1552</v>
      </c>
      <c r="F175" s="169" t="s">
        <v>4051</v>
      </c>
      <c r="G175" s="169" t="s">
        <v>4052</v>
      </c>
      <c r="H175" s="169">
        <v>1</v>
      </c>
      <c r="I175" s="169" t="s">
        <v>3616</v>
      </c>
      <c r="J175" s="169" t="s">
        <v>1403</v>
      </c>
      <c r="K175" s="169">
        <v>2026</v>
      </c>
      <c r="L175" s="170">
        <v>2026</v>
      </c>
      <c r="M175" s="171">
        <v>45906</v>
      </c>
      <c r="N175" s="169" t="s">
        <v>36</v>
      </c>
      <c r="O175" s="169">
        <v>57</v>
      </c>
      <c r="P175" s="169">
        <v>645</v>
      </c>
      <c r="Q175" s="169" t="s">
        <v>1544</v>
      </c>
      <c r="R175" s="169">
        <v>2</v>
      </c>
      <c r="S175" s="169">
        <v>3</v>
      </c>
      <c r="T175" s="169" t="s">
        <v>1477</v>
      </c>
      <c r="U175" s="169">
        <v>4</v>
      </c>
      <c r="V175" s="170">
        <v>2680002</v>
      </c>
      <c r="W175" s="170">
        <v>0</v>
      </c>
      <c r="X175" s="170" t="s">
        <v>1406</v>
      </c>
      <c r="Y175" s="169"/>
      <c r="Z175" s="169" t="s">
        <v>32</v>
      </c>
      <c r="AA175" s="171">
        <v>45926</v>
      </c>
      <c r="AB175" s="169">
        <v>26</v>
      </c>
      <c r="AC175" s="169">
        <v>80002</v>
      </c>
      <c r="AD175" s="169">
        <v>57</v>
      </c>
      <c r="AE175" s="169" t="s">
        <v>1551</v>
      </c>
      <c r="AF175" s="169">
        <v>57</v>
      </c>
      <c r="AG175" s="169" t="s">
        <v>1552</v>
      </c>
      <c r="AH175" s="169" t="s">
        <v>36</v>
      </c>
      <c r="AI175" s="169">
        <v>57</v>
      </c>
      <c r="AJ175" s="169">
        <v>645</v>
      </c>
      <c r="AK175" s="169" t="s">
        <v>1407</v>
      </c>
      <c r="AL175" s="169">
        <v>28034</v>
      </c>
      <c r="AM175" s="169" t="s">
        <v>1418</v>
      </c>
      <c r="AN175" s="169" t="s">
        <v>1599</v>
      </c>
      <c r="AO175" s="169">
        <v>28</v>
      </c>
      <c r="AP175" s="169" t="s">
        <v>1416</v>
      </c>
      <c r="AQ175" s="169">
        <v>0</v>
      </c>
      <c r="AR175" s="169" t="s">
        <v>1410</v>
      </c>
      <c r="AS175" s="169"/>
      <c r="AT175" s="169" t="s">
        <v>1417</v>
      </c>
      <c r="AU175" s="169" t="s">
        <v>1412</v>
      </c>
    </row>
    <row r="176" spans="1:47" x14ac:dyDescent="0.45">
      <c r="A176" s="169">
        <v>2605750082</v>
      </c>
      <c r="B176" s="169">
        <v>57</v>
      </c>
      <c r="C176" s="169" t="s">
        <v>1551</v>
      </c>
      <c r="D176" s="169">
        <v>57</v>
      </c>
      <c r="E176" s="169" t="s">
        <v>1552</v>
      </c>
      <c r="F176" s="169" t="s">
        <v>4053</v>
      </c>
      <c r="G176" s="169" t="s">
        <v>4054</v>
      </c>
      <c r="H176" s="169">
        <v>1</v>
      </c>
      <c r="I176" s="169" t="s">
        <v>4055</v>
      </c>
      <c r="J176" s="169" t="s">
        <v>1403</v>
      </c>
      <c r="K176" s="169">
        <v>0</v>
      </c>
      <c r="L176" s="170">
        <v>2026</v>
      </c>
      <c r="M176" s="171">
        <v>45906</v>
      </c>
      <c r="N176" s="169" t="s">
        <v>36</v>
      </c>
      <c r="O176" s="169">
        <v>57</v>
      </c>
      <c r="P176" s="169">
        <v>1044</v>
      </c>
      <c r="Q176" s="169" t="s">
        <v>1476</v>
      </c>
      <c r="R176" s="169">
        <v>2</v>
      </c>
      <c r="S176" s="169">
        <v>3</v>
      </c>
      <c r="T176" s="169" t="s">
        <v>1477</v>
      </c>
      <c r="U176" s="169">
        <v>4</v>
      </c>
      <c r="V176" s="170">
        <v>2680005</v>
      </c>
      <c r="W176" s="170">
        <v>0</v>
      </c>
      <c r="X176" s="170" t="s">
        <v>1406</v>
      </c>
      <c r="Y176" s="169"/>
      <c r="Z176" s="169" t="s">
        <v>32</v>
      </c>
      <c r="AA176" s="171">
        <v>45929</v>
      </c>
      <c r="AB176" s="169">
        <v>26</v>
      </c>
      <c r="AC176" s="169">
        <v>80005</v>
      </c>
      <c r="AD176" s="169">
        <v>57</v>
      </c>
      <c r="AE176" s="169" t="s">
        <v>1551</v>
      </c>
      <c r="AF176" s="169">
        <v>57</v>
      </c>
      <c r="AG176" s="169" t="s">
        <v>1552</v>
      </c>
      <c r="AH176" s="169" t="s">
        <v>36</v>
      </c>
      <c r="AI176" s="169">
        <v>57</v>
      </c>
      <c r="AJ176" s="169">
        <v>1044</v>
      </c>
      <c r="AK176" s="169" t="s">
        <v>1407</v>
      </c>
      <c r="AL176" s="169">
        <v>28152</v>
      </c>
      <c r="AM176" s="169" t="s">
        <v>1418</v>
      </c>
      <c r="AN176" s="169" t="s">
        <v>1453</v>
      </c>
      <c r="AO176" s="169">
        <v>28</v>
      </c>
      <c r="AP176" s="169" t="s">
        <v>1416</v>
      </c>
      <c r="AQ176" s="169">
        <v>0</v>
      </c>
      <c r="AR176" s="169" t="s">
        <v>1410</v>
      </c>
      <c r="AS176" s="169"/>
      <c r="AT176" s="169" t="s">
        <v>1411</v>
      </c>
      <c r="AU176" s="169" t="s">
        <v>1412</v>
      </c>
    </row>
    <row r="177" spans="1:47" x14ac:dyDescent="0.45">
      <c r="A177" s="169">
        <v>2605750083</v>
      </c>
      <c r="B177" s="169">
        <v>57</v>
      </c>
      <c r="C177" s="169" t="s">
        <v>1551</v>
      </c>
      <c r="D177" s="169">
        <v>57</v>
      </c>
      <c r="E177" s="169" t="s">
        <v>1552</v>
      </c>
      <c r="F177" s="169" t="s">
        <v>4056</v>
      </c>
      <c r="G177" s="169" t="s">
        <v>4057</v>
      </c>
      <c r="H177" s="169">
        <v>1</v>
      </c>
      <c r="I177" s="169" t="s">
        <v>170</v>
      </c>
      <c r="J177" s="169" t="s">
        <v>1403</v>
      </c>
      <c r="K177" s="169">
        <v>2026</v>
      </c>
      <c r="L177" s="170">
        <v>2026</v>
      </c>
      <c r="M177" s="171">
        <v>45946</v>
      </c>
      <c r="N177" s="169" t="s">
        <v>36</v>
      </c>
      <c r="O177" s="169">
        <v>58</v>
      </c>
      <c r="P177" s="169">
        <v>428</v>
      </c>
      <c r="Q177" s="169" t="s">
        <v>1463</v>
      </c>
      <c r="R177" s="169">
        <v>2</v>
      </c>
      <c r="S177" s="169">
        <v>2</v>
      </c>
      <c r="T177" s="169" t="s">
        <v>1464</v>
      </c>
      <c r="U177" s="169">
        <v>1</v>
      </c>
      <c r="V177" s="170">
        <v>2680100</v>
      </c>
      <c r="W177" s="170">
        <v>0</v>
      </c>
      <c r="X177" s="170" t="s">
        <v>1406</v>
      </c>
      <c r="Y177" s="169"/>
      <c r="Z177" s="169" t="s">
        <v>32</v>
      </c>
      <c r="AA177" s="171">
        <v>46014</v>
      </c>
      <c r="AB177" s="169">
        <v>26</v>
      </c>
      <c r="AC177" s="169">
        <v>80100</v>
      </c>
      <c r="AD177" s="169">
        <v>57</v>
      </c>
      <c r="AE177" s="169" t="s">
        <v>1551</v>
      </c>
      <c r="AF177" s="169">
        <v>57</v>
      </c>
      <c r="AG177" s="169" t="s">
        <v>1552</v>
      </c>
      <c r="AH177" s="169" t="s">
        <v>36</v>
      </c>
      <c r="AI177" s="169">
        <v>58</v>
      </c>
      <c r="AJ177" s="169">
        <v>428</v>
      </c>
      <c r="AK177" s="169" t="s">
        <v>1407</v>
      </c>
      <c r="AL177" s="169">
        <v>28197</v>
      </c>
      <c r="AM177" s="169" t="s">
        <v>1421</v>
      </c>
      <c r="AN177" s="169" t="s">
        <v>1616</v>
      </c>
      <c r="AO177" s="169">
        <v>28</v>
      </c>
      <c r="AP177" s="169" t="s">
        <v>1416</v>
      </c>
      <c r="AQ177" s="169">
        <v>0</v>
      </c>
      <c r="AR177" s="169" t="s">
        <v>1410</v>
      </c>
      <c r="AS177" s="169"/>
      <c r="AT177" s="169" t="s">
        <v>1417</v>
      </c>
      <c r="AU177" s="169" t="s">
        <v>1412</v>
      </c>
    </row>
    <row r="178" spans="1:47" x14ac:dyDescent="0.45">
      <c r="A178" s="169">
        <v>2605750084</v>
      </c>
      <c r="B178" s="169">
        <v>57</v>
      </c>
      <c r="C178" s="169" t="s">
        <v>1551</v>
      </c>
      <c r="D178" s="169">
        <v>57</v>
      </c>
      <c r="E178" s="169" t="s">
        <v>1552</v>
      </c>
      <c r="F178" s="169" t="s">
        <v>4058</v>
      </c>
      <c r="G178" s="169" t="s">
        <v>4059</v>
      </c>
      <c r="H178" s="169">
        <v>1</v>
      </c>
      <c r="I178" s="169" t="s">
        <v>4060</v>
      </c>
      <c r="J178" s="169" t="s">
        <v>1403</v>
      </c>
      <c r="K178" s="169">
        <v>2026</v>
      </c>
      <c r="L178" s="170">
        <v>2026</v>
      </c>
      <c r="M178" s="171">
        <v>45960</v>
      </c>
      <c r="N178" s="169" t="s">
        <v>36</v>
      </c>
      <c r="O178" s="169">
        <v>58</v>
      </c>
      <c r="P178" s="169">
        <v>260</v>
      </c>
      <c r="Q178" s="169" t="s">
        <v>1519</v>
      </c>
      <c r="R178" s="169">
        <v>2</v>
      </c>
      <c r="S178" s="169">
        <v>2</v>
      </c>
      <c r="T178" s="169" t="s">
        <v>1464</v>
      </c>
      <c r="U178" s="169">
        <v>1</v>
      </c>
      <c r="V178" s="170">
        <v>0</v>
      </c>
      <c r="W178" s="170">
        <v>0</v>
      </c>
      <c r="X178" s="170" t="s">
        <v>1406</v>
      </c>
      <c r="Y178" s="171">
        <v>45985</v>
      </c>
      <c r="Z178" s="169" t="s">
        <v>32</v>
      </c>
      <c r="AA178" s="169"/>
      <c r="AB178" s="169">
        <v>0</v>
      </c>
      <c r="AC178" s="169">
        <v>0</v>
      </c>
      <c r="AD178" s="169">
        <v>0</v>
      </c>
      <c r="AE178" s="169" t="s">
        <v>1446</v>
      </c>
      <c r="AF178" s="169"/>
      <c r="AG178" s="169" t="s">
        <v>1446</v>
      </c>
      <c r="AH178" s="169"/>
      <c r="AI178" s="169"/>
      <c r="AJ178" s="169">
        <v>0</v>
      </c>
      <c r="AK178" s="169" t="s">
        <v>1473</v>
      </c>
      <c r="AL178" s="169">
        <v>28161</v>
      </c>
      <c r="AM178" s="169" t="s">
        <v>1418</v>
      </c>
      <c r="AN178" s="169" t="s">
        <v>4061</v>
      </c>
      <c r="AO178" s="169">
        <v>28</v>
      </c>
      <c r="AP178" s="169" t="s">
        <v>1416</v>
      </c>
      <c r="AQ178" s="169">
        <v>0</v>
      </c>
      <c r="AR178" s="169" t="s">
        <v>1410</v>
      </c>
      <c r="AS178" s="169"/>
      <c r="AT178" s="169" t="s">
        <v>1417</v>
      </c>
      <c r="AU178" s="169" t="s">
        <v>1412</v>
      </c>
    </row>
    <row r="179" spans="1:47" x14ac:dyDescent="0.45">
      <c r="A179" s="169">
        <v>2605750085</v>
      </c>
      <c r="B179" s="169">
        <v>57</v>
      </c>
      <c r="C179" s="169" t="s">
        <v>1551</v>
      </c>
      <c r="D179" s="169">
        <v>57</v>
      </c>
      <c r="E179" s="169" t="s">
        <v>1552</v>
      </c>
      <c r="F179" s="169" t="s">
        <v>4062</v>
      </c>
      <c r="G179" s="169" t="s">
        <v>4063</v>
      </c>
      <c r="H179" s="169">
        <v>1</v>
      </c>
      <c r="I179" s="169" t="s">
        <v>4064</v>
      </c>
      <c r="J179" s="169" t="s">
        <v>1403</v>
      </c>
      <c r="K179" s="169">
        <v>2026</v>
      </c>
      <c r="L179" s="170">
        <v>2026</v>
      </c>
      <c r="M179" s="171">
        <v>45958</v>
      </c>
      <c r="N179" s="169" t="s">
        <v>36</v>
      </c>
      <c r="O179" s="169" t="s">
        <v>135</v>
      </c>
      <c r="P179" s="169">
        <v>502</v>
      </c>
      <c r="Q179" s="169" t="s">
        <v>1500</v>
      </c>
      <c r="R179" s="169">
        <v>2</v>
      </c>
      <c r="S179" s="169">
        <v>5</v>
      </c>
      <c r="T179" s="169" t="s">
        <v>1470</v>
      </c>
      <c r="U179" s="169">
        <v>15</v>
      </c>
      <c r="V179" s="170">
        <v>0</v>
      </c>
      <c r="W179" s="170">
        <v>0</v>
      </c>
      <c r="X179" s="170" t="s">
        <v>1406</v>
      </c>
      <c r="Y179" s="169"/>
      <c r="Z179" s="169" t="s">
        <v>32</v>
      </c>
      <c r="AA179" s="169"/>
      <c r="AB179" s="169">
        <v>0</v>
      </c>
      <c r="AC179" s="169">
        <v>0</v>
      </c>
      <c r="AD179" s="169">
        <v>0</v>
      </c>
      <c r="AE179" s="169" t="s">
        <v>1446</v>
      </c>
      <c r="AF179" s="169"/>
      <c r="AG179" s="169" t="s">
        <v>1446</v>
      </c>
      <c r="AH179" s="169"/>
      <c r="AI179" s="169"/>
      <c r="AJ179" s="169">
        <v>0</v>
      </c>
      <c r="AK179" s="169" t="s">
        <v>1407</v>
      </c>
      <c r="AL179" s="169">
        <v>43091</v>
      </c>
      <c r="AM179" s="169" t="s">
        <v>1421</v>
      </c>
      <c r="AN179" s="169" t="s">
        <v>2833</v>
      </c>
      <c r="AO179" s="169">
        <v>43</v>
      </c>
      <c r="AP179" s="169" t="s">
        <v>2834</v>
      </c>
      <c r="AQ179" s="169">
        <v>0</v>
      </c>
      <c r="AR179" s="169" t="s">
        <v>1410</v>
      </c>
      <c r="AS179" s="169"/>
      <c r="AT179" s="169" t="s">
        <v>1417</v>
      </c>
      <c r="AU179" s="169" t="s">
        <v>1412</v>
      </c>
    </row>
    <row r="180" spans="1:47" x14ac:dyDescent="0.45">
      <c r="A180" s="169">
        <v>2605750086</v>
      </c>
      <c r="B180" s="169">
        <v>57</v>
      </c>
      <c r="C180" s="169" t="s">
        <v>1551</v>
      </c>
      <c r="D180" s="169">
        <v>57</v>
      </c>
      <c r="E180" s="169" t="s">
        <v>1552</v>
      </c>
      <c r="F180" s="169" t="s">
        <v>4065</v>
      </c>
      <c r="G180" s="169" t="s">
        <v>4066</v>
      </c>
      <c r="H180" s="169">
        <v>2</v>
      </c>
      <c r="I180" s="169" t="s">
        <v>341</v>
      </c>
      <c r="J180" s="169" t="s">
        <v>1403</v>
      </c>
      <c r="K180" s="169">
        <v>2026</v>
      </c>
      <c r="L180" s="170">
        <v>2026</v>
      </c>
      <c r="M180" s="171">
        <v>45954</v>
      </c>
      <c r="N180" s="169" t="s">
        <v>36</v>
      </c>
      <c r="O180" s="169">
        <v>6</v>
      </c>
      <c r="P180" s="169">
        <v>488</v>
      </c>
      <c r="Q180" s="169" t="s">
        <v>1553</v>
      </c>
      <c r="R180" s="169">
        <v>2</v>
      </c>
      <c r="S180" s="169">
        <v>1</v>
      </c>
      <c r="T180" s="169" t="s">
        <v>1527</v>
      </c>
      <c r="U180" s="169">
        <v>3</v>
      </c>
      <c r="V180" s="170">
        <v>2680049</v>
      </c>
      <c r="W180" s="170">
        <v>0</v>
      </c>
      <c r="X180" s="170" t="s">
        <v>1406</v>
      </c>
      <c r="Y180" s="169"/>
      <c r="Z180" s="169" t="s">
        <v>32</v>
      </c>
      <c r="AA180" s="171">
        <v>45978</v>
      </c>
      <c r="AB180" s="169">
        <v>26</v>
      </c>
      <c r="AC180" s="169">
        <v>80049</v>
      </c>
      <c r="AD180" s="169">
        <v>57</v>
      </c>
      <c r="AE180" s="169" t="s">
        <v>1551</v>
      </c>
      <c r="AF180" s="169">
        <v>57</v>
      </c>
      <c r="AG180" s="169" t="s">
        <v>1552</v>
      </c>
      <c r="AH180" s="169" t="s">
        <v>36</v>
      </c>
      <c r="AI180" s="169">
        <v>6</v>
      </c>
      <c r="AJ180" s="169">
        <v>488</v>
      </c>
      <c r="AK180" s="169" t="s">
        <v>1407</v>
      </c>
      <c r="AL180" s="169">
        <v>28030</v>
      </c>
      <c r="AM180" s="169" t="s">
        <v>1418</v>
      </c>
      <c r="AN180" s="169" t="s">
        <v>1566</v>
      </c>
      <c r="AO180" s="169">
        <v>28</v>
      </c>
      <c r="AP180" s="169" t="s">
        <v>1416</v>
      </c>
      <c r="AQ180" s="169">
        <v>0</v>
      </c>
      <c r="AR180" s="169" t="s">
        <v>1410</v>
      </c>
      <c r="AS180" s="169"/>
      <c r="AT180" s="169" t="s">
        <v>1417</v>
      </c>
      <c r="AU180" s="169" t="s">
        <v>1412</v>
      </c>
    </row>
    <row r="181" spans="1:47" x14ac:dyDescent="0.45">
      <c r="A181" s="169">
        <v>2605750087</v>
      </c>
      <c r="B181" s="169">
        <v>57</v>
      </c>
      <c r="C181" s="169" t="s">
        <v>1551</v>
      </c>
      <c r="D181" s="169">
        <v>57</v>
      </c>
      <c r="E181" s="169" t="s">
        <v>1552</v>
      </c>
      <c r="F181" s="169" t="s">
        <v>4067</v>
      </c>
      <c r="G181" s="169" t="s">
        <v>4068</v>
      </c>
      <c r="H181" s="169">
        <v>2</v>
      </c>
      <c r="I181" s="169" t="s">
        <v>4069</v>
      </c>
      <c r="J181" s="169" t="s">
        <v>1403</v>
      </c>
      <c r="K181" s="169">
        <v>0</v>
      </c>
      <c r="L181" s="170">
        <v>2026</v>
      </c>
      <c r="M181" s="171">
        <v>45901</v>
      </c>
      <c r="N181" s="169" t="s">
        <v>36</v>
      </c>
      <c r="O181" s="169" t="s">
        <v>135</v>
      </c>
      <c r="P181" s="169">
        <v>870</v>
      </c>
      <c r="Q181" s="169" t="s">
        <v>1610</v>
      </c>
      <c r="R181" s="169">
        <v>2</v>
      </c>
      <c r="S181" s="169">
        <v>5</v>
      </c>
      <c r="T181" s="169" t="s">
        <v>1470</v>
      </c>
      <c r="U181" s="169">
        <v>15</v>
      </c>
      <c r="V181" s="170">
        <v>2680016</v>
      </c>
      <c r="W181" s="170">
        <v>0</v>
      </c>
      <c r="X181" s="170" t="s">
        <v>1406</v>
      </c>
      <c r="Y181" s="169"/>
      <c r="Z181" s="169" t="s">
        <v>32</v>
      </c>
      <c r="AA181" s="171">
        <v>45945</v>
      </c>
      <c r="AB181" s="169">
        <v>26</v>
      </c>
      <c r="AC181" s="169">
        <v>80016</v>
      </c>
      <c r="AD181" s="169">
        <v>57</v>
      </c>
      <c r="AE181" s="169" t="s">
        <v>1551</v>
      </c>
      <c r="AF181" s="169">
        <v>57</v>
      </c>
      <c r="AG181" s="169" t="s">
        <v>1552</v>
      </c>
      <c r="AH181" s="169" t="s">
        <v>36</v>
      </c>
      <c r="AI181" s="169" t="s">
        <v>135</v>
      </c>
      <c r="AJ181" s="169">
        <v>870</v>
      </c>
      <c r="AK181" s="169" t="s">
        <v>1407</v>
      </c>
      <c r="AL181" s="169">
        <v>28173</v>
      </c>
      <c r="AM181" s="169" t="s">
        <v>1418</v>
      </c>
      <c r="AN181" s="169" t="s">
        <v>1456</v>
      </c>
      <c r="AO181" s="169">
        <v>28</v>
      </c>
      <c r="AP181" s="169" t="s">
        <v>1416</v>
      </c>
      <c r="AQ181" s="169">
        <v>0</v>
      </c>
      <c r="AR181" s="169" t="s">
        <v>1410</v>
      </c>
      <c r="AS181" s="169"/>
      <c r="AT181" s="169" t="s">
        <v>1411</v>
      </c>
      <c r="AU181" s="169" t="s">
        <v>1412</v>
      </c>
    </row>
    <row r="182" spans="1:47" x14ac:dyDescent="0.45">
      <c r="A182" s="169">
        <v>2605750088</v>
      </c>
      <c r="B182" s="169">
        <v>57</v>
      </c>
      <c r="C182" s="169" t="s">
        <v>1551</v>
      </c>
      <c r="D182" s="169">
        <v>57</v>
      </c>
      <c r="E182" s="169" t="s">
        <v>1552</v>
      </c>
      <c r="F182" s="169" t="s">
        <v>4070</v>
      </c>
      <c r="G182" s="169" t="s">
        <v>4071</v>
      </c>
      <c r="H182" s="169">
        <v>2</v>
      </c>
      <c r="I182" s="169" t="s">
        <v>4072</v>
      </c>
      <c r="J182" s="169" t="s">
        <v>1403</v>
      </c>
      <c r="K182" s="169">
        <v>2026</v>
      </c>
      <c r="L182" s="170">
        <v>2026</v>
      </c>
      <c r="M182" s="171">
        <v>45937</v>
      </c>
      <c r="N182" s="169" t="s">
        <v>36</v>
      </c>
      <c r="O182" s="169" t="s">
        <v>51</v>
      </c>
      <c r="P182" s="169">
        <v>427</v>
      </c>
      <c r="Q182" s="169" t="s">
        <v>1479</v>
      </c>
      <c r="R182" s="169">
        <v>1</v>
      </c>
      <c r="S182" s="169">
        <v>2</v>
      </c>
      <c r="T182" s="169" t="s">
        <v>1464</v>
      </c>
      <c r="U182" s="169">
        <v>1</v>
      </c>
      <c r="V182" s="170">
        <v>0</v>
      </c>
      <c r="W182" s="170">
        <v>0</v>
      </c>
      <c r="X182" s="170" t="s">
        <v>1406</v>
      </c>
      <c r="Y182" s="169"/>
      <c r="Z182" s="169" t="s">
        <v>32</v>
      </c>
      <c r="AA182" s="169"/>
      <c r="AB182" s="169">
        <v>0</v>
      </c>
      <c r="AC182" s="169">
        <v>0</v>
      </c>
      <c r="AD182" s="169">
        <v>0</v>
      </c>
      <c r="AE182" s="169" t="s">
        <v>1446</v>
      </c>
      <c r="AF182" s="169"/>
      <c r="AG182" s="169" t="s">
        <v>1446</v>
      </c>
      <c r="AH182" s="169"/>
      <c r="AI182" s="169"/>
      <c r="AJ182" s="169">
        <v>0</v>
      </c>
      <c r="AK182" s="169" t="s">
        <v>1473</v>
      </c>
      <c r="AL182" s="169">
        <v>28147</v>
      </c>
      <c r="AM182" s="169" t="s">
        <v>1418</v>
      </c>
      <c r="AN182" s="169" t="s">
        <v>3955</v>
      </c>
      <c r="AO182" s="169">
        <v>28</v>
      </c>
      <c r="AP182" s="169" t="s">
        <v>1416</v>
      </c>
      <c r="AQ182" s="169">
        <v>0</v>
      </c>
      <c r="AR182" s="169" t="s">
        <v>1410</v>
      </c>
      <c r="AS182" s="169"/>
      <c r="AT182" s="169" t="s">
        <v>1417</v>
      </c>
      <c r="AU182" s="169" t="s">
        <v>1412</v>
      </c>
    </row>
    <row r="183" spans="1:47" x14ac:dyDescent="0.45">
      <c r="A183" s="169">
        <v>2605750089</v>
      </c>
      <c r="B183" s="169">
        <v>57</v>
      </c>
      <c r="C183" s="169" t="s">
        <v>1551</v>
      </c>
      <c r="D183" s="169">
        <v>57</v>
      </c>
      <c r="E183" s="169" t="s">
        <v>1552</v>
      </c>
      <c r="F183" s="169" t="s">
        <v>4073</v>
      </c>
      <c r="G183" s="169" t="s">
        <v>4074</v>
      </c>
      <c r="H183" s="169">
        <v>1</v>
      </c>
      <c r="I183" s="169" t="s">
        <v>1883</v>
      </c>
      <c r="J183" s="169" t="s">
        <v>1403</v>
      </c>
      <c r="K183" s="169">
        <v>2026</v>
      </c>
      <c r="L183" s="170">
        <v>2026</v>
      </c>
      <c r="M183" s="171">
        <v>45953</v>
      </c>
      <c r="N183" s="169" t="s">
        <v>36</v>
      </c>
      <c r="O183" s="169">
        <v>58</v>
      </c>
      <c r="P183" s="169">
        <v>428</v>
      </c>
      <c r="Q183" s="169" t="s">
        <v>1463</v>
      </c>
      <c r="R183" s="169">
        <v>2</v>
      </c>
      <c r="S183" s="169">
        <v>2</v>
      </c>
      <c r="T183" s="169" t="s">
        <v>1464</v>
      </c>
      <c r="U183" s="169">
        <v>1</v>
      </c>
      <c r="V183" s="170">
        <v>2680127</v>
      </c>
      <c r="W183" s="170">
        <v>0</v>
      </c>
      <c r="X183" s="170" t="s">
        <v>1406</v>
      </c>
      <c r="Y183" s="169"/>
      <c r="Z183" s="169" t="s">
        <v>32</v>
      </c>
      <c r="AA183" s="171">
        <v>46037</v>
      </c>
      <c r="AB183" s="169">
        <v>26</v>
      </c>
      <c r="AC183" s="169">
        <v>80127</v>
      </c>
      <c r="AD183" s="169">
        <v>57</v>
      </c>
      <c r="AE183" s="169" t="s">
        <v>1551</v>
      </c>
      <c r="AF183" s="169">
        <v>57</v>
      </c>
      <c r="AG183" s="169" t="s">
        <v>1552</v>
      </c>
      <c r="AH183" s="169" t="s">
        <v>36</v>
      </c>
      <c r="AI183" s="169">
        <v>58</v>
      </c>
      <c r="AJ183" s="169">
        <v>428</v>
      </c>
      <c r="AK183" s="169" t="s">
        <v>1473</v>
      </c>
      <c r="AL183" s="169">
        <v>28203</v>
      </c>
      <c r="AM183" s="169" t="s">
        <v>1418</v>
      </c>
      <c r="AN183" s="169" t="s">
        <v>1619</v>
      </c>
      <c r="AO183" s="169">
        <v>28</v>
      </c>
      <c r="AP183" s="169" t="s">
        <v>1416</v>
      </c>
      <c r="AQ183" s="169">
        <v>0</v>
      </c>
      <c r="AR183" s="169" t="s">
        <v>1410</v>
      </c>
      <c r="AS183" s="169"/>
      <c r="AT183" s="169" t="s">
        <v>1417</v>
      </c>
      <c r="AU183" s="169" t="s">
        <v>1412</v>
      </c>
    </row>
    <row r="184" spans="1:47" x14ac:dyDescent="0.45">
      <c r="A184" s="169">
        <v>2605750090</v>
      </c>
      <c r="B184" s="169">
        <v>57</v>
      </c>
      <c r="C184" s="169" t="s">
        <v>1551</v>
      </c>
      <c r="D184" s="169">
        <v>57</v>
      </c>
      <c r="E184" s="169" t="s">
        <v>1552</v>
      </c>
      <c r="F184" s="169" t="s">
        <v>4075</v>
      </c>
      <c r="G184" s="169" t="s">
        <v>4076</v>
      </c>
      <c r="H184" s="169">
        <v>1</v>
      </c>
      <c r="I184" s="169" t="s">
        <v>4027</v>
      </c>
      <c r="J184" s="169" t="s">
        <v>1403</v>
      </c>
      <c r="K184" s="169">
        <v>2026</v>
      </c>
      <c r="L184" s="170">
        <v>2026</v>
      </c>
      <c r="M184" s="171">
        <v>45928</v>
      </c>
      <c r="N184" s="169" t="s">
        <v>36</v>
      </c>
      <c r="O184" s="169" t="s">
        <v>135</v>
      </c>
      <c r="P184" s="169">
        <v>502</v>
      </c>
      <c r="Q184" s="169" t="s">
        <v>1500</v>
      </c>
      <c r="R184" s="169">
        <v>2</v>
      </c>
      <c r="S184" s="169">
        <v>5</v>
      </c>
      <c r="T184" s="169" t="s">
        <v>1470</v>
      </c>
      <c r="U184" s="169">
        <v>15</v>
      </c>
      <c r="V184" s="170">
        <v>0</v>
      </c>
      <c r="W184" s="170">
        <v>0</v>
      </c>
      <c r="X184" s="170" t="s">
        <v>1406</v>
      </c>
      <c r="Y184" s="169"/>
      <c r="Z184" s="169" t="s">
        <v>32</v>
      </c>
      <c r="AA184" s="169"/>
      <c r="AB184" s="169">
        <v>0</v>
      </c>
      <c r="AC184" s="169">
        <v>0</v>
      </c>
      <c r="AD184" s="169">
        <v>0</v>
      </c>
      <c r="AE184" s="169" t="s">
        <v>1446</v>
      </c>
      <c r="AF184" s="169"/>
      <c r="AG184" s="169" t="s">
        <v>1446</v>
      </c>
      <c r="AH184" s="169"/>
      <c r="AI184" s="169"/>
      <c r="AJ184" s="169">
        <v>0</v>
      </c>
      <c r="AK184" s="169" t="s">
        <v>1407</v>
      </c>
      <c r="AL184" s="169">
        <v>28185</v>
      </c>
      <c r="AM184" s="169" t="s">
        <v>1418</v>
      </c>
      <c r="AN184" s="169" t="s">
        <v>1438</v>
      </c>
      <c r="AO184" s="169">
        <v>28</v>
      </c>
      <c r="AP184" s="169" t="s">
        <v>1416</v>
      </c>
      <c r="AQ184" s="169">
        <v>0</v>
      </c>
      <c r="AR184" s="169" t="s">
        <v>1410</v>
      </c>
      <c r="AS184" s="169"/>
      <c r="AT184" s="169" t="s">
        <v>1417</v>
      </c>
      <c r="AU184" s="169" t="s">
        <v>1412</v>
      </c>
    </row>
    <row r="185" spans="1:47" x14ac:dyDescent="0.45">
      <c r="A185" s="169">
        <v>2605750091</v>
      </c>
      <c r="B185" s="169">
        <v>57</v>
      </c>
      <c r="C185" s="169" t="s">
        <v>1551</v>
      </c>
      <c r="D185" s="169">
        <v>57</v>
      </c>
      <c r="E185" s="169" t="s">
        <v>1552</v>
      </c>
      <c r="F185" s="169" t="s">
        <v>4077</v>
      </c>
      <c r="G185" s="169" t="s">
        <v>4078</v>
      </c>
      <c r="H185" s="169">
        <v>1</v>
      </c>
      <c r="I185" s="169" t="s">
        <v>1886</v>
      </c>
      <c r="J185" s="169" t="s">
        <v>1403</v>
      </c>
      <c r="K185" s="169">
        <v>2026</v>
      </c>
      <c r="L185" s="170">
        <v>2026</v>
      </c>
      <c r="M185" s="171">
        <v>45958</v>
      </c>
      <c r="N185" s="169" t="s">
        <v>36</v>
      </c>
      <c r="O185" s="169">
        <v>58</v>
      </c>
      <c r="P185" s="169">
        <v>428</v>
      </c>
      <c r="Q185" s="169" t="s">
        <v>1463</v>
      </c>
      <c r="R185" s="169">
        <v>2</v>
      </c>
      <c r="S185" s="169">
        <v>2</v>
      </c>
      <c r="T185" s="169" t="s">
        <v>1464</v>
      </c>
      <c r="U185" s="169">
        <v>1</v>
      </c>
      <c r="V185" s="170">
        <v>2680053</v>
      </c>
      <c r="W185" s="170">
        <v>0</v>
      </c>
      <c r="X185" s="170" t="s">
        <v>1406</v>
      </c>
      <c r="Y185" s="169"/>
      <c r="Z185" s="169" t="s">
        <v>32</v>
      </c>
      <c r="AA185" s="171">
        <v>45980</v>
      </c>
      <c r="AB185" s="169">
        <v>26</v>
      </c>
      <c r="AC185" s="169">
        <v>80053</v>
      </c>
      <c r="AD185" s="169">
        <v>57</v>
      </c>
      <c r="AE185" s="169" t="s">
        <v>1551</v>
      </c>
      <c r="AF185" s="169">
        <v>57</v>
      </c>
      <c r="AG185" s="169" t="s">
        <v>1552</v>
      </c>
      <c r="AH185" s="169" t="s">
        <v>36</v>
      </c>
      <c r="AI185" s="169">
        <v>58</v>
      </c>
      <c r="AJ185" s="169">
        <v>428</v>
      </c>
      <c r="AK185" s="169" t="s">
        <v>1407</v>
      </c>
      <c r="AL185" s="169">
        <v>28034</v>
      </c>
      <c r="AM185" s="169" t="s">
        <v>1418</v>
      </c>
      <c r="AN185" s="169" t="s">
        <v>1599</v>
      </c>
      <c r="AO185" s="169">
        <v>28</v>
      </c>
      <c r="AP185" s="169" t="s">
        <v>1416</v>
      </c>
      <c r="AQ185" s="169">
        <v>0</v>
      </c>
      <c r="AR185" s="169" t="s">
        <v>1410</v>
      </c>
      <c r="AS185" s="169"/>
      <c r="AT185" s="169" t="s">
        <v>1417</v>
      </c>
      <c r="AU185" s="169" t="s">
        <v>1412</v>
      </c>
    </row>
    <row r="186" spans="1:47" x14ac:dyDescent="0.45">
      <c r="A186" s="169">
        <v>2605750092</v>
      </c>
      <c r="B186" s="169">
        <v>57</v>
      </c>
      <c r="C186" s="169" t="s">
        <v>1551</v>
      </c>
      <c r="D186" s="169">
        <v>57</v>
      </c>
      <c r="E186" s="169" t="s">
        <v>1552</v>
      </c>
      <c r="F186" s="169" t="s">
        <v>4079</v>
      </c>
      <c r="G186" s="169" t="s">
        <v>4080</v>
      </c>
      <c r="H186" s="169">
        <v>1</v>
      </c>
      <c r="I186" s="169" t="s">
        <v>2998</v>
      </c>
      <c r="J186" s="169" t="s">
        <v>1403</v>
      </c>
      <c r="K186" s="169">
        <v>2026</v>
      </c>
      <c r="L186" s="170">
        <v>2026</v>
      </c>
      <c r="M186" s="171">
        <v>45947</v>
      </c>
      <c r="N186" s="169" t="s">
        <v>36</v>
      </c>
      <c r="O186" s="169" t="s">
        <v>51</v>
      </c>
      <c r="P186" s="169">
        <v>428</v>
      </c>
      <c r="Q186" s="169" t="s">
        <v>1463</v>
      </c>
      <c r="R186" s="169">
        <v>1</v>
      </c>
      <c r="S186" s="169">
        <v>2</v>
      </c>
      <c r="T186" s="169" t="s">
        <v>1464</v>
      </c>
      <c r="U186" s="169">
        <v>1</v>
      </c>
      <c r="V186" s="170">
        <v>0</v>
      </c>
      <c r="W186" s="170">
        <v>0</v>
      </c>
      <c r="X186" s="170" t="s">
        <v>1406</v>
      </c>
      <c r="Y186" s="171">
        <v>45983</v>
      </c>
      <c r="Z186" s="169" t="s">
        <v>32</v>
      </c>
      <c r="AA186" s="169"/>
      <c r="AB186" s="169">
        <v>0</v>
      </c>
      <c r="AC186" s="169">
        <v>0</v>
      </c>
      <c r="AD186" s="169">
        <v>0</v>
      </c>
      <c r="AE186" s="169" t="s">
        <v>1446</v>
      </c>
      <c r="AF186" s="169"/>
      <c r="AG186" s="169" t="s">
        <v>1446</v>
      </c>
      <c r="AH186" s="169"/>
      <c r="AI186" s="169"/>
      <c r="AJ186" s="169">
        <v>0</v>
      </c>
      <c r="AK186" s="169" t="s">
        <v>1473</v>
      </c>
      <c r="AL186" s="169">
        <v>28042</v>
      </c>
      <c r="AM186" s="169" t="s">
        <v>1421</v>
      </c>
      <c r="AN186" s="169" t="s">
        <v>2823</v>
      </c>
      <c r="AO186" s="169">
        <v>28</v>
      </c>
      <c r="AP186" s="169" t="s">
        <v>1416</v>
      </c>
      <c r="AQ186" s="169">
        <v>0</v>
      </c>
      <c r="AR186" s="169" t="s">
        <v>1410</v>
      </c>
      <c r="AS186" s="169"/>
      <c r="AT186" s="169" t="s">
        <v>1417</v>
      </c>
      <c r="AU186" s="169" t="s">
        <v>1412</v>
      </c>
    </row>
    <row r="187" spans="1:47" x14ac:dyDescent="0.45">
      <c r="A187" s="169">
        <v>2605750093</v>
      </c>
      <c r="B187" s="169">
        <v>57</v>
      </c>
      <c r="C187" s="169" t="s">
        <v>1551</v>
      </c>
      <c r="D187" s="169">
        <v>57</v>
      </c>
      <c r="E187" s="169" t="s">
        <v>1552</v>
      </c>
      <c r="F187" s="169" t="s">
        <v>4081</v>
      </c>
      <c r="G187" s="169" t="s">
        <v>4082</v>
      </c>
      <c r="H187" s="169">
        <v>2</v>
      </c>
      <c r="I187" s="169" t="s">
        <v>125</v>
      </c>
      <c r="J187" s="169" t="s">
        <v>1403</v>
      </c>
      <c r="K187" s="169">
        <v>2026</v>
      </c>
      <c r="L187" s="170">
        <v>2026</v>
      </c>
      <c r="M187" s="171">
        <v>45938</v>
      </c>
      <c r="N187" s="169" t="s">
        <v>36</v>
      </c>
      <c r="O187" s="169">
        <v>58</v>
      </c>
      <c r="P187" s="169">
        <v>427</v>
      </c>
      <c r="Q187" s="169" t="s">
        <v>1479</v>
      </c>
      <c r="R187" s="169">
        <v>2</v>
      </c>
      <c r="S187" s="169">
        <v>2</v>
      </c>
      <c r="T187" s="169" t="s">
        <v>1464</v>
      </c>
      <c r="U187" s="169">
        <v>1</v>
      </c>
      <c r="V187" s="170">
        <v>0</v>
      </c>
      <c r="W187" s="170">
        <v>0</v>
      </c>
      <c r="X187" s="170" t="s">
        <v>1406</v>
      </c>
      <c r="Y187" s="171">
        <v>46014</v>
      </c>
      <c r="Z187" s="169" t="s">
        <v>32</v>
      </c>
      <c r="AA187" s="169"/>
      <c r="AB187" s="169">
        <v>0</v>
      </c>
      <c r="AC187" s="169">
        <v>0</v>
      </c>
      <c r="AD187" s="169">
        <v>0</v>
      </c>
      <c r="AE187" s="169" t="s">
        <v>1446</v>
      </c>
      <c r="AF187" s="169"/>
      <c r="AG187" s="169" t="s">
        <v>1446</v>
      </c>
      <c r="AH187" s="169"/>
      <c r="AI187" s="169"/>
      <c r="AJ187" s="169">
        <v>0</v>
      </c>
      <c r="AK187" s="169" t="s">
        <v>1473</v>
      </c>
      <c r="AL187" s="169">
        <v>28124</v>
      </c>
      <c r="AM187" s="169" t="s">
        <v>1414</v>
      </c>
      <c r="AN187" s="169" t="s">
        <v>1483</v>
      </c>
      <c r="AO187" s="169">
        <v>28</v>
      </c>
      <c r="AP187" s="169" t="s">
        <v>1416</v>
      </c>
      <c r="AQ187" s="169">
        <v>0</v>
      </c>
      <c r="AR187" s="169" t="s">
        <v>1410</v>
      </c>
      <c r="AS187" s="169"/>
      <c r="AT187" s="169" t="s">
        <v>1417</v>
      </c>
      <c r="AU187" s="169" t="s">
        <v>1412</v>
      </c>
    </row>
    <row r="188" spans="1:47" x14ac:dyDescent="0.45">
      <c r="A188" s="169">
        <v>2605750096</v>
      </c>
      <c r="B188" s="169">
        <v>57</v>
      </c>
      <c r="C188" s="169" t="s">
        <v>1551</v>
      </c>
      <c r="D188" s="169">
        <v>57</v>
      </c>
      <c r="E188" s="169" t="s">
        <v>1552</v>
      </c>
      <c r="F188" s="169" t="s">
        <v>4083</v>
      </c>
      <c r="G188" s="169" t="s">
        <v>4084</v>
      </c>
      <c r="H188" s="169">
        <v>2</v>
      </c>
      <c r="I188" s="169" t="s">
        <v>315</v>
      </c>
      <c r="J188" s="169" t="s">
        <v>1403</v>
      </c>
      <c r="K188" s="169">
        <v>2026</v>
      </c>
      <c r="L188" s="170">
        <v>2026</v>
      </c>
      <c r="M188" s="171">
        <v>45959</v>
      </c>
      <c r="N188" s="169" t="s">
        <v>36</v>
      </c>
      <c r="O188" s="169">
        <v>58</v>
      </c>
      <c r="P188" s="169">
        <v>427</v>
      </c>
      <c r="Q188" s="169" t="s">
        <v>1479</v>
      </c>
      <c r="R188" s="169">
        <v>2</v>
      </c>
      <c r="S188" s="169">
        <v>2</v>
      </c>
      <c r="T188" s="169" t="s">
        <v>1464</v>
      </c>
      <c r="U188" s="169">
        <v>1</v>
      </c>
      <c r="V188" s="170">
        <v>0</v>
      </c>
      <c r="W188" s="170">
        <v>0</v>
      </c>
      <c r="X188" s="170" t="s">
        <v>1406</v>
      </c>
      <c r="Y188" s="169"/>
      <c r="Z188" s="169" t="s">
        <v>32</v>
      </c>
      <c r="AA188" s="169"/>
      <c r="AB188" s="169">
        <v>0</v>
      </c>
      <c r="AC188" s="169">
        <v>0</v>
      </c>
      <c r="AD188" s="169">
        <v>0</v>
      </c>
      <c r="AE188" s="169" t="s">
        <v>1446</v>
      </c>
      <c r="AF188" s="169"/>
      <c r="AG188" s="169" t="s">
        <v>1446</v>
      </c>
      <c r="AH188" s="169"/>
      <c r="AI188" s="169"/>
      <c r="AJ188" s="169">
        <v>0</v>
      </c>
      <c r="AK188" s="169" t="s">
        <v>1473</v>
      </c>
      <c r="AL188" s="169">
        <v>28079</v>
      </c>
      <c r="AM188" s="169" t="s">
        <v>1421</v>
      </c>
      <c r="AN188" s="169" t="s">
        <v>2789</v>
      </c>
      <c r="AO188" s="169">
        <v>28</v>
      </c>
      <c r="AP188" s="169" t="s">
        <v>1416</v>
      </c>
      <c r="AQ188" s="169">
        <v>0</v>
      </c>
      <c r="AR188" s="169" t="s">
        <v>1410</v>
      </c>
      <c r="AS188" s="169"/>
      <c r="AT188" s="169" t="s">
        <v>1417</v>
      </c>
      <c r="AU188" s="169" t="s">
        <v>1412</v>
      </c>
    </row>
    <row r="189" spans="1:47" x14ac:dyDescent="0.45">
      <c r="A189" s="169">
        <v>2605750098</v>
      </c>
      <c r="B189" s="169">
        <v>57</v>
      </c>
      <c r="C189" s="169" t="s">
        <v>1551</v>
      </c>
      <c r="D189" s="169">
        <v>57</v>
      </c>
      <c r="E189" s="169" t="s">
        <v>1552</v>
      </c>
      <c r="F189" s="169" t="s">
        <v>4085</v>
      </c>
      <c r="G189" s="169" t="s">
        <v>4086</v>
      </c>
      <c r="H189" s="169">
        <v>1</v>
      </c>
      <c r="I189" s="169" t="s">
        <v>4087</v>
      </c>
      <c r="J189" s="169" t="s">
        <v>1403</v>
      </c>
      <c r="K189" s="169">
        <v>2026</v>
      </c>
      <c r="L189" s="170">
        <v>2026</v>
      </c>
      <c r="M189" s="171">
        <v>45959</v>
      </c>
      <c r="N189" s="169" t="s">
        <v>36</v>
      </c>
      <c r="O189" s="169">
        <v>58</v>
      </c>
      <c r="P189" s="169">
        <v>428</v>
      </c>
      <c r="Q189" s="169" t="s">
        <v>1463</v>
      </c>
      <c r="R189" s="169">
        <v>2</v>
      </c>
      <c r="S189" s="169">
        <v>2</v>
      </c>
      <c r="T189" s="169" t="s">
        <v>1464</v>
      </c>
      <c r="U189" s="169">
        <v>1</v>
      </c>
      <c r="V189" s="170">
        <v>2680051</v>
      </c>
      <c r="W189" s="170">
        <v>0</v>
      </c>
      <c r="X189" s="170" t="s">
        <v>1406</v>
      </c>
      <c r="Y189" s="169"/>
      <c r="Z189" s="169" t="s">
        <v>32</v>
      </c>
      <c r="AA189" s="171">
        <v>45979</v>
      </c>
      <c r="AB189" s="169">
        <v>26</v>
      </c>
      <c r="AC189" s="169">
        <v>80051</v>
      </c>
      <c r="AD189" s="169">
        <v>57</v>
      </c>
      <c r="AE189" s="169" t="s">
        <v>1551</v>
      </c>
      <c r="AF189" s="169">
        <v>57</v>
      </c>
      <c r="AG189" s="169" t="s">
        <v>1552</v>
      </c>
      <c r="AH189" s="169" t="s">
        <v>36</v>
      </c>
      <c r="AI189" s="169">
        <v>58</v>
      </c>
      <c r="AJ189" s="169">
        <v>428</v>
      </c>
      <c r="AK189" s="169" t="s">
        <v>1407</v>
      </c>
      <c r="AL189" s="169">
        <v>28022</v>
      </c>
      <c r="AM189" s="169" t="s">
        <v>1421</v>
      </c>
      <c r="AN189" s="169" t="s">
        <v>1571</v>
      </c>
      <c r="AO189" s="169">
        <v>28</v>
      </c>
      <c r="AP189" s="169" t="s">
        <v>1416</v>
      </c>
      <c r="AQ189" s="169">
        <v>0</v>
      </c>
      <c r="AR189" s="169" t="s">
        <v>1410</v>
      </c>
      <c r="AS189" s="169"/>
      <c r="AT189" s="169" t="s">
        <v>1417</v>
      </c>
      <c r="AU189" s="169" t="s">
        <v>1412</v>
      </c>
    </row>
    <row r="190" spans="1:47" x14ac:dyDescent="0.45">
      <c r="A190" s="169">
        <v>2605750100</v>
      </c>
      <c r="B190" s="169">
        <v>57</v>
      </c>
      <c r="C190" s="169" t="s">
        <v>1551</v>
      </c>
      <c r="D190" s="169">
        <v>57</v>
      </c>
      <c r="E190" s="169" t="s">
        <v>1552</v>
      </c>
      <c r="F190" s="169" t="s">
        <v>4088</v>
      </c>
      <c r="G190" s="169" t="s">
        <v>4089</v>
      </c>
      <c r="H190" s="169">
        <v>1</v>
      </c>
      <c r="I190" s="169" t="s">
        <v>4090</v>
      </c>
      <c r="J190" s="169" t="s">
        <v>4091</v>
      </c>
      <c r="K190" s="169">
        <v>2026</v>
      </c>
      <c r="L190" s="170">
        <v>2026</v>
      </c>
      <c r="M190" s="171">
        <v>45912</v>
      </c>
      <c r="N190" s="169" t="s">
        <v>36</v>
      </c>
      <c r="O190" s="169">
        <v>57</v>
      </c>
      <c r="P190" s="169">
        <v>1044</v>
      </c>
      <c r="Q190" s="169" t="s">
        <v>1476</v>
      </c>
      <c r="R190" s="169">
        <v>2</v>
      </c>
      <c r="S190" s="169">
        <v>3</v>
      </c>
      <c r="T190" s="169" t="s">
        <v>1477</v>
      </c>
      <c r="U190" s="169">
        <v>4</v>
      </c>
      <c r="V190" s="170">
        <v>0</v>
      </c>
      <c r="W190" s="170">
        <v>0</v>
      </c>
      <c r="X190" s="170" t="s">
        <v>1406</v>
      </c>
      <c r="Y190" s="169"/>
      <c r="Z190" s="169" t="s">
        <v>32</v>
      </c>
      <c r="AA190" s="169"/>
      <c r="AB190" s="169">
        <v>0</v>
      </c>
      <c r="AC190" s="169">
        <v>0</v>
      </c>
      <c r="AD190" s="169">
        <v>0</v>
      </c>
      <c r="AE190" s="169" t="s">
        <v>1446</v>
      </c>
      <c r="AF190" s="169"/>
      <c r="AG190" s="169" t="s">
        <v>1446</v>
      </c>
      <c r="AH190" s="169"/>
      <c r="AI190" s="169"/>
      <c r="AJ190" s="169">
        <v>0</v>
      </c>
      <c r="AK190" s="169" t="s">
        <v>1407</v>
      </c>
      <c r="AL190" s="169">
        <v>46092</v>
      </c>
      <c r="AM190" s="169" t="s">
        <v>1418</v>
      </c>
      <c r="AN190" s="169" t="s">
        <v>4092</v>
      </c>
      <c r="AO190" s="169">
        <v>46</v>
      </c>
      <c r="AP190" s="169" t="s">
        <v>1433</v>
      </c>
      <c r="AQ190" s="169">
        <v>0</v>
      </c>
      <c r="AR190" s="169" t="s">
        <v>1410</v>
      </c>
      <c r="AS190" s="169"/>
      <c r="AT190" s="169" t="s">
        <v>1417</v>
      </c>
      <c r="AU190" s="169" t="s">
        <v>1412</v>
      </c>
    </row>
    <row r="191" spans="1:47" x14ac:dyDescent="0.45">
      <c r="A191" s="169">
        <v>2605750101</v>
      </c>
      <c r="B191" s="169">
        <v>57</v>
      </c>
      <c r="C191" s="169" t="s">
        <v>1551</v>
      </c>
      <c r="D191" s="169">
        <v>57</v>
      </c>
      <c r="E191" s="169" t="s">
        <v>1552</v>
      </c>
      <c r="F191" s="169" t="s">
        <v>4093</v>
      </c>
      <c r="G191" s="169" t="s">
        <v>4094</v>
      </c>
      <c r="H191" s="169">
        <v>2</v>
      </c>
      <c r="I191" s="169" t="s">
        <v>4095</v>
      </c>
      <c r="J191" s="169" t="s">
        <v>1403</v>
      </c>
      <c r="K191" s="169">
        <v>2026</v>
      </c>
      <c r="L191" s="170">
        <v>2026</v>
      </c>
      <c r="M191" s="171">
        <v>45932</v>
      </c>
      <c r="N191" s="169" t="s">
        <v>36</v>
      </c>
      <c r="O191" s="169" t="s">
        <v>94</v>
      </c>
      <c r="P191" s="169">
        <v>1067</v>
      </c>
      <c r="Q191" s="169" t="s">
        <v>2838</v>
      </c>
      <c r="R191" s="169">
        <v>2</v>
      </c>
      <c r="S191" s="169">
        <v>8</v>
      </c>
      <c r="T191" s="169" t="s">
        <v>1503</v>
      </c>
      <c r="U191" s="169">
        <v>6</v>
      </c>
      <c r="V191" s="170">
        <v>2680019</v>
      </c>
      <c r="W191" s="170">
        <v>0</v>
      </c>
      <c r="X191" s="170" t="s">
        <v>1406</v>
      </c>
      <c r="Y191" s="169"/>
      <c r="Z191" s="169" t="s">
        <v>32</v>
      </c>
      <c r="AA191" s="171">
        <v>45946</v>
      </c>
      <c r="AB191" s="169">
        <v>26</v>
      </c>
      <c r="AC191" s="169">
        <v>80019</v>
      </c>
      <c r="AD191" s="169">
        <v>57</v>
      </c>
      <c r="AE191" s="169" t="s">
        <v>1551</v>
      </c>
      <c r="AF191" s="169">
        <v>57</v>
      </c>
      <c r="AG191" s="169" t="s">
        <v>1552</v>
      </c>
      <c r="AH191" s="169" t="s">
        <v>36</v>
      </c>
      <c r="AI191" s="169" t="s">
        <v>94</v>
      </c>
      <c r="AJ191" s="169">
        <v>1067</v>
      </c>
      <c r="AK191" s="169" t="s">
        <v>1407</v>
      </c>
      <c r="AL191" s="169">
        <v>35128</v>
      </c>
      <c r="AM191" s="169" t="s">
        <v>1421</v>
      </c>
      <c r="AN191" s="169" t="s">
        <v>4096</v>
      </c>
      <c r="AO191" s="169">
        <v>35</v>
      </c>
      <c r="AP191" s="169" t="s">
        <v>4097</v>
      </c>
      <c r="AQ191" s="169">
        <v>0</v>
      </c>
      <c r="AR191" s="169" t="s">
        <v>1410</v>
      </c>
      <c r="AS191" s="169"/>
      <c r="AT191" s="169" t="s">
        <v>1417</v>
      </c>
      <c r="AU191" s="169" t="s">
        <v>1412</v>
      </c>
    </row>
    <row r="192" spans="1:47" x14ac:dyDescent="0.45">
      <c r="A192" s="169">
        <v>2605750102</v>
      </c>
      <c r="B192" s="169">
        <v>57</v>
      </c>
      <c r="C192" s="169" t="s">
        <v>1551</v>
      </c>
      <c r="D192" s="169">
        <v>57</v>
      </c>
      <c r="E192" s="169" t="s">
        <v>1552</v>
      </c>
      <c r="F192" s="169" t="s">
        <v>4098</v>
      </c>
      <c r="G192" s="169" t="s">
        <v>4099</v>
      </c>
      <c r="H192" s="169">
        <v>2</v>
      </c>
      <c r="I192" s="169" t="s">
        <v>4100</v>
      </c>
      <c r="J192" s="169" t="s">
        <v>1403</v>
      </c>
      <c r="K192" s="169">
        <v>0</v>
      </c>
      <c r="L192" s="170">
        <v>2026</v>
      </c>
      <c r="M192" s="171">
        <v>45928</v>
      </c>
      <c r="N192" s="169" t="s">
        <v>36</v>
      </c>
      <c r="O192" s="169">
        <v>57</v>
      </c>
      <c r="P192" s="169">
        <v>1044</v>
      </c>
      <c r="Q192" s="169" t="s">
        <v>1476</v>
      </c>
      <c r="R192" s="169">
        <v>2</v>
      </c>
      <c r="S192" s="169">
        <v>3</v>
      </c>
      <c r="T192" s="169" t="s">
        <v>1477</v>
      </c>
      <c r="U192" s="169">
        <v>4</v>
      </c>
      <c r="V192" s="170">
        <v>2680013</v>
      </c>
      <c r="W192" s="170">
        <v>0</v>
      </c>
      <c r="X192" s="170" t="s">
        <v>1406</v>
      </c>
      <c r="Y192" s="169"/>
      <c r="Z192" s="169" t="s">
        <v>32</v>
      </c>
      <c r="AA192" s="171">
        <v>45944</v>
      </c>
      <c r="AB192" s="169">
        <v>26</v>
      </c>
      <c r="AC192" s="169">
        <v>80013</v>
      </c>
      <c r="AD192" s="169">
        <v>57</v>
      </c>
      <c r="AE192" s="169" t="s">
        <v>1551</v>
      </c>
      <c r="AF192" s="169">
        <v>57</v>
      </c>
      <c r="AG192" s="169" t="s">
        <v>1552</v>
      </c>
      <c r="AH192" s="169" t="s">
        <v>36</v>
      </c>
      <c r="AI192" s="169">
        <v>57</v>
      </c>
      <c r="AJ192" s="169">
        <v>1044</v>
      </c>
      <c r="AK192" s="169" t="s">
        <v>1407</v>
      </c>
      <c r="AL192" s="169">
        <v>28037</v>
      </c>
      <c r="AM192" s="169" t="s">
        <v>1418</v>
      </c>
      <c r="AN192" s="169" t="s">
        <v>3013</v>
      </c>
      <c r="AO192" s="169">
        <v>28</v>
      </c>
      <c r="AP192" s="169" t="s">
        <v>1416</v>
      </c>
      <c r="AQ192" s="169">
        <v>0</v>
      </c>
      <c r="AR192" s="169" t="s">
        <v>1410</v>
      </c>
      <c r="AS192" s="169"/>
      <c r="AT192" s="169" t="s">
        <v>1411</v>
      </c>
      <c r="AU192" s="169" t="s">
        <v>1412</v>
      </c>
    </row>
    <row r="193" spans="1:47" x14ac:dyDescent="0.45">
      <c r="A193" s="169">
        <v>2605750103</v>
      </c>
      <c r="B193" s="169">
        <v>57</v>
      </c>
      <c r="C193" s="169" t="s">
        <v>1551</v>
      </c>
      <c r="D193" s="169">
        <v>57</v>
      </c>
      <c r="E193" s="169" t="s">
        <v>1552</v>
      </c>
      <c r="F193" s="169" t="s">
        <v>4101</v>
      </c>
      <c r="G193" s="169" t="s">
        <v>4102</v>
      </c>
      <c r="H193" s="169">
        <v>1</v>
      </c>
      <c r="I193" s="169" t="s">
        <v>1710</v>
      </c>
      <c r="J193" s="169" t="s">
        <v>1403</v>
      </c>
      <c r="K193" s="169">
        <v>2026</v>
      </c>
      <c r="L193" s="170">
        <v>2026</v>
      </c>
      <c r="M193" s="171">
        <v>45961</v>
      </c>
      <c r="N193" s="169" t="s">
        <v>36</v>
      </c>
      <c r="O193" s="169">
        <v>58</v>
      </c>
      <c r="P193" s="169">
        <v>968</v>
      </c>
      <c r="Q193" s="169" t="s">
        <v>1474</v>
      </c>
      <c r="R193" s="169">
        <v>2</v>
      </c>
      <c r="S193" s="169">
        <v>2</v>
      </c>
      <c r="T193" s="169" t="s">
        <v>1464</v>
      </c>
      <c r="U193" s="169">
        <v>1</v>
      </c>
      <c r="V193" s="170">
        <v>0</v>
      </c>
      <c r="W193" s="170">
        <v>0</v>
      </c>
      <c r="X193" s="170" t="s">
        <v>1406</v>
      </c>
      <c r="Y193" s="171">
        <v>45999</v>
      </c>
      <c r="Z193" s="169" t="s">
        <v>32</v>
      </c>
      <c r="AA193" s="169"/>
      <c r="AB193" s="169">
        <v>0</v>
      </c>
      <c r="AC193" s="169">
        <v>0</v>
      </c>
      <c r="AD193" s="169">
        <v>0</v>
      </c>
      <c r="AE193" s="169" t="s">
        <v>1446</v>
      </c>
      <c r="AF193" s="169"/>
      <c r="AG193" s="169" t="s">
        <v>1446</v>
      </c>
      <c r="AH193" s="169"/>
      <c r="AI193" s="169"/>
      <c r="AJ193" s="169">
        <v>0</v>
      </c>
      <c r="AK193" s="169" t="s">
        <v>1407</v>
      </c>
      <c r="AL193" s="169">
        <v>28034</v>
      </c>
      <c r="AM193" s="169" t="s">
        <v>1418</v>
      </c>
      <c r="AN193" s="169" t="s">
        <v>1599</v>
      </c>
      <c r="AO193" s="169">
        <v>28</v>
      </c>
      <c r="AP193" s="169" t="s">
        <v>1416</v>
      </c>
      <c r="AQ193" s="169">
        <v>0</v>
      </c>
      <c r="AR193" s="169" t="s">
        <v>1410</v>
      </c>
      <c r="AS193" s="169"/>
      <c r="AT193" s="169" t="s">
        <v>1417</v>
      </c>
      <c r="AU193" s="169" t="s">
        <v>1412</v>
      </c>
    </row>
    <row r="194" spans="1:47" x14ac:dyDescent="0.45">
      <c r="A194" s="169">
        <v>2605750104</v>
      </c>
      <c r="B194" s="169">
        <v>57</v>
      </c>
      <c r="C194" s="169" t="s">
        <v>1551</v>
      </c>
      <c r="D194" s="169">
        <v>57</v>
      </c>
      <c r="E194" s="169" t="s">
        <v>1552</v>
      </c>
      <c r="F194" s="169" t="s">
        <v>4103</v>
      </c>
      <c r="G194" s="169" t="s">
        <v>4104</v>
      </c>
      <c r="H194" s="169">
        <v>1</v>
      </c>
      <c r="I194" s="169" t="s">
        <v>4105</v>
      </c>
      <c r="J194" s="169" t="s">
        <v>1403</v>
      </c>
      <c r="K194" s="169">
        <v>2026</v>
      </c>
      <c r="L194" s="170">
        <v>2026</v>
      </c>
      <c r="M194" s="171">
        <v>45952</v>
      </c>
      <c r="N194" s="169" t="s">
        <v>36</v>
      </c>
      <c r="O194" s="169">
        <v>58</v>
      </c>
      <c r="P194" s="169">
        <v>428</v>
      </c>
      <c r="Q194" s="169" t="s">
        <v>1463</v>
      </c>
      <c r="R194" s="169">
        <v>2</v>
      </c>
      <c r="S194" s="169">
        <v>2</v>
      </c>
      <c r="T194" s="169" t="s">
        <v>1464</v>
      </c>
      <c r="U194" s="169">
        <v>1</v>
      </c>
      <c r="V194" s="170">
        <v>2680120</v>
      </c>
      <c r="W194" s="170">
        <v>0</v>
      </c>
      <c r="X194" s="170" t="s">
        <v>1406</v>
      </c>
      <c r="Y194" s="169"/>
      <c r="Z194" s="169" t="s">
        <v>32</v>
      </c>
      <c r="AA194" s="171">
        <v>46031</v>
      </c>
      <c r="AB194" s="169">
        <v>26</v>
      </c>
      <c r="AC194" s="169">
        <v>80120</v>
      </c>
      <c r="AD194" s="169">
        <v>57</v>
      </c>
      <c r="AE194" s="169" t="s">
        <v>1551</v>
      </c>
      <c r="AF194" s="169">
        <v>57</v>
      </c>
      <c r="AG194" s="169" t="s">
        <v>1552</v>
      </c>
      <c r="AH194" s="169" t="s">
        <v>36</v>
      </c>
      <c r="AI194" s="169">
        <v>58</v>
      </c>
      <c r="AJ194" s="169">
        <v>428</v>
      </c>
      <c r="AK194" s="169" t="s">
        <v>1407</v>
      </c>
      <c r="AL194" s="169">
        <v>28203</v>
      </c>
      <c r="AM194" s="169" t="s">
        <v>1418</v>
      </c>
      <c r="AN194" s="169" t="s">
        <v>1619</v>
      </c>
      <c r="AO194" s="169">
        <v>28</v>
      </c>
      <c r="AP194" s="169" t="s">
        <v>1416</v>
      </c>
      <c r="AQ194" s="169">
        <v>0</v>
      </c>
      <c r="AR194" s="169" t="s">
        <v>1410</v>
      </c>
      <c r="AS194" s="169"/>
      <c r="AT194" s="169" t="s">
        <v>1417</v>
      </c>
      <c r="AU194" s="169" t="s">
        <v>1412</v>
      </c>
    </row>
    <row r="195" spans="1:47" x14ac:dyDescent="0.45">
      <c r="A195" s="169">
        <v>2605750105</v>
      </c>
      <c r="B195" s="169">
        <v>57</v>
      </c>
      <c r="C195" s="169" t="s">
        <v>1551</v>
      </c>
      <c r="D195" s="169">
        <v>57</v>
      </c>
      <c r="E195" s="169" t="s">
        <v>1552</v>
      </c>
      <c r="F195" s="169" t="s">
        <v>4106</v>
      </c>
      <c r="G195" s="169" t="s">
        <v>4107</v>
      </c>
      <c r="H195" s="169">
        <v>1</v>
      </c>
      <c r="I195" s="169" t="s">
        <v>4108</v>
      </c>
      <c r="J195" s="169" t="s">
        <v>1403</v>
      </c>
      <c r="K195" s="169">
        <v>2026</v>
      </c>
      <c r="L195" s="170">
        <v>2026</v>
      </c>
      <c r="M195" s="171">
        <v>45934</v>
      </c>
      <c r="N195" s="169" t="s">
        <v>36</v>
      </c>
      <c r="O195" s="169">
        <v>58</v>
      </c>
      <c r="P195" s="169">
        <v>428</v>
      </c>
      <c r="Q195" s="169" t="s">
        <v>1463</v>
      </c>
      <c r="R195" s="169">
        <v>2</v>
      </c>
      <c r="S195" s="169">
        <v>2</v>
      </c>
      <c r="T195" s="169" t="s">
        <v>1464</v>
      </c>
      <c r="U195" s="169">
        <v>1</v>
      </c>
      <c r="V195" s="170">
        <v>2680099</v>
      </c>
      <c r="W195" s="170">
        <v>0</v>
      </c>
      <c r="X195" s="170" t="s">
        <v>1406</v>
      </c>
      <c r="Y195" s="169"/>
      <c r="Z195" s="169" t="s">
        <v>32</v>
      </c>
      <c r="AA195" s="171">
        <v>46014</v>
      </c>
      <c r="AB195" s="169">
        <v>26</v>
      </c>
      <c r="AC195" s="169">
        <v>80099</v>
      </c>
      <c r="AD195" s="169">
        <v>57</v>
      </c>
      <c r="AE195" s="169" t="s">
        <v>1551</v>
      </c>
      <c r="AF195" s="169">
        <v>57</v>
      </c>
      <c r="AG195" s="169" t="s">
        <v>1552</v>
      </c>
      <c r="AH195" s="169" t="s">
        <v>36</v>
      </c>
      <c r="AI195" s="169">
        <v>58</v>
      </c>
      <c r="AJ195" s="169">
        <v>428</v>
      </c>
      <c r="AK195" s="169" t="s">
        <v>1407</v>
      </c>
      <c r="AL195" s="169">
        <v>28126</v>
      </c>
      <c r="AM195" s="169" t="s">
        <v>1418</v>
      </c>
      <c r="AN195" s="169" t="s">
        <v>1458</v>
      </c>
      <c r="AO195" s="169">
        <v>28</v>
      </c>
      <c r="AP195" s="169" t="s">
        <v>1416</v>
      </c>
      <c r="AQ195" s="169">
        <v>0</v>
      </c>
      <c r="AR195" s="169" t="s">
        <v>1410</v>
      </c>
      <c r="AS195" s="169"/>
      <c r="AT195" s="169" t="s">
        <v>1417</v>
      </c>
      <c r="AU195" s="169" t="s">
        <v>1412</v>
      </c>
    </row>
    <row r="196" spans="1:47" x14ac:dyDescent="0.45">
      <c r="A196" s="169">
        <v>2605750106</v>
      </c>
      <c r="B196" s="169">
        <v>57</v>
      </c>
      <c r="C196" s="169" t="s">
        <v>1551</v>
      </c>
      <c r="D196" s="169">
        <v>57</v>
      </c>
      <c r="E196" s="169" t="s">
        <v>1552</v>
      </c>
      <c r="F196" s="169" t="s">
        <v>4109</v>
      </c>
      <c r="G196" s="169" t="s">
        <v>4110</v>
      </c>
      <c r="H196" s="169">
        <v>1</v>
      </c>
      <c r="I196" s="169" t="s">
        <v>1328</v>
      </c>
      <c r="J196" s="169" t="s">
        <v>1403</v>
      </c>
      <c r="K196" s="169">
        <v>2026</v>
      </c>
      <c r="L196" s="170">
        <v>2026</v>
      </c>
      <c r="M196" s="171">
        <v>45949</v>
      </c>
      <c r="N196" s="169" t="s">
        <v>36</v>
      </c>
      <c r="O196" s="169">
        <v>58</v>
      </c>
      <c r="P196" s="169">
        <v>427</v>
      </c>
      <c r="Q196" s="169" t="s">
        <v>1479</v>
      </c>
      <c r="R196" s="169">
        <v>2</v>
      </c>
      <c r="S196" s="169">
        <v>2</v>
      </c>
      <c r="T196" s="169" t="s">
        <v>1464</v>
      </c>
      <c r="U196" s="169">
        <v>1</v>
      </c>
      <c r="V196" s="170">
        <v>0</v>
      </c>
      <c r="W196" s="170">
        <v>0</v>
      </c>
      <c r="X196" s="170" t="s">
        <v>1406</v>
      </c>
      <c r="Y196" s="171">
        <v>46035</v>
      </c>
      <c r="Z196" s="169" t="s">
        <v>32</v>
      </c>
      <c r="AA196" s="169"/>
      <c r="AB196" s="169">
        <v>0</v>
      </c>
      <c r="AC196" s="169">
        <v>0</v>
      </c>
      <c r="AD196" s="169">
        <v>0</v>
      </c>
      <c r="AE196" s="169" t="s">
        <v>1446</v>
      </c>
      <c r="AF196" s="169"/>
      <c r="AG196" s="169" t="s">
        <v>1446</v>
      </c>
      <c r="AH196" s="169"/>
      <c r="AI196" s="169"/>
      <c r="AJ196" s="169">
        <v>0</v>
      </c>
      <c r="AK196" s="169" t="s">
        <v>1473</v>
      </c>
      <c r="AL196" s="169">
        <v>28203</v>
      </c>
      <c r="AM196" s="169" t="s">
        <v>1418</v>
      </c>
      <c r="AN196" s="169" t="s">
        <v>1619</v>
      </c>
      <c r="AO196" s="169">
        <v>28</v>
      </c>
      <c r="AP196" s="169" t="s">
        <v>1416</v>
      </c>
      <c r="AQ196" s="169">
        <v>0</v>
      </c>
      <c r="AR196" s="169" t="s">
        <v>1410</v>
      </c>
      <c r="AS196" s="169"/>
      <c r="AT196" s="169" t="s">
        <v>1417</v>
      </c>
      <c r="AU196" s="169" t="s">
        <v>1412</v>
      </c>
    </row>
    <row r="197" spans="1:47" x14ac:dyDescent="0.45">
      <c r="A197" s="169">
        <v>2605750107</v>
      </c>
      <c r="B197" s="169">
        <v>57</v>
      </c>
      <c r="C197" s="169" t="s">
        <v>1551</v>
      </c>
      <c r="D197" s="169">
        <v>57</v>
      </c>
      <c r="E197" s="169" t="s">
        <v>1552</v>
      </c>
      <c r="F197" s="169" t="s">
        <v>4111</v>
      </c>
      <c r="G197" s="169" t="s">
        <v>4112</v>
      </c>
      <c r="H197" s="169">
        <v>1</v>
      </c>
      <c r="I197" s="169" t="s">
        <v>4113</v>
      </c>
      <c r="J197" s="169" t="s">
        <v>1403</v>
      </c>
      <c r="K197" s="169">
        <v>2026</v>
      </c>
      <c r="L197" s="170">
        <v>2026</v>
      </c>
      <c r="M197" s="171">
        <v>45917</v>
      </c>
      <c r="N197" s="169" t="s">
        <v>36</v>
      </c>
      <c r="O197" s="169">
        <v>6</v>
      </c>
      <c r="P197" s="169">
        <v>488</v>
      </c>
      <c r="Q197" s="169" t="s">
        <v>1553</v>
      </c>
      <c r="R197" s="169">
        <v>2</v>
      </c>
      <c r="S197" s="169">
        <v>1</v>
      </c>
      <c r="T197" s="169" t="s">
        <v>1527</v>
      </c>
      <c r="U197" s="169">
        <v>3</v>
      </c>
      <c r="V197" s="170">
        <v>2680017</v>
      </c>
      <c r="W197" s="170">
        <v>0</v>
      </c>
      <c r="X197" s="170" t="s">
        <v>1406</v>
      </c>
      <c r="Y197" s="169"/>
      <c r="Z197" s="169" t="s">
        <v>32</v>
      </c>
      <c r="AA197" s="171">
        <v>45945</v>
      </c>
      <c r="AB197" s="169">
        <v>26</v>
      </c>
      <c r="AC197" s="169">
        <v>80017</v>
      </c>
      <c r="AD197" s="169">
        <v>57</v>
      </c>
      <c r="AE197" s="169" t="s">
        <v>1551</v>
      </c>
      <c r="AF197" s="169">
        <v>57</v>
      </c>
      <c r="AG197" s="169" t="s">
        <v>1552</v>
      </c>
      <c r="AH197" s="169" t="s">
        <v>36</v>
      </c>
      <c r="AI197" s="169">
        <v>6</v>
      </c>
      <c r="AJ197" s="169">
        <v>488</v>
      </c>
      <c r="AK197" s="169" t="s">
        <v>1407</v>
      </c>
      <c r="AL197" s="169">
        <v>28068</v>
      </c>
      <c r="AM197" s="169" t="s">
        <v>1418</v>
      </c>
      <c r="AN197" s="169" t="s">
        <v>4114</v>
      </c>
      <c r="AO197" s="169">
        <v>28</v>
      </c>
      <c r="AP197" s="169" t="s">
        <v>1416</v>
      </c>
      <c r="AQ197" s="169">
        <v>0</v>
      </c>
      <c r="AR197" s="169" t="s">
        <v>1410</v>
      </c>
      <c r="AS197" s="169"/>
      <c r="AT197" s="169" t="s">
        <v>1417</v>
      </c>
      <c r="AU197" s="169" t="s">
        <v>1412</v>
      </c>
    </row>
    <row r="198" spans="1:47" x14ac:dyDescent="0.45">
      <c r="A198" s="169">
        <v>2605750108</v>
      </c>
      <c r="B198" s="169">
        <v>57</v>
      </c>
      <c r="C198" s="169" t="s">
        <v>1551</v>
      </c>
      <c r="D198" s="169">
        <v>57</v>
      </c>
      <c r="E198" s="169" t="s">
        <v>1552</v>
      </c>
      <c r="F198" s="169" t="s">
        <v>4115</v>
      </c>
      <c r="G198" s="169" t="s">
        <v>4116</v>
      </c>
      <c r="H198" s="169">
        <v>2</v>
      </c>
      <c r="I198" s="169" t="s">
        <v>3365</v>
      </c>
      <c r="J198" s="169" t="s">
        <v>1403</v>
      </c>
      <c r="K198" s="169">
        <v>2026</v>
      </c>
      <c r="L198" s="170">
        <v>2026</v>
      </c>
      <c r="M198" s="171">
        <v>45908</v>
      </c>
      <c r="N198" s="169" t="s">
        <v>36</v>
      </c>
      <c r="O198" s="169" t="s">
        <v>135</v>
      </c>
      <c r="P198" s="169">
        <v>502</v>
      </c>
      <c r="Q198" s="169" t="s">
        <v>1500</v>
      </c>
      <c r="R198" s="169">
        <v>2</v>
      </c>
      <c r="S198" s="169">
        <v>5</v>
      </c>
      <c r="T198" s="169" t="s">
        <v>1470</v>
      </c>
      <c r="U198" s="169">
        <v>15</v>
      </c>
      <c r="V198" s="170">
        <v>2680083</v>
      </c>
      <c r="W198" s="170">
        <v>0</v>
      </c>
      <c r="X198" s="170" t="s">
        <v>1406</v>
      </c>
      <c r="Y198" s="169"/>
      <c r="Z198" s="169" t="s">
        <v>32</v>
      </c>
      <c r="AA198" s="171">
        <v>46006</v>
      </c>
      <c r="AB198" s="169">
        <v>26</v>
      </c>
      <c r="AC198" s="169">
        <v>80083</v>
      </c>
      <c r="AD198" s="169">
        <v>57</v>
      </c>
      <c r="AE198" s="169" t="s">
        <v>1551</v>
      </c>
      <c r="AF198" s="169">
        <v>57</v>
      </c>
      <c r="AG198" s="169" t="s">
        <v>1552</v>
      </c>
      <c r="AH198" s="169" t="s">
        <v>36</v>
      </c>
      <c r="AI198" s="169" t="s">
        <v>135</v>
      </c>
      <c r="AJ198" s="169">
        <v>502</v>
      </c>
      <c r="AK198" s="169" t="s">
        <v>1407</v>
      </c>
      <c r="AL198" s="169">
        <v>28025</v>
      </c>
      <c r="AM198" s="169" t="s">
        <v>1421</v>
      </c>
      <c r="AN198" s="169" t="s">
        <v>1550</v>
      </c>
      <c r="AO198" s="169">
        <v>28</v>
      </c>
      <c r="AP198" s="169" t="s">
        <v>1416</v>
      </c>
      <c r="AQ198" s="169">
        <v>0</v>
      </c>
      <c r="AR198" s="169" t="s">
        <v>1410</v>
      </c>
      <c r="AS198" s="169"/>
      <c r="AT198" s="169" t="s">
        <v>1417</v>
      </c>
      <c r="AU198" s="169" t="s">
        <v>1412</v>
      </c>
    </row>
    <row r="199" spans="1:47" x14ac:dyDescent="0.45">
      <c r="A199" s="169">
        <v>2605750109</v>
      </c>
      <c r="B199" s="169">
        <v>57</v>
      </c>
      <c r="C199" s="169" t="s">
        <v>1551</v>
      </c>
      <c r="D199" s="169">
        <v>57</v>
      </c>
      <c r="E199" s="169" t="s">
        <v>1552</v>
      </c>
      <c r="F199" s="169" t="s">
        <v>4117</v>
      </c>
      <c r="G199" s="169" t="s">
        <v>4118</v>
      </c>
      <c r="H199" s="169">
        <v>1</v>
      </c>
      <c r="I199" s="169" t="s">
        <v>2065</v>
      </c>
      <c r="J199" s="169" t="s">
        <v>1403</v>
      </c>
      <c r="K199" s="169">
        <v>2026</v>
      </c>
      <c r="L199" s="170">
        <v>2026</v>
      </c>
      <c r="M199" s="171">
        <v>45946</v>
      </c>
      <c r="N199" s="169" t="s">
        <v>36</v>
      </c>
      <c r="O199" s="169">
        <v>57</v>
      </c>
      <c r="P199" s="169">
        <v>645</v>
      </c>
      <c r="Q199" s="169" t="s">
        <v>1544</v>
      </c>
      <c r="R199" s="169">
        <v>2</v>
      </c>
      <c r="S199" s="169">
        <v>3</v>
      </c>
      <c r="T199" s="169" t="s">
        <v>1477</v>
      </c>
      <c r="U199" s="169">
        <v>4</v>
      </c>
      <c r="V199" s="170">
        <v>0</v>
      </c>
      <c r="W199" s="170">
        <v>0</v>
      </c>
      <c r="X199" s="170" t="s">
        <v>1406</v>
      </c>
      <c r="Y199" s="169"/>
      <c r="Z199" s="169" t="s">
        <v>32</v>
      </c>
      <c r="AA199" s="169"/>
      <c r="AB199" s="169">
        <v>0</v>
      </c>
      <c r="AC199" s="169">
        <v>0</v>
      </c>
      <c r="AD199" s="169">
        <v>0</v>
      </c>
      <c r="AE199" s="169" t="s">
        <v>1446</v>
      </c>
      <c r="AF199" s="169"/>
      <c r="AG199" s="169" t="s">
        <v>1446</v>
      </c>
      <c r="AH199" s="169"/>
      <c r="AI199" s="169"/>
      <c r="AJ199" s="169">
        <v>0</v>
      </c>
      <c r="AK199" s="169" t="s">
        <v>1407</v>
      </c>
      <c r="AL199" s="169">
        <v>28029</v>
      </c>
      <c r="AM199" s="169" t="s">
        <v>1421</v>
      </c>
      <c r="AN199" s="169" t="s">
        <v>1441</v>
      </c>
      <c r="AO199" s="169">
        <v>28</v>
      </c>
      <c r="AP199" s="169" t="s">
        <v>1416</v>
      </c>
      <c r="AQ199" s="169">
        <v>0</v>
      </c>
      <c r="AR199" s="169" t="s">
        <v>1410</v>
      </c>
      <c r="AS199" s="169"/>
      <c r="AT199" s="169" t="s">
        <v>1417</v>
      </c>
      <c r="AU199" s="169" t="s">
        <v>1412</v>
      </c>
    </row>
    <row r="200" spans="1:47" x14ac:dyDescent="0.45">
      <c r="A200" s="169">
        <v>2605750110</v>
      </c>
      <c r="B200" s="169">
        <v>57</v>
      </c>
      <c r="C200" s="169" t="s">
        <v>1551</v>
      </c>
      <c r="D200" s="169">
        <v>57</v>
      </c>
      <c r="E200" s="169" t="s">
        <v>1552</v>
      </c>
      <c r="F200" s="169" t="s">
        <v>4119</v>
      </c>
      <c r="G200" s="169" t="s">
        <v>4120</v>
      </c>
      <c r="H200" s="169">
        <v>1</v>
      </c>
      <c r="I200" s="169" t="s">
        <v>4121</v>
      </c>
      <c r="J200" s="169" t="s">
        <v>1403</v>
      </c>
      <c r="K200" s="169">
        <v>2026</v>
      </c>
      <c r="L200" s="170">
        <v>2026</v>
      </c>
      <c r="M200" s="171">
        <v>45928</v>
      </c>
      <c r="N200" s="169" t="s">
        <v>36</v>
      </c>
      <c r="O200" s="169">
        <v>6</v>
      </c>
      <c r="P200" s="169">
        <v>488</v>
      </c>
      <c r="Q200" s="169" t="s">
        <v>1553</v>
      </c>
      <c r="R200" s="169">
        <v>2</v>
      </c>
      <c r="S200" s="169">
        <v>1</v>
      </c>
      <c r="T200" s="169" t="s">
        <v>1527</v>
      </c>
      <c r="U200" s="169">
        <v>3</v>
      </c>
      <c r="V200" s="170">
        <v>2680015</v>
      </c>
      <c r="W200" s="170">
        <v>0</v>
      </c>
      <c r="X200" s="170" t="s">
        <v>1406</v>
      </c>
      <c r="Y200" s="169"/>
      <c r="Z200" s="169" t="s">
        <v>32</v>
      </c>
      <c r="AA200" s="171">
        <v>45944</v>
      </c>
      <c r="AB200" s="169">
        <v>26</v>
      </c>
      <c r="AC200" s="169">
        <v>80015</v>
      </c>
      <c r="AD200" s="169">
        <v>57</v>
      </c>
      <c r="AE200" s="169" t="s">
        <v>1551</v>
      </c>
      <c r="AF200" s="169">
        <v>57</v>
      </c>
      <c r="AG200" s="169" t="s">
        <v>1552</v>
      </c>
      <c r="AH200" s="169" t="s">
        <v>36</v>
      </c>
      <c r="AI200" s="169">
        <v>6</v>
      </c>
      <c r="AJ200" s="169">
        <v>488</v>
      </c>
      <c r="AK200" s="169" t="s">
        <v>1407</v>
      </c>
      <c r="AL200" s="169">
        <v>28030</v>
      </c>
      <c r="AM200" s="169" t="s">
        <v>1418</v>
      </c>
      <c r="AN200" s="169" t="s">
        <v>1566</v>
      </c>
      <c r="AO200" s="169">
        <v>28</v>
      </c>
      <c r="AP200" s="169" t="s">
        <v>1416</v>
      </c>
      <c r="AQ200" s="169">
        <v>0</v>
      </c>
      <c r="AR200" s="169" t="s">
        <v>1410</v>
      </c>
      <c r="AS200" s="169"/>
      <c r="AT200" s="169" t="s">
        <v>1417</v>
      </c>
      <c r="AU200" s="169" t="s">
        <v>1412</v>
      </c>
    </row>
    <row r="201" spans="1:47" x14ac:dyDescent="0.45">
      <c r="A201" s="169">
        <v>2605750112</v>
      </c>
      <c r="B201" s="169">
        <v>57</v>
      </c>
      <c r="C201" s="169" t="s">
        <v>1551</v>
      </c>
      <c r="D201" s="169">
        <v>57</v>
      </c>
      <c r="E201" s="169" t="s">
        <v>1552</v>
      </c>
      <c r="F201" s="169" t="s">
        <v>4122</v>
      </c>
      <c r="G201" s="169" t="s">
        <v>4123</v>
      </c>
      <c r="H201" s="169">
        <v>1</v>
      </c>
      <c r="I201" s="169" t="s">
        <v>4124</v>
      </c>
      <c r="J201" s="169" t="s">
        <v>1403</v>
      </c>
      <c r="K201" s="169">
        <v>2026</v>
      </c>
      <c r="L201" s="170">
        <v>2026</v>
      </c>
      <c r="M201" s="171">
        <v>45937</v>
      </c>
      <c r="N201" s="169" t="s">
        <v>36</v>
      </c>
      <c r="O201" s="169">
        <v>58</v>
      </c>
      <c r="P201" s="169">
        <v>428</v>
      </c>
      <c r="Q201" s="169" t="s">
        <v>1463</v>
      </c>
      <c r="R201" s="169">
        <v>2</v>
      </c>
      <c r="S201" s="169">
        <v>2</v>
      </c>
      <c r="T201" s="169" t="s">
        <v>1464</v>
      </c>
      <c r="U201" s="169">
        <v>1</v>
      </c>
      <c r="V201" s="170">
        <v>2680076</v>
      </c>
      <c r="W201" s="170">
        <v>0</v>
      </c>
      <c r="X201" s="170" t="s">
        <v>1406</v>
      </c>
      <c r="Y201" s="169"/>
      <c r="Z201" s="169" t="s">
        <v>32</v>
      </c>
      <c r="AA201" s="171">
        <v>46001</v>
      </c>
      <c r="AB201" s="169">
        <v>26</v>
      </c>
      <c r="AC201" s="169">
        <v>80076</v>
      </c>
      <c r="AD201" s="169">
        <v>57</v>
      </c>
      <c r="AE201" s="169" t="s">
        <v>1551</v>
      </c>
      <c r="AF201" s="169">
        <v>57</v>
      </c>
      <c r="AG201" s="169" t="s">
        <v>1552</v>
      </c>
      <c r="AH201" s="169" t="s">
        <v>36</v>
      </c>
      <c r="AI201" s="169">
        <v>58</v>
      </c>
      <c r="AJ201" s="169">
        <v>428</v>
      </c>
      <c r="AK201" s="169" t="s">
        <v>1473</v>
      </c>
      <c r="AL201" s="169">
        <v>28024</v>
      </c>
      <c r="AM201" s="169" t="s">
        <v>1421</v>
      </c>
      <c r="AN201" s="169" t="s">
        <v>1535</v>
      </c>
      <c r="AO201" s="169">
        <v>28</v>
      </c>
      <c r="AP201" s="169" t="s">
        <v>1416</v>
      </c>
      <c r="AQ201" s="169">
        <v>0</v>
      </c>
      <c r="AR201" s="169" t="s">
        <v>1410</v>
      </c>
      <c r="AS201" s="169"/>
      <c r="AT201" s="169" t="s">
        <v>1417</v>
      </c>
      <c r="AU201" s="169" t="s">
        <v>1412</v>
      </c>
    </row>
    <row r="202" spans="1:47" x14ac:dyDescent="0.45">
      <c r="A202" s="169">
        <v>2605750113</v>
      </c>
      <c r="B202" s="169">
        <v>57</v>
      </c>
      <c r="C202" s="169" t="s">
        <v>1551</v>
      </c>
      <c r="D202" s="169">
        <v>57</v>
      </c>
      <c r="E202" s="169" t="s">
        <v>1552</v>
      </c>
      <c r="F202" s="169" t="s">
        <v>4125</v>
      </c>
      <c r="G202" s="169" t="s">
        <v>4126</v>
      </c>
      <c r="H202" s="169">
        <v>1</v>
      </c>
      <c r="I202" s="169" t="s">
        <v>4127</v>
      </c>
      <c r="J202" s="169" t="s">
        <v>1403</v>
      </c>
      <c r="K202" s="169">
        <v>2026</v>
      </c>
      <c r="L202" s="170">
        <v>2026</v>
      </c>
      <c r="M202" s="171">
        <v>45952</v>
      </c>
      <c r="N202" s="169" t="s">
        <v>36</v>
      </c>
      <c r="O202" s="169">
        <v>58</v>
      </c>
      <c r="P202" s="169">
        <v>785</v>
      </c>
      <c r="Q202" s="169" t="s">
        <v>1491</v>
      </c>
      <c r="R202" s="169">
        <v>2</v>
      </c>
      <c r="S202" s="169">
        <v>2</v>
      </c>
      <c r="T202" s="169" t="s">
        <v>1464</v>
      </c>
      <c r="U202" s="169">
        <v>1</v>
      </c>
      <c r="V202" s="170">
        <v>2680094</v>
      </c>
      <c r="W202" s="170">
        <v>0</v>
      </c>
      <c r="X202" s="170" t="s">
        <v>1406</v>
      </c>
      <c r="Y202" s="169"/>
      <c r="Z202" s="169" t="s">
        <v>32</v>
      </c>
      <c r="AA202" s="171">
        <v>46013</v>
      </c>
      <c r="AB202" s="169">
        <v>26</v>
      </c>
      <c r="AC202" s="169">
        <v>80094</v>
      </c>
      <c r="AD202" s="169">
        <v>57</v>
      </c>
      <c r="AE202" s="169" t="s">
        <v>1551</v>
      </c>
      <c r="AF202" s="169">
        <v>57</v>
      </c>
      <c r="AG202" s="169" t="s">
        <v>1552</v>
      </c>
      <c r="AH202" s="169" t="s">
        <v>36</v>
      </c>
      <c r="AI202" s="169">
        <v>58</v>
      </c>
      <c r="AJ202" s="169">
        <v>785</v>
      </c>
      <c r="AK202" s="169" t="s">
        <v>1407</v>
      </c>
      <c r="AL202" s="169">
        <v>28197</v>
      </c>
      <c r="AM202" s="169" t="s">
        <v>1421</v>
      </c>
      <c r="AN202" s="169" t="s">
        <v>1616</v>
      </c>
      <c r="AO202" s="169">
        <v>28</v>
      </c>
      <c r="AP202" s="169" t="s">
        <v>1416</v>
      </c>
      <c r="AQ202" s="169">
        <v>0</v>
      </c>
      <c r="AR202" s="169" t="s">
        <v>1410</v>
      </c>
      <c r="AS202" s="169"/>
      <c r="AT202" s="169" t="s">
        <v>1417</v>
      </c>
      <c r="AU202" s="169" t="s">
        <v>1412</v>
      </c>
    </row>
    <row r="203" spans="1:47" x14ac:dyDescent="0.45">
      <c r="A203" s="169">
        <v>2605750114</v>
      </c>
      <c r="B203" s="169">
        <v>57</v>
      </c>
      <c r="C203" s="169" t="s">
        <v>1551</v>
      </c>
      <c r="D203" s="169">
        <v>57</v>
      </c>
      <c r="E203" s="169" t="s">
        <v>1552</v>
      </c>
      <c r="F203" s="169" t="s">
        <v>4128</v>
      </c>
      <c r="G203" s="169" t="s">
        <v>4129</v>
      </c>
      <c r="H203" s="169">
        <v>1</v>
      </c>
      <c r="I203" s="169" t="s">
        <v>2030</v>
      </c>
      <c r="J203" s="169" t="s">
        <v>1403</v>
      </c>
      <c r="K203" s="169">
        <v>2026</v>
      </c>
      <c r="L203" s="170">
        <v>2026</v>
      </c>
      <c r="M203" s="171">
        <v>45960</v>
      </c>
      <c r="N203" s="169" t="s">
        <v>36</v>
      </c>
      <c r="O203" s="169" t="s">
        <v>51</v>
      </c>
      <c r="P203" s="169">
        <v>428</v>
      </c>
      <c r="Q203" s="169" t="s">
        <v>1463</v>
      </c>
      <c r="R203" s="169">
        <v>1</v>
      </c>
      <c r="S203" s="169">
        <v>2</v>
      </c>
      <c r="T203" s="169" t="s">
        <v>1464</v>
      </c>
      <c r="U203" s="169">
        <v>1</v>
      </c>
      <c r="V203" s="170">
        <v>2680080</v>
      </c>
      <c r="W203" s="170">
        <v>0</v>
      </c>
      <c r="X203" s="170" t="s">
        <v>1406</v>
      </c>
      <c r="Y203" s="169"/>
      <c r="Z203" s="169" t="s">
        <v>32</v>
      </c>
      <c r="AA203" s="171">
        <v>46006</v>
      </c>
      <c r="AB203" s="169">
        <v>26</v>
      </c>
      <c r="AC203" s="169">
        <v>80080</v>
      </c>
      <c r="AD203" s="169">
        <v>57</v>
      </c>
      <c r="AE203" s="169" t="s">
        <v>1551</v>
      </c>
      <c r="AF203" s="169">
        <v>57</v>
      </c>
      <c r="AG203" s="169" t="s">
        <v>1552</v>
      </c>
      <c r="AH203" s="169" t="s">
        <v>36</v>
      </c>
      <c r="AI203" s="169" t="s">
        <v>51</v>
      </c>
      <c r="AJ203" s="169">
        <v>428</v>
      </c>
      <c r="AK203" s="169" t="s">
        <v>1473</v>
      </c>
      <c r="AL203" s="169">
        <v>28029</v>
      </c>
      <c r="AM203" s="169" t="s">
        <v>1421</v>
      </c>
      <c r="AN203" s="169" t="s">
        <v>1441</v>
      </c>
      <c r="AO203" s="169">
        <v>28</v>
      </c>
      <c r="AP203" s="169" t="s">
        <v>1416</v>
      </c>
      <c r="AQ203" s="169">
        <v>0</v>
      </c>
      <c r="AR203" s="169" t="s">
        <v>1410</v>
      </c>
      <c r="AS203" s="169"/>
      <c r="AT203" s="169" t="s">
        <v>1417</v>
      </c>
      <c r="AU203" s="169" t="s">
        <v>1412</v>
      </c>
    </row>
    <row r="204" spans="1:47" x14ac:dyDescent="0.45">
      <c r="A204" s="169">
        <v>2605750115</v>
      </c>
      <c r="B204" s="169">
        <v>57</v>
      </c>
      <c r="C204" s="169" t="s">
        <v>1551</v>
      </c>
      <c r="D204" s="169">
        <v>57</v>
      </c>
      <c r="E204" s="169" t="s">
        <v>1552</v>
      </c>
      <c r="F204" s="169" t="s">
        <v>4130</v>
      </c>
      <c r="G204" s="169" t="s">
        <v>4131</v>
      </c>
      <c r="H204" s="169">
        <v>1</v>
      </c>
      <c r="I204" s="169" t="s">
        <v>4132</v>
      </c>
      <c r="J204" s="169" t="s">
        <v>1485</v>
      </c>
      <c r="K204" s="169">
        <v>2026</v>
      </c>
      <c r="L204" s="170">
        <v>2026</v>
      </c>
      <c r="M204" s="171">
        <v>45957</v>
      </c>
      <c r="N204" s="169" t="s">
        <v>36</v>
      </c>
      <c r="O204" s="169">
        <v>58</v>
      </c>
      <c r="P204" s="169">
        <v>857</v>
      </c>
      <c r="Q204" s="169" t="s">
        <v>1481</v>
      </c>
      <c r="R204" s="169">
        <v>2</v>
      </c>
      <c r="S204" s="169">
        <v>2</v>
      </c>
      <c r="T204" s="169" t="s">
        <v>1464</v>
      </c>
      <c r="U204" s="169">
        <v>1</v>
      </c>
      <c r="V204" s="170">
        <v>0</v>
      </c>
      <c r="W204" s="170">
        <v>0</v>
      </c>
      <c r="X204" s="170" t="s">
        <v>1406</v>
      </c>
      <c r="Y204" s="171">
        <v>45966</v>
      </c>
      <c r="Z204" s="169" t="s">
        <v>32</v>
      </c>
      <c r="AA204" s="169"/>
      <c r="AB204" s="169">
        <v>0</v>
      </c>
      <c r="AC204" s="169">
        <v>0</v>
      </c>
      <c r="AD204" s="169">
        <v>0</v>
      </c>
      <c r="AE204" s="169" t="s">
        <v>1446</v>
      </c>
      <c r="AF204" s="169"/>
      <c r="AG204" s="169" t="s">
        <v>1446</v>
      </c>
      <c r="AH204" s="169"/>
      <c r="AI204" s="169"/>
      <c r="AJ204" s="169">
        <v>0</v>
      </c>
      <c r="AK204" s="169" t="s">
        <v>1473</v>
      </c>
      <c r="AL204" s="169">
        <v>31009</v>
      </c>
      <c r="AM204" s="169" t="s">
        <v>1418</v>
      </c>
      <c r="AN204" s="169" t="s">
        <v>4133</v>
      </c>
      <c r="AO204" s="169">
        <v>31</v>
      </c>
      <c r="AP204" s="169" t="s">
        <v>1487</v>
      </c>
      <c r="AQ204" s="169">
        <v>0</v>
      </c>
      <c r="AR204" s="169" t="s">
        <v>1410</v>
      </c>
      <c r="AS204" s="169"/>
      <c r="AT204" s="169" t="s">
        <v>1417</v>
      </c>
      <c r="AU204" s="169" t="s">
        <v>1412</v>
      </c>
    </row>
    <row r="205" spans="1:47" x14ac:dyDescent="0.45">
      <c r="A205" s="169">
        <v>2605750118</v>
      </c>
      <c r="B205" s="169">
        <v>57</v>
      </c>
      <c r="C205" s="169" t="s">
        <v>1551</v>
      </c>
      <c r="D205" s="169">
        <v>57</v>
      </c>
      <c r="E205" s="169" t="s">
        <v>1552</v>
      </c>
      <c r="F205" s="169" t="s">
        <v>4134</v>
      </c>
      <c r="G205" s="169" t="s">
        <v>4135</v>
      </c>
      <c r="H205" s="169">
        <v>1</v>
      </c>
      <c r="I205" s="169" t="s">
        <v>440</v>
      </c>
      <c r="J205" s="169" t="s">
        <v>1485</v>
      </c>
      <c r="K205" s="169">
        <v>2026</v>
      </c>
      <c r="L205" s="170">
        <v>2026</v>
      </c>
      <c r="M205" s="171">
        <v>45936</v>
      </c>
      <c r="N205" s="169" t="s">
        <v>36</v>
      </c>
      <c r="O205" s="169">
        <v>58</v>
      </c>
      <c r="P205" s="169">
        <v>428</v>
      </c>
      <c r="Q205" s="169" t="s">
        <v>1463</v>
      </c>
      <c r="R205" s="169">
        <v>2</v>
      </c>
      <c r="S205" s="169">
        <v>2</v>
      </c>
      <c r="T205" s="169" t="s">
        <v>1464</v>
      </c>
      <c r="U205" s="169">
        <v>1</v>
      </c>
      <c r="V205" s="170">
        <v>2680079</v>
      </c>
      <c r="W205" s="170">
        <v>0</v>
      </c>
      <c r="X205" s="170" t="s">
        <v>1406</v>
      </c>
      <c r="Y205" s="169"/>
      <c r="Z205" s="169" t="s">
        <v>32</v>
      </c>
      <c r="AA205" s="171">
        <v>46006</v>
      </c>
      <c r="AB205" s="169">
        <v>26</v>
      </c>
      <c r="AC205" s="169">
        <v>80079</v>
      </c>
      <c r="AD205" s="169">
        <v>57</v>
      </c>
      <c r="AE205" s="169" t="s">
        <v>1551</v>
      </c>
      <c r="AF205" s="169">
        <v>57</v>
      </c>
      <c r="AG205" s="169" t="s">
        <v>1552</v>
      </c>
      <c r="AH205" s="169" t="s">
        <v>36</v>
      </c>
      <c r="AI205" s="169">
        <v>58</v>
      </c>
      <c r="AJ205" s="169">
        <v>428</v>
      </c>
      <c r="AK205" s="169" t="s">
        <v>1473</v>
      </c>
      <c r="AL205" s="169">
        <v>31009</v>
      </c>
      <c r="AM205" s="169" t="s">
        <v>1418</v>
      </c>
      <c r="AN205" s="169" t="s">
        <v>4133</v>
      </c>
      <c r="AO205" s="169">
        <v>31</v>
      </c>
      <c r="AP205" s="169" t="s">
        <v>1487</v>
      </c>
      <c r="AQ205" s="169">
        <v>0</v>
      </c>
      <c r="AR205" s="169" t="s">
        <v>1410</v>
      </c>
      <c r="AS205" s="169"/>
      <c r="AT205" s="169" t="s">
        <v>1417</v>
      </c>
      <c r="AU205" s="169" t="s">
        <v>1412</v>
      </c>
    </row>
    <row r="206" spans="1:47" x14ac:dyDescent="0.45">
      <c r="A206" s="169">
        <v>2605750120</v>
      </c>
      <c r="B206" s="169">
        <v>57</v>
      </c>
      <c r="C206" s="169" t="s">
        <v>1551</v>
      </c>
      <c r="D206" s="169">
        <v>57</v>
      </c>
      <c r="E206" s="169" t="s">
        <v>1552</v>
      </c>
      <c r="F206" s="169" t="s">
        <v>4136</v>
      </c>
      <c r="G206" s="169" t="s">
        <v>4137</v>
      </c>
      <c r="H206" s="169">
        <v>1</v>
      </c>
      <c r="I206" s="169" t="s">
        <v>4138</v>
      </c>
      <c r="J206" s="169" t="s">
        <v>1485</v>
      </c>
      <c r="K206" s="169">
        <v>2026</v>
      </c>
      <c r="L206" s="170">
        <v>2026</v>
      </c>
      <c r="M206" s="171">
        <v>45934</v>
      </c>
      <c r="N206" s="169" t="s">
        <v>36</v>
      </c>
      <c r="O206" s="169" t="s">
        <v>135</v>
      </c>
      <c r="P206" s="169">
        <v>502</v>
      </c>
      <c r="Q206" s="169" t="s">
        <v>1500</v>
      </c>
      <c r="R206" s="169">
        <v>2</v>
      </c>
      <c r="S206" s="169">
        <v>5</v>
      </c>
      <c r="T206" s="169" t="s">
        <v>1470</v>
      </c>
      <c r="U206" s="169">
        <v>15</v>
      </c>
      <c r="V206" s="170">
        <v>0</v>
      </c>
      <c r="W206" s="170">
        <v>0</v>
      </c>
      <c r="X206" s="170" t="s">
        <v>1406</v>
      </c>
      <c r="Y206" s="169"/>
      <c r="Z206" s="169" t="s">
        <v>32</v>
      </c>
      <c r="AA206" s="169"/>
      <c r="AB206" s="169">
        <v>0</v>
      </c>
      <c r="AC206" s="169">
        <v>0</v>
      </c>
      <c r="AD206" s="169">
        <v>0</v>
      </c>
      <c r="AE206" s="169" t="s">
        <v>1446</v>
      </c>
      <c r="AF206" s="169"/>
      <c r="AG206" s="169" t="s">
        <v>1446</v>
      </c>
      <c r="AH206" s="169"/>
      <c r="AI206" s="169"/>
      <c r="AJ206" s="169">
        <v>0</v>
      </c>
      <c r="AK206" s="169" t="s">
        <v>1410</v>
      </c>
      <c r="AL206" s="169">
        <v>31001</v>
      </c>
      <c r="AM206" s="169" t="s">
        <v>1418</v>
      </c>
      <c r="AN206" s="169" t="s">
        <v>4139</v>
      </c>
      <c r="AO206" s="169">
        <v>31</v>
      </c>
      <c r="AP206" s="169" t="s">
        <v>1487</v>
      </c>
      <c r="AQ206" s="169">
        <v>0</v>
      </c>
      <c r="AR206" s="169" t="s">
        <v>1410</v>
      </c>
      <c r="AS206" s="169"/>
      <c r="AT206" s="169" t="s">
        <v>1417</v>
      </c>
      <c r="AU206" s="169" t="s">
        <v>1412</v>
      </c>
    </row>
    <row r="207" spans="1:47" x14ac:dyDescent="0.45">
      <c r="A207" s="169">
        <v>2605750121</v>
      </c>
      <c r="B207" s="169">
        <v>57</v>
      </c>
      <c r="C207" s="169" t="s">
        <v>1551</v>
      </c>
      <c r="D207" s="169">
        <v>57</v>
      </c>
      <c r="E207" s="169" t="s">
        <v>1552</v>
      </c>
      <c r="F207" s="169" t="s">
        <v>4140</v>
      </c>
      <c r="G207" s="169" t="s">
        <v>4141</v>
      </c>
      <c r="H207" s="169">
        <v>1</v>
      </c>
      <c r="I207" s="169" t="s">
        <v>1170</v>
      </c>
      <c r="J207" s="169" t="s">
        <v>1403</v>
      </c>
      <c r="K207" s="169">
        <v>2026</v>
      </c>
      <c r="L207" s="170">
        <v>2026</v>
      </c>
      <c r="M207" s="171">
        <v>45921</v>
      </c>
      <c r="N207" s="169" t="s">
        <v>36</v>
      </c>
      <c r="O207" s="169">
        <v>57</v>
      </c>
      <c r="P207" s="169">
        <v>1044</v>
      </c>
      <c r="Q207" s="169" t="s">
        <v>1476</v>
      </c>
      <c r="R207" s="169">
        <v>2</v>
      </c>
      <c r="S207" s="169">
        <v>3</v>
      </c>
      <c r="T207" s="169" t="s">
        <v>1477</v>
      </c>
      <c r="U207" s="169">
        <v>4</v>
      </c>
      <c r="V207" s="170">
        <v>2680012</v>
      </c>
      <c r="W207" s="170">
        <v>0</v>
      </c>
      <c r="X207" s="170" t="s">
        <v>1406</v>
      </c>
      <c r="Y207" s="169"/>
      <c r="Z207" s="169" t="s">
        <v>32</v>
      </c>
      <c r="AA207" s="171">
        <v>45944</v>
      </c>
      <c r="AB207" s="169">
        <v>26</v>
      </c>
      <c r="AC207" s="169">
        <v>80012</v>
      </c>
      <c r="AD207" s="169">
        <v>57</v>
      </c>
      <c r="AE207" s="169" t="s">
        <v>1551</v>
      </c>
      <c r="AF207" s="169">
        <v>57</v>
      </c>
      <c r="AG207" s="169" t="s">
        <v>1552</v>
      </c>
      <c r="AH207" s="169" t="s">
        <v>36</v>
      </c>
      <c r="AI207" s="169">
        <v>57</v>
      </c>
      <c r="AJ207" s="169">
        <v>1044</v>
      </c>
      <c r="AK207" s="169" t="s">
        <v>1407</v>
      </c>
      <c r="AL207" s="169">
        <v>28042</v>
      </c>
      <c r="AM207" s="169" t="s">
        <v>1421</v>
      </c>
      <c r="AN207" s="169" t="s">
        <v>2823</v>
      </c>
      <c r="AO207" s="169">
        <v>28</v>
      </c>
      <c r="AP207" s="169" t="s">
        <v>1416</v>
      </c>
      <c r="AQ207" s="169">
        <v>0</v>
      </c>
      <c r="AR207" s="169" t="s">
        <v>1410</v>
      </c>
      <c r="AS207" s="169"/>
      <c r="AT207" s="169" t="s">
        <v>1417</v>
      </c>
      <c r="AU207" s="169" t="s">
        <v>1412</v>
      </c>
    </row>
    <row r="208" spans="1:47" x14ac:dyDescent="0.45">
      <c r="A208" s="169">
        <v>2605750125</v>
      </c>
      <c r="B208" s="169">
        <v>57</v>
      </c>
      <c r="C208" s="169" t="s">
        <v>1551</v>
      </c>
      <c r="D208" s="169">
        <v>57</v>
      </c>
      <c r="E208" s="169" t="s">
        <v>1552</v>
      </c>
      <c r="F208" s="169" t="s">
        <v>4142</v>
      </c>
      <c r="G208" s="169" t="s">
        <v>4143</v>
      </c>
      <c r="H208" s="169">
        <v>1</v>
      </c>
      <c r="I208" s="169" t="s">
        <v>4144</v>
      </c>
      <c r="J208" s="169" t="s">
        <v>1403</v>
      </c>
      <c r="K208" s="169">
        <v>2026</v>
      </c>
      <c r="L208" s="170">
        <v>2026</v>
      </c>
      <c r="M208" s="171">
        <v>46027</v>
      </c>
      <c r="N208" s="169" t="s">
        <v>36</v>
      </c>
      <c r="O208" s="169" t="s">
        <v>51</v>
      </c>
      <c r="P208" s="169">
        <v>857</v>
      </c>
      <c r="Q208" s="169" t="s">
        <v>1481</v>
      </c>
      <c r="R208" s="169">
        <v>1</v>
      </c>
      <c r="S208" s="169">
        <v>2</v>
      </c>
      <c r="T208" s="169" t="s">
        <v>1464</v>
      </c>
      <c r="U208" s="169">
        <v>1</v>
      </c>
      <c r="V208" s="170">
        <v>2680129</v>
      </c>
      <c r="W208" s="170">
        <v>0</v>
      </c>
      <c r="X208" s="170" t="s">
        <v>1406</v>
      </c>
      <c r="Y208" s="169"/>
      <c r="Z208" s="169" t="s">
        <v>1473</v>
      </c>
      <c r="AA208" s="171">
        <v>46041</v>
      </c>
      <c r="AB208" s="169">
        <v>26</v>
      </c>
      <c r="AC208" s="169">
        <v>80129</v>
      </c>
      <c r="AD208" s="169">
        <v>57</v>
      </c>
      <c r="AE208" s="169" t="s">
        <v>1551</v>
      </c>
      <c r="AF208" s="169">
        <v>57</v>
      </c>
      <c r="AG208" s="169" t="s">
        <v>1552</v>
      </c>
      <c r="AH208" s="169" t="s">
        <v>36</v>
      </c>
      <c r="AI208" s="169" t="s">
        <v>51</v>
      </c>
      <c r="AJ208" s="169">
        <v>857</v>
      </c>
      <c r="AK208" s="169" t="s">
        <v>1407</v>
      </c>
      <c r="AL208" s="169">
        <v>28002</v>
      </c>
      <c r="AM208" s="169" t="s">
        <v>1418</v>
      </c>
      <c r="AN208" s="169" t="s">
        <v>1628</v>
      </c>
      <c r="AO208" s="169">
        <v>28</v>
      </c>
      <c r="AP208" s="169" t="s">
        <v>1416</v>
      </c>
      <c r="AQ208" s="169">
        <v>0</v>
      </c>
      <c r="AR208" s="169" t="s">
        <v>1410</v>
      </c>
      <c r="AS208" s="169"/>
      <c r="AT208" s="169" t="s">
        <v>1417</v>
      </c>
      <c r="AU208" s="169" t="s">
        <v>1412</v>
      </c>
    </row>
    <row r="209" spans="1:47" x14ac:dyDescent="0.45">
      <c r="A209" s="169">
        <v>2605750126</v>
      </c>
      <c r="B209" s="169">
        <v>57</v>
      </c>
      <c r="C209" s="169" t="s">
        <v>1551</v>
      </c>
      <c r="D209" s="169">
        <v>57</v>
      </c>
      <c r="E209" s="169" t="s">
        <v>1552</v>
      </c>
      <c r="F209" s="169" t="s">
        <v>4145</v>
      </c>
      <c r="G209" s="169" t="s">
        <v>4146</v>
      </c>
      <c r="H209" s="169">
        <v>1</v>
      </c>
      <c r="I209" s="169" t="s">
        <v>1730</v>
      </c>
      <c r="J209" s="169" t="s">
        <v>1403</v>
      </c>
      <c r="K209" s="169">
        <v>2026</v>
      </c>
      <c r="L209" s="170">
        <v>2026</v>
      </c>
      <c r="M209" s="171">
        <v>45958</v>
      </c>
      <c r="N209" s="169" t="s">
        <v>36</v>
      </c>
      <c r="O209" s="169">
        <v>58</v>
      </c>
      <c r="P209" s="169">
        <v>427</v>
      </c>
      <c r="Q209" s="169" t="s">
        <v>1479</v>
      </c>
      <c r="R209" s="169">
        <v>2</v>
      </c>
      <c r="S209" s="169">
        <v>2</v>
      </c>
      <c r="T209" s="169" t="s">
        <v>1464</v>
      </c>
      <c r="U209" s="169">
        <v>1</v>
      </c>
      <c r="V209" s="170">
        <v>0</v>
      </c>
      <c r="W209" s="170">
        <v>0</v>
      </c>
      <c r="X209" s="170" t="s">
        <v>1406</v>
      </c>
      <c r="Y209" s="171">
        <v>46045</v>
      </c>
      <c r="Z209" s="169" t="s">
        <v>32</v>
      </c>
      <c r="AA209" s="169"/>
      <c r="AB209" s="169">
        <v>0</v>
      </c>
      <c r="AC209" s="169">
        <v>0</v>
      </c>
      <c r="AD209" s="169">
        <v>0</v>
      </c>
      <c r="AE209" s="169" t="s">
        <v>1446</v>
      </c>
      <c r="AF209" s="169"/>
      <c r="AG209" s="169" t="s">
        <v>1446</v>
      </c>
      <c r="AH209" s="169"/>
      <c r="AI209" s="169"/>
      <c r="AJ209" s="169">
        <v>0</v>
      </c>
      <c r="AK209" s="169" t="s">
        <v>1473</v>
      </c>
      <c r="AL209" s="169">
        <v>28002</v>
      </c>
      <c r="AM209" s="169" t="s">
        <v>1418</v>
      </c>
      <c r="AN209" s="169" t="s">
        <v>1628</v>
      </c>
      <c r="AO209" s="169">
        <v>28</v>
      </c>
      <c r="AP209" s="169" t="s">
        <v>1416</v>
      </c>
      <c r="AQ209" s="169">
        <v>0</v>
      </c>
      <c r="AR209" s="169" t="s">
        <v>1410</v>
      </c>
      <c r="AS209" s="169"/>
      <c r="AT209" s="169" t="s">
        <v>1417</v>
      </c>
      <c r="AU209" s="169" t="s">
        <v>1412</v>
      </c>
    </row>
    <row r="210" spans="1:47" x14ac:dyDescent="0.45">
      <c r="A210" s="169">
        <v>2605750128</v>
      </c>
      <c r="B210" s="169">
        <v>57</v>
      </c>
      <c r="C210" s="169" t="s">
        <v>1551</v>
      </c>
      <c r="D210" s="169">
        <v>57</v>
      </c>
      <c r="E210" s="169" t="s">
        <v>1552</v>
      </c>
      <c r="F210" s="169" t="s">
        <v>4147</v>
      </c>
      <c r="G210" s="169" t="s">
        <v>4148</v>
      </c>
      <c r="H210" s="169">
        <v>1</v>
      </c>
      <c r="I210" s="169" t="s">
        <v>341</v>
      </c>
      <c r="J210" s="169" t="s">
        <v>1403</v>
      </c>
      <c r="K210" s="169">
        <v>2026</v>
      </c>
      <c r="L210" s="170">
        <v>2026</v>
      </c>
      <c r="M210" s="171">
        <v>45948</v>
      </c>
      <c r="N210" s="169" t="s">
        <v>36</v>
      </c>
      <c r="O210" s="169">
        <v>58</v>
      </c>
      <c r="P210" s="169">
        <v>428</v>
      </c>
      <c r="Q210" s="169" t="s">
        <v>1463</v>
      </c>
      <c r="R210" s="169">
        <v>2</v>
      </c>
      <c r="S210" s="169">
        <v>2</v>
      </c>
      <c r="T210" s="169" t="s">
        <v>1464</v>
      </c>
      <c r="U210" s="169">
        <v>1</v>
      </c>
      <c r="V210" s="170">
        <v>0</v>
      </c>
      <c r="W210" s="170">
        <v>0</v>
      </c>
      <c r="X210" s="170" t="s">
        <v>1406</v>
      </c>
      <c r="Y210" s="169"/>
      <c r="Z210" s="169" t="s">
        <v>32</v>
      </c>
      <c r="AA210" s="169"/>
      <c r="AB210" s="169">
        <v>0</v>
      </c>
      <c r="AC210" s="169">
        <v>0</v>
      </c>
      <c r="AD210" s="169">
        <v>0</v>
      </c>
      <c r="AE210" s="169" t="s">
        <v>1446</v>
      </c>
      <c r="AF210" s="169"/>
      <c r="AG210" s="169" t="s">
        <v>1446</v>
      </c>
      <c r="AH210" s="169"/>
      <c r="AI210" s="169"/>
      <c r="AJ210" s="169">
        <v>0</v>
      </c>
      <c r="AK210" s="169" t="s">
        <v>1473</v>
      </c>
      <c r="AL210" s="169">
        <v>28121</v>
      </c>
      <c r="AM210" s="169" t="s">
        <v>1418</v>
      </c>
      <c r="AN210" s="169" t="s">
        <v>1556</v>
      </c>
      <c r="AO210" s="169">
        <v>28</v>
      </c>
      <c r="AP210" s="169" t="s">
        <v>1416</v>
      </c>
      <c r="AQ210" s="169">
        <v>0</v>
      </c>
      <c r="AR210" s="169" t="s">
        <v>1410</v>
      </c>
      <c r="AS210" s="169"/>
      <c r="AT210" s="169" t="s">
        <v>1417</v>
      </c>
      <c r="AU210" s="169" t="s">
        <v>1412</v>
      </c>
    </row>
    <row r="211" spans="1:47" x14ac:dyDescent="0.45">
      <c r="A211" s="169">
        <v>2605750129</v>
      </c>
      <c r="B211" s="169">
        <v>57</v>
      </c>
      <c r="C211" s="169" t="s">
        <v>1551</v>
      </c>
      <c r="D211" s="169">
        <v>57</v>
      </c>
      <c r="E211" s="169" t="s">
        <v>1552</v>
      </c>
      <c r="F211" s="169" t="s">
        <v>4149</v>
      </c>
      <c r="G211" s="169" t="s">
        <v>4150</v>
      </c>
      <c r="H211" s="169">
        <v>2</v>
      </c>
      <c r="I211" s="169" t="s">
        <v>1198</v>
      </c>
      <c r="J211" s="169" t="s">
        <v>1403</v>
      </c>
      <c r="K211" s="169">
        <v>2026</v>
      </c>
      <c r="L211" s="170">
        <v>2026</v>
      </c>
      <c r="M211" s="171">
        <v>45942</v>
      </c>
      <c r="N211" s="169" t="s">
        <v>36</v>
      </c>
      <c r="O211" s="169">
        <v>57</v>
      </c>
      <c r="P211" s="169">
        <v>1044</v>
      </c>
      <c r="Q211" s="169" t="s">
        <v>1476</v>
      </c>
      <c r="R211" s="169">
        <v>2</v>
      </c>
      <c r="S211" s="169">
        <v>3</v>
      </c>
      <c r="T211" s="169" t="s">
        <v>1477</v>
      </c>
      <c r="U211" s="169">
        <v>4</v>
      </c>
      <c r="V211" s="170">
        <v>2680082</v>
      </c>
      <c r="W211" s="170">
        <v>0</v>
      </c>
      <c r="X211" s="170" t="s">
        <v>1406</v>
      </c>
      <c r="Y211" s="169"/>
      <c r="Z211" s="169" t="s">
        <v>32</v>
      </c>
      <c r="AA211" s="171">
        <v>46006</v>
      </c>
      <c r="AB211" s="169">
        <v>26</v>
      </c>
      <c r="AC211" s="169">
        <v>80082</v>
      </c>
      <c r="AD211" s="169">
        <v>57</v>
      </c>
      <c r="AE211" s="169" t="s">
        <v>1551</v>
      </c>
      <c r="AF211" s="169">
        <v>57</v>
      </c>
      <c r="AG211" s="169" t="s">
        <v>1552</v>
      </c>
      <c r="AH211" s="169" t="s">
        <v>36</v>
      </c>
      <c r="AI211" s="169">
        <v>57</v>
      </c>
      <c r="AJ211" s="169">
        <v>1044</v>
      </c>
      <c r="AK211" s="169" t="s">
        <v>1407</v>
      </c>
      <c r="AL211" s="169">
        <v>28017</v>
      </c>
      <c r="AM211" s="169" t="s">
        <v>1421</v>
      </c>
      <c r="AN211" s="169" t="s">
        <v>1536</v>
      </c>
      <c r="AO211" s="169">
        <v>28</v>
      </c>
      <c r="AP211" s="169" t="s">
        <v>1416</v>
      </c>
      <c r="AQ211" s="169">
        <v>0</v>
      </c>
      <c r="AR211" s="169" t="s">
        <v>1410</v>
      </c>
      <c r="AS211" s="169"/>
      <c r="AT211" s="169" t="s">
        <v>1417</v>
      </c>
      <c r="AU211" s="169" t="s">
        <v>1412</v>
      </c>
    </row>
    <row r="212" spans="1:47" x14ac:dyDescent="0.45">
      <c r="A212" s="169">
        <v>2605750130</v>
      </c>
      <c r="B212" s="169">
        <v>57</v>
      </c>
      <c r="C212" s="169" t="s">
        <v>1551</v>
      </c>
      <c r="D212" s="169">
        <v>57</v>
      </c>
      <c r="E212" s="169" t="s">
        <v>1552</v>
      </c>
      <c r="F212" s="169" t="s">
        <v>4151</v>
      </c>
      <c r="G212" s="169" t="s">
        <v>4152</v>
      </c>
      <c r="H212" s="169">
        <v>1</v>
      </c>
      <c r="I212" s="169" t="s">
        <v>2626</v>
      </c>
      <c r="J212" s="169" t="s">
        <v>1403</v>
      </c>
      <c r="K212" s="169">
        <v>2026</v>
      </c>
      <c r="L212" s="170">
        <v>2026</v>
      </c>
      <c r="M212" s="171">
        <v>45958</v>
      </c>
      <c r="N212" s="169" t="s">
        <v>36</v>
      </c>
      <c r="O212" s="169">
        <v>58</v>
      </c>
      <c r="P212" s="169">
        <v>427</v>
      </c>
      <c r="Q212" s="169" t="s">
        <v>1479</v>
      </c>
      <c r="R212" s="169">
        <v>2</v>
      </c>
      <c r="S212" s="169">
        <v>2</v>
      </c>
      <c r="T212" s="169" t="s">
        <v>1464</v>
      </c>
      <c r="U212" s="169">
        <v>1</v>
      </c>
      <c r="V212" s="170">
        <v>2680137</v>
      </c>
      <c r="W212" s="170">
        <v>0</v>
      </c>
      <c r="X212" s="170" t="s">
        <v>1406</v>
      </c>
      <c r="Y212" s="169"/>
      <c r="Z212" s="169" t="s">
        <v>32</v>
      </c>
      <c r="AA212" s="171">
        <v>46058</v>
      </c>
      <c r="AB212" s="169">
        <v>26</v>
      </c>
      <c r="AC212" s="169">
        <v>80137</v>
      </c>
      <c r="AD212" s="169">
        <v>57</v>
      </c>
      <c r="AE212" s="169" t="s">
        <v>1551</v>
      </c>
      <c r="AF212" s="169">
        <v>57</v>
      </c>
      <c r="AG212" s="169" t="s">
        <v>1552</v>
      </c>
      <c r="AH212" s="169" t="s">
        <v>36</v>
      </c>
      <c r="AI212" s="169">
        <v>58</v>
      </c>
      <c r="AJ212" s="169">
        <v>427</v>
      </c>
      <c r="AK212" s="169" t="s">
        <v>1407</v>
      </c>
      <c r="AL212" s="169">
        <v>28103</v>
      </c>
      <c r="AM212" s="169" t="s">
        <v>1418</v>
      </c>
      <c r="AN212" s="169" t="s">
        <v>1505</v>
      </c>
      <c r="AO212" s="169">
        <v>28</v>
      </c>
      <c r="AP212" s="169" t="s">
        <v>1416</v>
      </c>
      <c r="AQ212" s="169">
        <v>0</v>
      </c>
      <c r="AR212" s="169" t="s">
        <v>1410</v>
      </c>
      <c r="AS212" s="169"/>
      <c r="AT212" s="169" t="s">
        <v>1417</v>
      </c>
      <c r="AU212" s="169" t="s">
        <v>1412</v>
      </c>
    </row>
    <row r="213" spans="1:47" x14ac:dyDescent="0.45">
      <c r="A213" s="169">
        <v>2605750131</v>
      </c>
      <c r="B213" s="169">
        <v>57</v>
      </c>
      <c r="C213" s="169" t="s">
        <v>1551</v>
      </c>
      <c r="D213" s="169">
        <v>57</v>
      </c>
      <c r="E213" s="169" t="s">
        <v>1552</v>
      </c>
      <c r="F213" s="169" t="s">
        <v>4153</v>
      </c>
      <c r="G213" s="169" t="s">
        <v>4154</v>
      </c>
      <c r="H213" s="169">
        <v>1</v>
      </c>
      <c r="I213" s="169" t="s">
        <v>4155</v>
      </c>
      <c r="J213" s="169" t="s">
        <v>1403</v>
      </c>
      <c r="K213" s="169">
        <v>2026</v>
      </c>
      <c r="L213" s="170">
        <v>2026</v>
      </c>
      <c r="M213" s="171">
        <v>45957</v>
      </c>
      <c r="N213" s="169" t="s">
        <v>36</v>
      </c>
      <c r="O213" s="169">
        <v>58</v>
      </c>
      <c r="P213" s="169">
        <v>428</v>
      </c>
      <c r="Q213" s="169" t="s">
        <v>1463</v>
      </c>
      <c r="R213" s="169">
        <v>2</v>
      </c>
      <c r="S213" s="169">
        <v>2</v>
      </c>
      <c r="T213" s="169" t="s">
        <v>1464</v>
      </c>
      <c r="U213" s="169">
        <v>1</v>
      </c>
      <c r="V213" s="170">
        <v>2680090</v>
      </c>
      <c r="W213" s="170">
        <v>0</v>
      </c>
      <c r="X213" s="170" t="s">
        <v>1406</v>
      </c>
      <c r="Y213" s="169"/>
      <c r="Z213" s="169" t="s">
        <v>32</v>
      </c>
      <c r="AA213" s="171">
        <v>46010</v>
      </c>
      <c r="AB213" s="169">
        <v>26</v>
      </c>
      <c r="AC213" s="169">
        <v>80090</v>
      </c>
      <c r="AD213" s="169">
        <v>57</v>
      </c>
      <c r="AE213" s="169" t="s">
        <v>1551</v>
      </c>
      <c r="AF213" s="169">
        <v>57</v>
      </c>
      <c r="AG213" s="169" t="s">
        <v>1552</v>
      </c>
      <c r="AH213" s="169" t="s">
        <v>36</v>
      </c>
      <c r="AI213" s="169">
        <v>58</v>
      </c>
      <c r="AJ213" s="169">
        <v>428</v>
      </c>
      <c r="AK213" s="169" t="s">
        <v>1407</v>
      </c>
      <c r="AL213" s="169">
        <v>28012</v>
      </c>
      <c r="AM213" s="169" t="s">
        <v>1421</v>
      </c>
      <c r="AN213" s="169" t="s">
        <v>1600</v>
      </c>
      <c r="AO213" s="169">
        <v>28</v>
      </c>
      <c r="AP213" s="169" t="s">
        <v>1416</v>
      </c>
      <c r="AQ213" s="169">
        <v>0</v>
      </c>
      <c r="AR213" s="169" t="s">
        <v>1410</v>
      </c>
      <c r="AS213" s="169"/>
      <c r="AT213" s="169" t="s">
        <v>1417</v>
      </c>
      <c r="AU213" s="169" t="s">
        <v>1412</v>
      </c>
    </row>
    <row r="214" spans="1:47" x14ac:dyDescent="0.45">
      <c r="A214" s="169">
        <v>2605750132</v>
      </c>
      <c r="B214" s="169">
        <v>57</v>
      </c>
      <c r="C214" s="169" t="s">
        <v>1551</v>
      </c>
      <c r="D214" s="169">
        <v>57</v>
      </c>
      <c r="E214" s="169" t="s">
        <v>1552</v>
      </c>
      <c r="F214" s="169" t="s">
        <v>4156</v>
      </c>
      <c r="G214" s="169" t="s">
        <v>4157</v>
      </c>
      <c r="H214" s="169">
        <v>1</v>
      </c>
      <c r="I214" s="169" t="s">
        <v>1277</v>
      </c>
      <c r="J214" s="169" t="s">
        <v>1403</v>
      </c>
      <c r="K214" s="169">
        <v>2026</v>
      </c>
      <c r="L214" s="170">
        <v>2026</v>
      </c>
      <c r="M214" s="171">
        <v>45960</v>
      </c>
      <c r="N214" s="169" t="s">
        <v>36</v>
      </c>
      <c r="O214" s="169">
        <v>58</v>
      </c>
      <c r="P214" s="169">
        <v>852</v>
      </c>
      <c r="Q214" s="169" t="s">
        <v>1472</v>
      </c>
      <c r="R214" s="169">
        <v>2</v>
      </c>
      <c r="S214" s="169">
        <v>2</v>
      </c>
      <c r="T214" s="169" t="s">
        <v>1464</v>
      </c>
      <c r="U214" s="169">
        <v>1</v>
      </c>
      <c r="V214" s="170">
        <v>0</v>
      </c>
      <c r="W214" s="170">
        <v>0</v>
      </c>
      <c r="X214" s="170" t="s">
        <v>1406</v>
      </c>
      <c r="Y214" s="171">
        <v>46019</v>
      </c>
      <c r="Z214" s="169" t="s">
        <v>32</v>
      </c>
      <c r="AA214" s="169"/>
      <c r="AB214" s="169">
        <v>0</v>
      </c>
      <c r="AC214" s="169">
        <v>0</v>
      </c>
      <c r="AD214" s="169">
        <v>0</v>
      </c>
      <c r="AE214" s="169" t="s">
        <v>1446</v>
      </c>
      <c r="AF214" s="169"/>
      <c r="AG214" s="169" t="s">
        <v>1446</v>
      </c>
      <c r="AH214" s="169"/>
      <c r="AI214" s="169"/>
      <c r="AJ214" s="169">
        <v>0</v>
      </c>
      <c r="AK214" s="169" t="s">
        <v>1473</v>
      </c>
      <c r="AL214" s="169">
        <v>28185</v>
      </c>
      <c r="AM214" s="169" t="s">
        <v>1418</v>
      </c>
      <c r="AN214" s="169" t="s">
        <v>1438</v>
      </c>
      <c r="AO214" s="169">
        <v>28</v>
      </c>
      <c r="AP214" s="169" t="s">
        <v>1416</v>
      </c>
      <c r="AQ214" s="169">
        <v>0</v>
      </c>
      <c r="AR214" s="169" t="s">
        <v>1410</v>
      </c>
      <c r="AS214" s="169"/>
      <c r="AT214" s="169" t="s">
        <v>1417</v>
      </c>
      <c r="AU214" s="169" t="s">
        <v>1412</v>
      </c>
    </row>
    <row r="215" spans="1:47" x14ac:dyDescent="0.45">
      <c r="A215" s="169">
        <v>2605750133</v>
      </c>
      <c r="B215" s="169">
        <v>57</v>
      </c>
      <c r="C215" s="169" t="s">
        <v>1551</v>
      </c>
      <c r="D215" s="169">
        <v>57</v>
      </c>
      <c r="E215" s="169" t="s">
        <v>1552</v>
      </c>
      <c r="F215" s="169" t="s">
        <v>4158</v>
      </c>
      <c r="G215" s="169" t="s">
        <v>4159</v>
      </c>
      <c r="H215" s="169">
        <v>2</v>
      </c>
      <c r="I215" s="169" t="s">
        <v>4160</v>
      </c>
      <c r="J215" s="169" t="s">
        <v>1403</v>
      </c>
      <c r="K215" s="169">
        <v>2026</v>
      </c>
      <c r="L215" s="170">
        <v>2026</v>
      </c>
      <c r="M215" s="171">
        <v>45901</v>
      </c>
      <c r="N215" s="169" t="s">
        <v>36</v>
      </c>
      <c r="O215" s="169">
        <v>6</v>
      </c>
      <c r="P215" s="169">
        <v>488</v>
      </c>
      <c r="Q215" s="169" t="s">
        <v>1553</v>
      </c>
      <c r="R215" s="169">
        <v>2</v>
      </c>
      <c r="S215" s="169">
        <v>1</v>
      </c>
      <c r="T215" s="169" t="s">
        <v>1527</v>
      </c>
      <c r="U215" s="169">
        <v>3</v>
      </c>
      <c r="V215" s="170">
        <v>0</v>
      </c>
      <c r="W215" s="170">
        <v>0</v>
      </c>
      <c r="X215" s="170" t="s">
        <v>1406</v>
      </c>
      <c r="Y215" s="169"/>
      <c r="Z215" s="169" t="s">
        <v>32</v>
      </c>
      <c r="AA215" s="169"/>
      <c r="AB215" s="169">
        <v>0</v>
      </c>
      <c r="AC215" s="169">
        <v>0</v>
      </c>
      <c r="AD215" s="169">
        <v>0</v>
      </c>
      <c r="AE215" s="169" t="s">
        <v>1446</v>
      </c>
      <c r="AF215" s="169"/>
      <c r="AG215" s="169" t="s">
        <v>1446</v>
      </c>
      <c r="AH215" s="169"/>
      <c r="AI215" s="169"/>
      <c r="AJ215" s="169">
        <v>0</v>
      </c>
      <c r="AK215" s="169" t="s">
        <v>1410</v>
      </c>
      <c r="AL215" s="169">
        <v>28032</v>
      </c>
      <c r="AM215" s="169" t="s">
        <v>1421</v>
      </c>
      <c r="AN215" s="169" t="s">
        <v>1545</v>
      </c>
      <c r="AO215" s="169">
        <v>28</v>
      </c>
      <c r="AP215" s="169" t="s">
        <v>1416</v>
      </c>
      <c r="AQ215" s="169">
        <v>0</v>
      </c>
      <c r="AR215" s="169" t="s">
        <v>1410</v>
      </c>
      <c r="AS215" s="169"/>
      <c r="AT215" s="169" t="s">
        <v>1417</v>
      </c>
      <c r="AU215" s="169" t="s">
        <v>1412</v>
      </c>
    </row>
    <row r="216" spans="1:47" x14ac:dyDescent="0.45">
      <c r="A216" s="169">
        <v>2605750135</v>
      </c>
      <c r="B216" s="169">
        <v>57</v>
      </c>
      <c r="C216" s="169" t="s">
        <v>1551</v>
      </c>
      <c r="D216" s="169">
        <v>57</v>
      </c>
      <c r="E216" s="169" t="s">
        <v>1552</v>
      </c>
      <c r="F216" s="169" t="s">
        <v>4161</v>
      </c>
      <c r="G216" s="169" t="s">
        <v>4162</v>
      </c>
      <c r="H216" s="169">
        <v>1</v>
      </c>
      <c r="I216" s="169" t="s">
        <v>281</v>
      </c>
      <c r="J216" s="169" t="s">
        <v>1403</v>
      </c>
      <c r="K216" s="169">
        <v>2026</v>
      </c>
      <c r="L216" s="170">
        <v>2026</v>
      </c>
      <c r="M216" s="171">
        <v>45938</v>
      </c>
      <c r="N216" s="169" t="s">
        <v>36</v>
      </c>
      <c r="O216" s="169" t="s">
        <v>51</v>
      </c>
      <c r="P216" s="169">
        <v>427</v>
      </c>
      <c r="Q216" s="169" t="s">
        <v>1479</v>
      </c>
      <c r="R216" s="169">
        <v>1</v>
      </c>
      <c r="S216" s="169">
        <v>2</v>
      </c>
      <c r="T216" s="169" t="s">
        <v>1464</v>
      </c>
      <c r="U216" s="169">
        <v>1</v>
      </c>
      <c r="V216" s="170">
        <v>0</v>
      </c>
      <c r="W216" s="170">
        <v>0</v>
      </c>
      <c r="X216" s="170" t="s">
        <v>1406</v>
      </c>
      <c r="Y216" s="171">
        <v>46003</v>
      </c>
      <c r="Z216" s="169" t="s">
        <v>32</v>
      </c>
      <c r="AA216" s="169"/>
      <c r="AB216" s="169">
        <v>0</v>
      </c>
      <c r="AC216" s="169">
        <v>0</v>
      </c>
      <c r="AD216" s="169">
        <v>0</v>
      </c>
      <c r="AE216" s="169" t="s">
        <v>1446</v>
      </c>
      <c r="AF216" s="169"/>
      <c r="AG216" s="169" t="s">
        <v>1446</v>
      </c>
      <c r="AH216" s="169"/>
      <c r="AI216" s="169"/>
      <c r="AJ216" s="169">
        <v>0</v>
      </c>
      <c r="AK216" s="169" t="s">
        <v>1473</v>
      </c>
      <c r="AL216" s="169">
        <v>28122</v>
      </c>
      <c r="AM216" s="169" t="s">
        <v>1418</v>
      </c>
      <c r="AN216" s="169" t="s">
        <v>1428</v>
      </c>
      <c r="AO216" s="169">
        <v>28</v>
      </c>
      <c r="AP216" s="169" t="s">
        <v>1416</v>
      </c>
      <c r="AQ216" s="169">
        <v>0</v>
      </c>
      <c r="AR216" s="169" t="s">
        <v>1410</v>
      </c>
      <c r="AS216" s="169"/>
      <c r="AT216" s="169" t="s">
        <v>1417</v>
      </c>
      <c r="AU216" s="169" t="s">
        <v>1412</v>
      </c>
    </row>
    <row r="217" spans="1:47" x14ac:dyDescent="0.45">
      <c r="A217" s="169">
        <v>2605750136</v>
      </c>
      <c r="B217" s="169">
        <v>57</v>
      </c>
      <c r="C217" s="169" t="s">
        <v>1551</v>
      </c>
      <c r="D217" s="169">
        <v>57</v>
      </c>
      <c r="E217" s="169" t="s">
        <v>1552</v>
      </c>
      <c r="F217" s="169" t="s">
        <v>4163</v>
      </c>
      <c r="G217" s="169" t="s">
        <v>4164</v>
      </c>
      <c r="H217" s="169">
        <v>1</v>
      </c>
      <c r="I217" s="169" t="s">
        <v>4165</v>
      </c>
      <c r="J217" s="169" t="s">
        <v>1403</v>
      </c>
      <c r="K217" s="169">
        <v>2026</v>
      </c>
      <c r="L217" s="170">
        <v>2026</v>
      </c>
      <c r="M217" s="171">
        <v>45961</v>
      </c>
      <c r="N217" s="169" t="s">
        <v>36</v>
      </c>
      <c r="O217" s="169">
        <v>58</v>
      </c>
      <c r="P217" s="169">
        <v>428</v>
      </c>
      <c r="Q217" s="169" t="s">
        <v>1463</v>
      </c>
      <c r="R217" s="169">
        <v>2</v>
      </c>
      <c r="S217" s="169">
        <v>2</v>
      </c>
      <c r="T217" s="169" t="s">
        <v>1464</v>
      </c>
      <c r="U217" s="169">
        <v>1</v>
      </c>
      <c r="V217" s="170">
        <v>0</v>
      </c>
      <c r="W217" s="170">
        <v>0</v>
      </c>
      <c r="X217" s="170" t="s">
        <v>1406</v>
      </c>
      <c r="Y217" s="169"/>
      <c r="Z217" s="169" t="s">
        <v>32</v>
      </c>
      <c r="AA217" s="169"/>
      <c r="AB217" s="169">
        <v>0</v>
      </c>
      <c r="AC217" s="169">
        <v>0</v>
      </c>
      <c r="AD217" s="169">
        <v>0</v>
      </c>
      <c r="AE217" s="169" t="s">
        <v>1446</v>
      </c>
      <c r="AF217" s="169"/>
      <c r="AG217" s="169" t="s">
        <v>1446</v>
      </c>
      <c r="AH217" s="169"/>
      <c r="AI217" s="169"/>
      <c r="AJ217" s="169">
        <v>0</v>
      </c>
      <c r="AK217" s="169" t="s">
        <v>1473</v>
      </c>
      <c r="AL217" s="169">
        <v>28147</v>
      </c>
      <c r="AM217" s="169" t="s">
        <v>1418</v>
      </c>
      <c r="AN217" s="169" t="s">
        <v>3955</v>
      </c>
      <c r="AO217" s="169">
        <v>28</v>
      </c>
      <c r="AP217" s="169" t="s">
        <v>1416</v>
      </c>
      <c r="AQ217" s="169">
        <v>0</v>
      </c>
      <c r="AR217" s="169" t="s">
        <v>1410</v>
      </c>
      <c r="AS217" s="169"/>
      <c r="AT217" s="169" t="s">
        <v>1417</v>
      </c>
      <c r="AU217" s="169" t="s">
        <v>1412</v>
      </c>
    </row>
    <row r="218" spans="1:47" x14ac:dyDescent="0.45">
      <c r="A218" s="169">
        <v>2605750137</v>
      </c>
      <c r="B218" s="169">
        <v>57</v>
      </c>
      <c r="C218" s="169" t="s">
        <v>1551</v>
      </c>
      <c r="D218" s="169">
        <v>57</v>
      </c>
      <c r="E218" s="169" t="s">
        <v>1552</v>
      </c>
      <c r="F218" s="169" t="s">
        <v>4166</v>
      </c>
      <c r="G218" s="169" t="s">
        <v>4167</v>
      </c>
      <c r="H218" s="169">
        <v>1</v>
      </c>
      <c r="I218" s="169" t="s">
        <v>4168</v>
      </c>
      <c r="J218" s="169" t="s">
        <v>1403</v>
      </c>
      <c r="K218" s="169">
        <v>2026</v>
      </c>
      <c r="L218" s="170">
        <v>2026</v>
      </c>
      <c r="M218" s="171">
        <v>45960</v>
      </c>
      <c r="N218" s="169" t="s">
        <v>36</v>
      </c>
      <c r="O218" s="169">
        <v>58</v>
      </c>
      <c r="P218" s="169">
        <v>428</v>
      </c>
      <c r="Q218" s="169" t="s">
        <v>1463</v>
      </c>
      <c r="R218" s="169">
        <v>2</v>
      </c>
      <c r="S218" s="169">
        <v>2</v>
      </c>
      <c r="T218" s="169" t="s">
        <v>1464</v>
      </c>
      <c r="U218" s="169">
        <v>1</v>
      </c>
      <c r="V218" s="170">
        <v>0</v>
      </c>
      <c r="W218" s="170">
        <v>0</v>
      </c>
      <c r="X218" s="170" t="s">
        <v>1406</v>
      </c>
      <c r="Y218" s="171">
        <v>45988</v>
      </c>
      <c r="Z218" s="169" t="s">
        <v>32</v>
      </c>
      <c r="AA218" s="169"/>
      <c r="AB218" s="169">
        <v>0</v>
      </c>
      <c r="AC218" s="169">
        <v>0</v>
      </c>
      <c r="AD218" s="169">
        <v>0</v>
      </c>
      <c r="AE218" s="169" t="s">
        <v>1446</v>
      </c>
      <c r="AF218" s="169"/>
      <c r="AG218" s="169" t="s">
        <v>1446</v>
      </c>
      <c r="AH218" s="169"/>
      <c r="AI218" s="169"/>
      <c r="AJ218" s="169">
        <v>0</v>
      </c>
      <c r="AK218" s="169" t="s">
        <v>1473</v>
      </c>
      <c r="AL218" s="169">
        <v>28147</v>
      </c>
      <c r="AM218" s="169" t="s">
        <v>1418</v>
      </c>
      <c r="AN218" s="169" t="s">
        <v>3955</v>
      </c>
      <c r="AO218" s="169">
        <v>28</v>
      </c>
      <c r="AP218" s="169" t="s">
        <v>1416</v>
      </c>
      <c r="AQ218" s="169">
        <v>0</v>
      </c>
      <c r="AR218" s="169" t="s">
        <v>1410</v>
      </c>
      <c r="AS218" s="169"/>
      <c r="AT218" s="169" t="s">
        <v>1417</v>
      </c>
      <c r="AU218" s="169" t="s">
        <v>1412</v>
      </c>
    </row>
    <row r="219" spans="1:47" x14ac:dyDescent="0.45">
      <c r="A219" s="169">
        <v>2605750139</v>
      </c>
      <c r="B219" s="169">
        <v>57</v>
      </c>
      <c r="C219" s="169" t="s">
        <v>1551</v>
      </c>
      <c r="D219" s="169">
        <v>57</v>
      </c>
      <c r="E219" s="169" t="s">
        <v>1552</v>
      </c>
      <c r="F219" s="169" t="s">
        <v>4169</v>
      </c>
      <c r="G219" s="169" t="s">
        <v>4170</v>
      </c>
      <c r="H219" s="169">
        <v>1</v>
      </c>
      <c r="I219" s="169" t="s">
        <v>1984</v>
      </c>
      <c r="J219" s="169" t="s">
        <v>1403</v>
      </c>
      <c r="K219" s="169">
        <v>2026</v>
      </c>
      <c r="L219" s="170">
        <v>2026</v>
      </c>
      <c r="M219" s="171">
        <v>45958</v>
      </c>
      <c r="N219" s="169" t="s">
        <v>36</v>
      </c>
      <c r="O219" s="169">
        <v>58</v>
      </c>
      <c r="P219" s="169">
        <v>428</v>
      </c>
      <c r="Q219" s="169" t="s">
        <v>1463</v>
      </c>
      <c r="R219" s="169">
        <v>2</v>
      </c>
      <c r="S219" s="169">
        <v>2</v>
      </c>
      <c r="T219" s="169" t="s">
        <v>1464</v>
      </c>
      <c r="U219" s="169">
        <v>1</v>
      </c>
      <c r="V219" s="170">
        <v>0</v>
      </c>
      <c r="W219" s="170">
        <v>0</v>
      </c>
      <c r="X219" s="170" t="s">
        <v>1406</v>
      </c>
      <c r="Y219" s="169"/>
      <c r="Z219" s="169" t="s">
        <v>32</v>
      </c>
      <c r="AA219" s="169"/>
      <c r="AB219" s="169">
        <v>0</v>
      </c>
      <c r="AC219" s="169">
        <v>0</v>
      </c>
      <c r="AD219" s="169">
        <v>0</v>
      </c>
      <c r="AE219" s="169" t="s">
        <v>1446</v>
      </c>
      <c r="AF219" s="169"/>
      <c r="AG219" s="169" t="s">
        <v>1446</v>
      </c>
      <c r="AH219" s="169"/>
      <c r="AI219" s="169"/>
      <c r="AJ219" s="169">
        <v>0</v>
      </c>
      <c r="AK219" s="169" t="s">
        <v>1473</v>
      </c>
      <c r="AL219" s="169">
        <v>28147</v>
      </c>
      <c r="AM219" s="169" t="s">
        <v>1418</v>
      </c>
      <c r="AN219" s="169" t="s">
        <v>3955</v>
      </c>
      <c r="AO219" s="169">
        <v>28</v>
      </c>
      <c r="AP219" s="169" t="s">
        <v>1416</v>
      </c>
      <c r="AQ219" s="169">
        <v>0</v>
      </c>
      <c r="AR219" s="169" t="s">
        <v>1410</v>
      </c>
      <c r="AS219" s="169"/>
      <c r="AT219" s="169" t="s">
        <v>1417</v>
      </c>
      <c r="AU219" s="169" t="s">
        <v>1412</v>
      </c>
    </row>
    <row r="220" spans="1:47" x14ac:dyDescent="0.45">
      <c r="A220" s="169">
        <v>2605750140</v>
      </c>
      <c r="B220" s="169">
        <v>57</v>
      </c>
      <c r="C220" s="169" t="s">
        <v>1551</v>
      </c>
      <c r="D220" s="169">
        <v>57</v>
      </c>
      <c r="E220" s="169" t="s">
        <v>1552</v>
      </c>
      <c r="F220" s="169" t="s">
        <v>4171</v>
      </c>
      <c r="G220" s="169" t="s">
        <v>4172</v>
      </c>
      <c r="H220" s="169">
        <v>1</v>
      </c>
      <c r="I220" s="169" t="s">
        <v>4173</v>
      </c>
      <c r="J220" s="169" t="s">
        <v>1403</v>
      </c>
      <c r="K220" s="169">
        <v>2026</v>
      </c>
      <c r="L220" s="170">
        <v>2026</v>
      </c>
      <c r="M220" s="171">
        <v>46015</v>
      </c>
      <c r="N220" s="169" t="s">
        <v>36</v>
      </c>
      <c r="O220" s="169" t="s">
        <v>51</v>
      </c>
      <c r="P220" s="169">
        <v>428</v>
      </c>
      <c r="Q220" s="169" t="s">
        <v>1463</v>
      </c>
      <c r="R220" s="169">
        <v>1</v>
      </c>
      <c r="S220" s="169">
        <v>2</v>
      </c>
      <c r="T220" s="169" t="s">
        <v>1464</v>
      </c>
      <c r="U220" s="169">
        <v>1</v>
      </c>
      <c r="V220" s="170">
        <v>0</v>
      </c>
      <c r="W220" s="170">
        <v>0</v>
      </c>
      <c r="X220" s="170" t="s">
        <v>1406</v>
      </c>
      <c r="Y220" s="169"/>
      <c r="Z220" s="169" t="s">
        <v>1473</v>
      </c>
      <c r="AA220" s="169"/>
      <c r="AB220" s="169">
        <v>0</v>
      </c>
      <c r="AC220" s="169">
        <v>0</v>
      </c>
      <c r="AD220" s="169">
        <v>0</v>
      </c>
      <c r="AE220" s="169" t="s">
        <v>1446</v>
      </c>
      <c r="AF220" s="169"/>
      <c r="AG220" s="169" t="s">
        <v>1446</v>
      </c>
      <c r="AH220" s="169"/>
      <c r="AI220" s="169"/>
      <c r="AJ220" s="169">
        <v>0</v>
      </c>
      <c r="AK220" s="169" t="s">
        <v>1473</v>
      </c>
      <c r="AL220" s="169">
        <v>28150</v>
      </c>
      <c r="AM220" s="169" t="s">
        <v>1418</v>
      </c>
      <c r="AN220" s="169" t="s">
        <v>1620</v>
      </c>
      <c r="AO220" s="169">
        <v>28</v>
      </c>
      <c r="AP220" s="169" t="s">
        <v>1416</v>
      </c>
      <c r="AQ220" s="169">
        <v>0</v>
      </c>
      <c r="AR220" s="169" t="s">
        <v>1410</v>
      </c>
      <c r="AS220" s="169"/>
      <c r="AT220" s="169" t="s">
        <v>1417</v>
      </c>
      <c r="AU220" s="169" t="s">
        <v>1412</v>
      </c>
    </row>
    <row r="221" spans="1:47" x14ac:dyDescent="0.45">
      <c r="A221" s="169">
        <v>2605750141</v>
      </c>
      <c r="B221" s="169">
        <v>57</v>
      </c>
      <c r="C221" s="169" t="s">
        <v>1551</v>
      </c>
      <c r="D221" s="169">
        <v>57</v>
      </c>
      <c r="E221" s="169" t="s">
        <v>1552</v>
      </c>
      <c r="F221" s="169" t="s">
        <v>4174</v>
      </c>
      <c r="G221" s="169" t="s">
        <v>4175</v>
      </c>
      <c r="H221" s="169">
        <v>2</v>
      </c>
      <c r="I221" s="169" t="s">
        <v>315</v>
      </c>
      <c r="J221" s="169" t="s">
        <v>1403</v>
      </c>
      <c r="K221" s="169">
        <v>2026</v>
      </c>
      <c r="L221" s="170">
        <v>2026</v>
      </c>
      <c r="M221" s="171">
        <v>45911</v>
      </c>
      <c r="N221" s="169" t="s">
        <v>36</v>
      </c>
      <c r="O221" s="169">
        <v>57</v>
      </c>
      <c r="P221" s="169">
        <v>1775</v>
      </c>
      <c r="Q221" s="169" t="s">
        <v>3620</v>
      </c>
      <c r="R221" s="169">
        <v>2</v>
      </c>
      <c r="S221" s="169">
        <v>3</v>
      </c>
      <c r="T221" s="169" t="s">
        <v>1477</v>
      </c>
      <c r="U221" s="169">
        <v>4</v>
      </c>
      <c r="V221" s="170">
        <v>2680001</v>
      </c>
      <c r="W221" s="170">
        <v>0</v>
      </c>
      <c r="X221" s="170" t="s">
        <v>1406</v>
      </c>
      <c r="Y221" s="169"/>
      <c r="Z221" s="169" t="s">
        <v>32</v>
      </c>
      <c r="AA221" s="171">
        <v>45924</v>
      </c>
      <c r="AB221" s="169">
        <v>26</v>
      </c>
      <c r="AC221" s="169">
        <v>80001</v>
      </c>
      <c r="AD221" s="169">
        <v>57</v>
      </c>
      <c r="AE221" s="169" t="s">
        <v>1551</v>
      </c>
      <c r="AF221" s="169">
        <v>57</v>
      </c>
      <c r="AG221" s="169" t="s">
        <v>1552</v>
      </c>
      <c r="AH221" s="169" t="s">
        <v>36</v>
      </c>
      <c r="AI221" s="169">
        <v>57</v>
      </c>
      <c r="AJ221" s="169">
        <v>1775</v>
      </c>
      <c r="AK221" s="169" t="s">
        <v>1407</v>
      </c>
      <c r="AL221" s="169">
        <v>27077</v>
      </c>
      <c r="AM221" s="169" t="s">
        <v>1421</v>
      </c>
      <c r="AN221" s="169" t="s">
        <v>2791</v>
      </c>
      <c r="AO221" s="169">
        <v>27</v>
      </c>
      <c r="AP221" s="169" t="s">
        <v>1581</v>
      </c>
      <c r="AQ221" s="169">
        <v>0</v>
      </c>
      <c r="AR221" s="169" t="s">
        <v>1410</v>
      </c>
      <c r="AS221" s="169"/>
      <c r="AT221" s="169" t="s">
        <v>1417</v>
      </c>
      <c r="AU221" s="169" t="s">
        <v>1412</v>
      </c>
    </row>
    <row r="222" spans="1:47" x14ac:dyDescent="0.45">
      <c r="A222" s="169">
        <v>2605750142</v>
      </c>
      <c r="B222" s="169">
        <v>57</v>
      </c>
      <c r="C222" s="169" t="s">
        <v>1551</v>
      </c>
      <c r="D222" s="169">
        <v>57</v>
      </c>
      <c r="E222" s="169" t="s">
        <v>1552</v>
      </c>
      <c r="F222" s="169" t="s">
        <v>4176</v>
      </c>
      <c r="G222" s="169" t="s">
        <v>4177</v>
      </c>
      <c r="H222" s="169">
        <v>2</v>
      </c>
      <c r="I222" s="169" t="s">
        <v>4178</v>
      </c>
      <c r="J222" s="169" t="s">
        <v>1403</v>
      </c>
      <c r="K222" s="169">
        <v>2026</v>
      </c>
      <c r="L222" s="170">
        <v>2026</v>
      </c>
      <c r="M222" s="171">
        <v>45959</v>
      </c>
      <c r="N222" s="169" t="s">
        <v>36</v>
      </c>
      <c r="O222" s="169">
        <v>57</v>
      </c>
      <c r="P222" s="169">
        <v>1044</v>
      </c>
      <c r="Q222" s="169" t="s">
        <v>1476</v>
      </c>
      <c r="R222" s="169">
        <v>2</v>
      </c>
      <c r="S222" s="169">
        <v>3</v>
      </c>
      <c r="T222" s="169" t="s">
        <v>1477</v>
      </c>
      <c r="U222" s="169">
        <v>4</v>
      </c>
      <c r="V222" s="170">
        <v>2680134</v>
      </c>
      <c r="W222" s="170">
        <v>0</v>
      </c>
      <c r="X222" s="170" t="s">
        <v>1406</v>
      </c>
      <c r="Y222" s="169"/>
      <c r="Z222" s="169" t="s">
        <v>32</v>
      </c>
      <c r="AA222" s="171">
        <v>46049</v>
      </c>
      <c r="AB222" s="169">
        <v>26</v>
      </c>
      <c r="AC222" s="169">
        <v>80134</v>
      </c>
      <c r="AD222" s="169">
        <v>57</v>
      </c>
      <c r="AE222" s="169" t="s">
        <v>1551</v>
      </c>
      <c r="AF222" s="169">
        <v>57</v>
      </c>
      <c r="AG222" s="169" t="s">
        <v>1552</v>
      </c>
      <c r="AH222" s="169" t="s">
        <v>36</v>
      </c>
      <c r="AI222" s="169">
        <v>57</v>
      </c>
      <c r="AJ222" s="169">
        <v>1044</v>
      </c>
      <c r="AK222" s="169" t="s">
        <v>1407</v>
      </c>
      <c r="AL222" s="169">
        <v>28282</v>
      </c>
      <c r="AM222" s="169" t="s">
        <v>1414</v>
      </c>
      <c r="AN222" s="169" t="s">
        <v>1572</v>
      </c>
      <c r="AO222" s="169">
        <v>28</v>
      </c>
      <c r="AP222" s="169" t="s">
        <v>1416</v>
      </c>
      <c r="AQ222" s="169">
        <v>0</v>
      </c>
      <c r="AR222" s="169" t="s">
        <v>1410</v>
      </c>
      <c r="AS222" s="169"/>
      <c r="AT222" s="169" t="s">
        <v>1417</v>
      </c>
      <c r="AU222" s="169" t="s">
        <v>1412</v>
      </c>
    </row>
    <row r="223" spans="1:47" x14ac:dyDescent="0.45">
      <c r="A223" s="169">
        <v>2605750143</v>
      </c>
      <c r="B223" s="169">
        <v>57</v>
      </c>
      <c r="C223" s="169" t="s">
        <v>1551</v>
      </c>
      <c r="D223" s="169">
        <v>57</v>
      </c>
      <c r="E223" s="169" t="s">
        <v>1552</v>
      </c>
      <c r="F223" s="169" t="s">
        <v>4179</v>
      </c>
      <c r="G223" s="169" t="s">
        <v>4180</v>
      </c>
      <c r="H223" s="169">
        <v>2</v>
      </c>
      <c r="I223" s="169" t="s">
        <v>4181</v>
      </c>
      <c r="J223" s="169" t="s">
        <v>1403</v>
      </c>
      <c r="K223" s="169">
        <v>2026</v>
      </c>
      <c r="L223" s="170">
        <v>2026</v>
      </c>
      <c r="M223" s="171">
        <v>45937</v>
      </c>
      <c r="N223" s="169" t="s">
        <v>36</v>
      </c>
      <c r="O223" s="169" t="s">
        <v>94</v>
      </c>
      <c r="P223" s="169">
        <v>121</v>
      </c>
      <c r="Q223" s="169" t="s">
        <v>1502</v>
      </c>
      <c r="R223" s="169">
        <v>2</v>
      </c>
      <c r="S223" s="169">
        <v>8</v>
      </c>
      <c r="T223" s="169" t="s">
        <v>1503</v>
      </c>
      <c r="U223" s="169">
        <v>6</v>
      </c>
      <c r="V223" s="170">
        <v>2680024</v>
      </c>
      <c r="W223" s="170">
        <v>0</v>
      </c>
      <c r="X223" s="170" t="s">
        <v>1406</v>
      </c>
      <c r="Y223" s="169"/>
      <c r="Z223" s="169" t="s">
        <v>32</v>
      </c>
      <c r="AA223" s="171">
        <v>45950</v>
      </c>
      <c r="AB223" s="169">
        <v>26</v>
      </c>
      <c r="AC223" s="169">
        <v>80024</v>
      </c>
      <c r="AD223" s="169">
        <v>57</v>
      </c>
      <c r="AE223" s="169" t="s">
        <v>1551</v>
      </c>
      <c r="AF223" s="169">
        <v>57</v>
      </c>
      <c r="AG223" s="169" t="s">
        <v>1552</v>
      </c>
      <c r="AH223" s="169" t="s">
        <v>36</v>
      </c>
      <c r="AI223" s="169" t="s">
        <v>94</v>
      </c>
      <c r="AJ223" s="169">
        <v>121</v>
      </c>
      <c r="AK223" s="169" t="s">
        <v>1407</v>
      </c>
      <c r="AL223" s="169">
        <v>28120</v>
      </c>
      <c r="AM223" s="169" t="s">
        <v>1418</v>
      </c>
      <c r="AN223" s="169" t="s">
        <v>1593</v>
      </c>
      <c r="AO223" s="169">
        <v>28</v>
      </c>
      <c r="AP223" s="169" t="s">
        <v>1416</v>
      </c>
      <c r="AQ223" s="169">
        <v>0</v>
      </c>
      <c r="AR223" s="169" t="s">
        <v>1410</v>
      </c>
      <c r="AS223" s="169"/>
      <c r="AT223" s="169" t="s">
        <v>1417</v>
      </c>
      <c r="AU223" s="169" t="s">
        <v>1412</v>
      </c>
    </row>
    <row r="224" spans="1:47" x14ac:dyDescent="0.45">
      <c r="A224" s="169">
        <v>2605750144</v>
      </c>
      <c r="B224" s="169">
        <v>57</v>
      </c>
      <c r="C224" s="169" t="s">
        <v>1551</v>
      </c>
      <c r="D224" s="169">
        <v>57</v>
      </c>
      <c r="E224" s="169" t="s">
        <v>1552</v>
      </c>
      <c r="F224" s="169" t="s">
        <v>4182</v>
      </c>
      <c r="G224" s="169" t="s">
        <v>4183</v>
      </c>
      <c r="H224" s="169">
        <v>1</v>
      </c>
      <c r="I224" s="169" t="s">
        <v>4184</v>
      </c>
      <c r="J224" s="169" t="s">
        <v>1403</v>
      </c>
      <c r="K224" s="169">
        <v>2026</v>
      </c>
      <c r="L224" s="170">
        <v>2026</v>
      </c>
      <c r="M224" s="171">
        <v>45928</v>
      </c>
      <c r="N224" s="169" t="s">
        <v>36</v>
      </c>
      <c r="O224" s="169" t="s">
        <v>51</v>
      </c>
      <c r="P224" s="169">
        <v>427</v>
      </c>
      <c r="Q224" s="169" t="s">
        <v>1479</v>
      </c>
      <c r="R224" s="169">
        <v>1</v>
      </c>
      <c r="S224" s="169">
        <v>2</v>
      </c>
      <c r="T224" s="169" t="s">
        <v>1464</v>
      </c>
      <c r="U224" s="169">
        <v>1</v>
      </c>
      <c r="V224" s="170">
        <v>0</v>
      </c>
      <c r="W224" s="170">
        <v>0</v>
      </c>
      <c r="X224" s="170" t="s">
        <v>1406</v>
      </c>
      <c r="Y224" s="169"/>
      <c r="Z224" s="169" t="s">
        <v>32</v>
      </c>
      <c r="AA224" s="169"/>
      <c r="AB224" s="169">
        <v>0</v>
      </c>
      <c r="AC224" s="169">
        <v>0</v>
      </c>
      <c r="AD224" s="169">
        <v>0</v>
      </c>
      <c r="AE224" s="169" t="s">
        <v>1446</v>
      </c>
      <c r="AF224" s="169"/>
      <c r="AG224" s="169" t="s">
        <v>1446</v>
      </c>
      <c r="AH224" s="169"/>
      <c r="AI224" s="169"/>
      <c r="AJ224" s="169">
        <v>0</v>
      </c>
      <c r="AK224" s="169" t="s">
        <v>1473</v>
      </c>
      <c r="AL224" s="169">
        <v>27409</v>
      </c>
      <c r="AM224" s="169" t="s">
        <v>1421</v>
      </c>
      <c r="AN224" s="169" t="s">
        <v>4185</v>
      </c>
      <c r="AO224" s="169">
        <v>27</v>
      </c>
      <c r="AP224" s="169" t="s">
        <v>1581</v>
      </c>
      <c r="AQ224" s="169">
        <v>0</v>
      </c>
      <c r="AR224" s="169" t="s">
        <v>1410</v>
      </c>
      <c r="AS224" s="169"/>
      <c r="AT224" s="169" t="s">
        <v>1417</v>
      </c>
      <c r="AU224" s="169" t="s">
        <v>1412</v>
      </c>
    </row>
    <row r="225" spans="1:47" x14ac:dyDescent="0.45">
      <c r="A225" s="169">
        <v>2605750145</v>
      </c>
      <c r="B225" s="169">
        <v>57</v>
      </c>
      <c r="C225" s="169" t="s">
        <v>1551</v>
      </c>
      <c r="D225" s="169">
        <v>57</v>
      </c>
      <c r="E225" s="169" t="s">
        <v>1552</v>
      </c>
      <c r="F225" s="169" t="s">
        <v>4186</v>
      </c>
      <c r="G225" s="169" t="s">
        <v>4187</v>
      </c>
      <c r="H225" s="169">
        <v>1</v>
      </c>
      <c r="I225" s="169" t="s">
        <v>1710</v>
      </c>
      <c r="J225" s="169" t="s">
        <v>1403</v>
      </c>
      <c r="K225" s="169">
        <v>2026</v>
      </c>
      <c r="L225" s="170">
        <v>2026</v>
      </c>
      <c r="M225" s="171">
        <v>45959</v>
      </c>
      <c r="N225" s="169" t="s">
        <v>36</v>
      </c>
      <c r="O225" s="169">
        <v>57</v>
      </c>
      <c r="P225" s="169">
        <v>1044</v>
      </c>
      <c r="Q225" s="169" t="s">
        <v>1476</v>
      </c>
      <c r="R225" s="169">
        <v>2</v>
      </c>
      <c r="S225" s="169">
        <v>3</v>
      </c>
      <c r="T225" s="169" t="s">
        <v>1477</v>
      </c>
      <c r="U225" s="169">
        <v>4</v>
      </c>
      <c r="V225" s="170">
        <v>0</v>
      </c>
      <c r="W225" s="170">
        <v>0</v>
      </c>
      <c r="X225" s="170" t="s">
        <v>1406</v>
      </c>
      <c r="Y225" s="169"/>
      <c r="Z225" s="169" t="s">
        <v>32</v>
      </c>
      <c r="AA225" s="169"/>
      <c r="AB225" s="169">
        <v>0</v>
      </c>
      <c r="AC225" s="169">
        <v>0</v>
      </c>
      <c r="AD225" s="169">
        <v>0</v>
      </c>
      <c r="AE225" s="169" t="s">
        <v>1446</v>
      </c>
      <c r="AF225" s="169"/>
      <c r="AG225" s="169" t="s">
        <v>1446</v>
      </c>
      <c r="AH225" s="169"/>
      <c r="AI225" s="169"/>
      <c r="AJ225" s="169">
        <v>0</v>
      </c>
      <c r="AK225" s="169" t="s">
        <v>1410</v>
      </c>
      <c r="AL225" s="169">
        <v>28002</v>
      </c>
      <c r="AM225" s="169" t="s">
        <v>1418</v>
      </c>
      <c r="AN225" s="169" t="s">
        <v>1628</v>
      </c>
      <c r="AO225" s="169">
        <v>28</v>
      </c>
      <c r="AP225" s="169" t="s">
        <v>1416</v>
      </c>
      <c r="AQ225" s="169">
        <v>0</v>
      </c>
      <c r="AR225" s="169" t="s">
        <v>1410</v>
      </c>
      <c r="AS225" s="169"/>
      <c r="AT225" s="169" t="s">
        <v>1417</v>
      </c>
      <c r="AU225" s="169" t="s">
        <v>1412</v>
      </c>
    </row>
    <row r="226" spans="1:47" x14ac:dyDescent="0.45">
      <c r="A226" s="169">
        <v>2605750146</v>
      </c>
      <c r="B226" s="169">
        <v>57</v>
      </c>
      <c r="C226" s="169" t="s">
        <v>1551</v>
      </c>
      <c r="D226" s="169">
        <v>57</v>
      </c>
      <c r="E226" s="169" t="s">
        <v>1552</v>
      </c>
      <c r="F226" s="169" t="s">
        <v>4188</v>
      </c>
      <c r="G226" s="169" t="s">
        <v>4189</v>
      </c>
      <c r="H226" s="169">
        <v>1</v>
      </c>
      <c r="I226" s="169" t="s">
        <v>3906</v>
      </c>
      <c r="J226" s="169" t="s">
        <v>1403</v>
      </c>
      <c r="K226" s="169">
        <v>2026</v>
      </c>
      <c r="L226" s="170">
        <v>2026</v>
      </c>
      <c r="M226" s="171">
        <v>45937</v>
      </c>
      <c r="N226" s="169" t="s">
        <v>36</v>
      </c>
      <c r="O226" s="169">
        <v>58</v>
      </c>
      <c r="P226" s="169">
        <v>428</v>
      </c>
      <c r="Q226" s="169" t="s">
        <v>1463</v>
      </c>
      <c r="R226" s="169">
        <v>2</v>
      </c>
      <c r="S226" s="169">
        <v>2</v>
      </c>
      <c r="T226" s="169" t="s">
        <v>1464</v>
      </c>
      <c r="U226" s="169">
        <v>1</v>
      </c>
      <c r="V226" s="170">
        <v>2680110</v>
      </c>
      <c r="W226" s="170">
        <v>0</v>
      </c>
      <c r="X226" s="170" t="s">
        <v>1406</v>
      </c>
      <c r="Y226" s="169"/>
      <c r="Z226" s="169" t="s">
        <v>32</v>
      </c>
      <c r="AA226" s="171">
        <v>46027</v>
      </c>
      <c r="AB226" s="169">
        <v>26</v>
      </c>
      <c r="AC226" s="169">
        <v>80110</v>
      </c>
      <c r="AD226" s="169">
        <v>57</v>
      </c>
      <c r="AE226" s="169" t="s">
        <v>1551</v>
      </c>
      <c r="AF226" s="169">
        <v>57</v>
      </c>
      <c r="AG226" s="169" t="s">
        <v>1552</v>
      </c>
      <c r="AH226" s="169" t="s">
        <v>36</v>
      </c>
      <c r="AI226" s="169">
        <v>58</v>
      </c>
      <c r="AJ226" s="169">
        <v>428</v>
      </c>
      <c r="AK226" s="169" t="s">
        <v>1407</v>
      </c>
      <c r="AL226" s="169">
        <v>28279</v>
      </c>
      <c r="AM226" s="169" t="s">
        <v>1421</v>
      </c>
      <c r="AN226" s="169" t="s">
        <v>2864</v>
      </c>
      <c r="AO226" s="169">
        <v>28</v>
      </c>
      <c r="AP226" s="169" t="s">
        <v>1416</v>
      </c>
      <c r="AQ226" s="169">
        <v>0</v>
      </c>
      <c r="AR226" s="169" t="s">
        <v>1410</v>
      </c>
      <c r="AS226" s="169"/>
      <c r="AT226" s="169" t="s">
        <v>1417</v>
      </c>
      <c r="AU226" s="169" t="s">
        <v>1412</v>
      </c>
    </row>
    <row r="227" spans="1:47" x14ac:dyDescent="0.45">
      <c r="A227" s="169">
        <v>2605750147</v>
      </c>
      <c r="B227" s="169">
        <v>57</v>
      </c>
      <c r="C227" s="169" t="s">
        <v>1551</v>
      </c>
      <c r="D227" s="169">
        <v>57</v>
      </c>
      <c r="E227" s="169" t="s">
        <v>1552</v>
      </c>
      <c r="F227" s="169" t="s">
        <v>4190</v>
      </c>
      <c r="G227" s="169" t="s">
        <v>4191</v>
      </c>
      <c r="H227" s="169">
        <v>2</v>
      </c>
      <c r="I227" s="169" t="s">
        <v>3596</v>
      </c>
      <c r="J227" s="169" t="s">
        <v>1403</v>
      </c>
      <c r="K227" s="169">
        <v>2026</v>
      </c>
      <c r="L227" s="170">
        <v>2026</v>
      </c>
      <c r="M227" s="171">
        <v>45961</v>
      </c>
      <c r="N227" s="169" t="s">
        <v>36</v>
      </c>
      <c r="O227" s="169">
        <v>6</v>
      </c>
      <c r="P227" s="169">
        <v>488</v>
      </c>
      <c r="Q227" s="169" t="s">
        <v>1553</v>
      </c>
      <c r="R227" s="169">
        <v>2</v>
      </c>
      <c r="S227" s="169">
        <v>1</v>
      </c>
      <c r="T227" s="169" t="s">
        <v>1527</v>
      </c>
      <c r="U227" s="169">
        <v>3</v>
      </c>
      <c r="V227" s="170">
        <v>2680055</v>
      </c>
      <c r="W227" s="170">
        <v>0</v>
      </c>
      <c r="X227" s="170" t="s">
        <v>1406</v>
      </c>
      <c r="Y227" s="169"/>
      <c r="Z227" s="169" t="s">
        <v>32</v>
      </c>
      <c r="AA227" s="171">
        <v>45981</v>
      </c>
      <c r="AB227" s="169">
        <v>26</v>
      </c>
      <c r="AC227" s="169">
        <v>80055</v>
      </c>
      <c r="AD227" s="169">
        <v>57</v>
      </c>
      <c r="AE227" s="169" t="s">
        <v>1551</v>
      </c>
      <c r="AF227" s="169">
        <v>57</v>
      </c>
      <c r="AG227" s="169" t="s">
        <v>1552</v>
      </c>
      <c r="AH227" s="169" t="s">
        <v>36</v>
      </c>
      <c r="AI227" s="169">
        <v>6</v>
      </c>
      <c r="AJ227" s="169">
        <v>488</v>
      </c>
      <c r="AK227" s="169" t="s">
        <v>1407</v>
      </c>
      <c r="AL227" s="169">
        <v>28030</v>
      </c>
      <c r="AM227" s="169" t="s">
        <v>1418</v>
      </c>
      <c r="AN227" s="169" t="s">
        <v>1566</v>
      </c>
      <c r="AO227" s="169">
        <v>28</v>
      </c>
      <c r="AP227" s="169" t="s">
        <v>1416</v>
      </c>
      <c r="AQ227" s="169">
        <v>0</v>
      </c>
      <c r="AR227" s="169" t="s">
        <v>1410</v>
      </c>
      <c r="AS227" s="169"/>
      <c r="AT227" s="169" t="s">
        <v>1417</v>
      </c>
      <c r="AU227" s="169" t="s">
        <v>1412</v>
      </c>
    </row>
    <row r="228" spans="1:47" x14ac:dyDescent="0.45">
      <c r="A228" s="169">
        <v>2605750149</v>
      </c>
      <c r="B228" s="169">
        <v>57</v>
      </c>
      <c r="C228" s="169" t="s">
        <v>1551</v>
      </c>
      <c r="D228" s="169">
        <v>57</v>
      </c>
      <c r="E228" s="169" t="s">
        <v>1552</v>
      </c>
      <c r="F228" s="169" t="s">
        <v>4192</v>
      </c>
      <c r="G228" s="169" t="s">
        <v>4193</v>
      </c>
      <c r="H228" s="169">
        <v>2</v>
      </c>
      <c r="I228" s="169" t="s">
        <v>4178</v>
      </c>
      <c r="J228" s="169" t="s">
        <v>1403</v>
      </c>
      <c r="K228" s="169">
        <v>2026</v>
      </c>
      <c r="L228" s="170">
        <v>2026</v>
      </c>
      <c r="M228" s="171">
        <v>45926</v>
      </c>
      <c r="N228" s="169" t="s">
        <v>36</v>
      </c>
      <c r="O228" s="169">
        <v>7</v>
      </c>
      <c r="P228" s="169">
        <v>266</v>
      </c>
      <c r="Q228" s="169" t="s">
        <v>1526</v>
      </c>
      <c r="R228" s="169">
        <v>2</v>
      </c>
      <c r="S228" s="169">
        <v>1</v>
      </c>
      <c r="T228" s="169" t="s">
        <v>1527</v>
      </c>
      <c r="U228" s="169">
        <v>3</v>
      </c>
      <c r="V228" s="170">
        <v>2680018</v>
      </c>
      <c r="W228" s="170">
        <v>0</v>
      </c>
      <c r="X228" s="170" t="s">
        <v>1406</v>
      </c>
      <c r="Y228" s="169"/>
      <c r="Z228" s="169" t="s">
        <v>32</v>
      </c>
      <c r="AA228" s="171">
        <v>45946</v>
      </c>
      <c r="AB228" s="169">
        <v>26</v>
      </c>
      <c r="AC228" s="169">
        <v>80018</v>
      </c>
      <c r="AD228" s="169">
        <v>57</v>
      </c>
      <c r="AE228" s="169" t="s">
        <v>1551</v>
      </c>
      <c r="AF228" s="169">
        <v>57</v>
      </c>
      <c r="AG228" s="169" t="s">
        <v>1552</v>
      </c>
      <c r="AH228" s="169" t="s">
        <v>36</v>
      </c>
      <c r="AI228" s="169">
        <v>7</v>
      </c>
      <c r="AJ228" s="169">
        <v>266</v>
      </c>
      <c r="AK228" s="169" t="s">
        <v>1407</v>
      </c>
      <c r="AL228" s="169">
        <v>28009</v>
      </c>
      <c r="AM228" s="169" t="s">
        <v>1418</v>
      </c>
      <c r="AN228" s="169" t="s">
        <v>1607</v>
      </c>
      <c r="AO228" s="169">
        <v>28</v>
      </c>
      <c r="AP228" s="169" t="s">
        <v>1416</v>
      </c>
      <c r="AQ228" s="169">
        <v>0</v>
      </c>
      <c r="AR228" s="169" t="s">
        <v>1410</v>
      </c>
      <c r="AS228" s="169"/>
      <c r="AT228" s="169" t="s">
        <v>1417</v>
      </c>
      <c r="AU228" s="169" t="s">
        <v>1412</v>
      </c>
    </row>
    <row r="229" spans="1:47" x14ac:dyDescent="0.45">
      <c r="A229" s="169">
        <v>2605750151</v>
      </c>
      <c r="B229" s="169">
        <v>57</v>
      </c>
      <c r="C229" s="169" t="s">
        <v>1551</v>
      </c>
      <c r="D229" s="169">
        <v>57</v>
      </c>
      <c r="E229" s="169" t="s">
        <v>1552</v>
      </c>
      <c r="F229" s="169" t="s">
        <v>4194</v>
      </c>
      <c r="G229" s="169" t="s">
        <v>4195</v>
      </c>
      <c r="H229" s="169">
        <v>2</v>
      </c>
      <c r="I229" s="169" t="s">
        <v>2894</v>
      </c>
      <c r="J229" s="169" t="s">
        <v>1403</v>
      </c>
      <c r="K229" s="169">
        <v>0</v>
      </c>
      <c r="L229" s="170">
        <v>2026</v>
      </c>
      <c r="M229" s="171">
        <v>45953</v>
      </c>
      <c r="N229" s="169" t="s">
        <v>36</v>
      </c>
      <c r="O229" s="169">
        <v>7</v>
      </c>
      <c r="P229" s="169">
        <v>266</v>
      </c>
      <c r="Q229" s="169" t="s">
        <v>1526</v>
      </c>
      <c r="R229" s="169">
        <v>2</v>
      </c>
      <c r="S229" s="169">
        <v>1</v>
      </c>
      <c r="T229" s="169" t="s">
        <v>1527</v>
      </c>
      <c r="U229" s="169">
        <v>3</v>
      </c>
      <c r="V229" s="170">
        <v>2680038</v>
      </c>
      <c r="W229" s="170">
        <v>0</v>
      </c>
      <c r="X229" s="170" t="s">
        <v>1406</v>
      </c>
      <c r="Y229" s="169"/>
      <c r="Z229" s="169" t="s">
        <v>32</v>
      </c>
      <c r="AA229" s="171">
        <v>45965</v>
      </c>
      <c r="AB229" s="169">
        <v>26</v>
      </c>
      <c r="AC229" s="169">
        <v>80038</v>
      </c>
      <c r="AD229" s="169">
        <v>57</v>
      </c>
      <c r="AE229" s="169" t="s">
        <v>1551</v>
      </c>
      <c r="AF229" s="169">
        <v>57</v>
      </c>
      <c r="AG229" s="169" t="s">
        <v>1552</v>
      </c>
      <c r="AH229" s="169" t="s">
        <v>36</v>
      </c>
      <c r="AI229" s="169">
        <v>7</v>
      </c>
      <c r="AJ229" s="169">
        <v>266</v>
      </c>
      <c r="AK229" s="169" t="s">
        <v>1407</v>
      </c>
      <c r="AL229" s="169">
        <v>99902</v>
      </c>
      <c r="AM229" s="169" t="s">
        <v>1408</v>
      </c>
      <c r="AN229" s="169" t="s">
        <v>3098</v>
      </c>
      <c r="AO229" s="169">
        <v>99</v>
      </c>
      <c r="AP229" s="169" t="s">
        <v>1409</v>
      </c>
      <c r="AQ229" s="169">
        <v>0</v>
      </c>
      <c r="AR229" s="169" t="s">
        <v>1410</v>
      </c>
      <c r="AS229" s="169"/>
      <c r="AT229" s="169" t="s">
        <v>1411</v>
      </c>
      <c r="AU229" s="169" t="s">
        <v>1412</v>
      </c>
    </row>
    <row r="230" spans="1:47" x14ac:dyDescent="0.45">
      <c r="A230" s="169">
        <v>2605750152</v>
      </c>
      <c r="B230" s="169">
        <v>57</v>
      </c>
      <c r="C230" s="169" t="s">
        <v>1551</v>
      </c>
      <c r="D230" s="169">
        <v>57</v>
      </c>
      <c r="E230" s="169" t="s">
        <v>1552</v>
      </c>
      <c r="F230" s="169" t="s">
        <v>4196</v>
      </c>
      <c r="G230" s="169" t="s">
        <v>4197</v>
      </c>
      <c r="H230" s="169">
        <v>1</v>
      </c>
      <c r="I230" s="169" t="s">
        <v>2065</v>
      </c>
      <c r="J230" s="169" t="s">
        <v>1403</v>
      </c>
      <c r="K230" s="169">
        <v>2026</v>
      </c>
      <c r="L230" s="170">
        <v>2026</v>
      </c>
      <c r="M230" s="171">
        <v>45958</v>
      </c>
      <c r="N230" s="169" t="s">
        <v>36</v>
      </c>
      <c r="O230" s="169">
        <v>58</v>
      </c>
      <c r="P230" s="169">
        <v>428</v>
      </c>
      <c r="Q230" s="169" t="s">
        <v>1463</v>
      </c>
      <c r="R230" s="169">
        <v>2</v>
      </c>
      <c r="S230" s="169">
        <v>2</v>
      </c>
      <c r="T230" s="169" t="s">
        <v>1464</v>
      </c>
      <c r="U230" s="169">
        <v>1</v>
      </c>
      <c r="V230" s="170">
        <v>0</v>
      </c>
      <c r="W230" s="170">
        <v>0</v>
      </c>
      <c r="X230" s="170" t="s">
        <v>1406</v>
      </c>
      <c r="Y230" s="171">
        <v>46051</v>
      </c>
      <c r="Z230" s="169" t="s">
        <v>32</v>
      </c>
      <c r="AA230" s="169"/>
      <c r="AB230" s="169">
        <v>0</v>
      </c>
      <c r="AC230" s="169">
        <v>0</v>
      </c>
      <c r="AD230" s="169">
        <v>0</v>
      </c>
      <c r="AE230" s="169" t="s">
        <v>1446</v>
      </c>
      <c r="AF230" s="169"/>
      <c r="AG230" s="169" t="s">
        <v>1446</v>
      </c>
      <c r="AH230" s="169"/>
      <c r="AI230" s="169"/>
      <c r="AJ230" s="169">
        <v>0</v>
      </c>
      <c r="AK230" s="169" t="s">
        <v>1473</v>
      </c>
      <c r="AL230" s="169">
        <v>28007</v>
      </c>
      <c r="AM230" s="169" t="s">
        <v>1418</v>
      </c>
      <c r="AN230" s="169" t="s">
        <v>1583</v>
      </c>
      <c r="AO230" s="169">
        <v>28</v>
      </c>
      <c r="AP230" s="169" t="s">
        <v>1416</v>
      </c>
      <c r="AQ230" s="169">
        <v>0</v>
      </c>
      <c r="AR230" s="169" t="s">
        <v>1410</v>
      </c>
      <c r="AS230" s="169"/>
      <c r="AT230" s="169" t="s">
        <v>1417</v>
      </c>
      <c r="AU230" s="169" t="s">
        <v>1412</v>
      </c>
    </row>
    <row r="231" spans="1:47" x14ac:dyDescent="0.45">
      <c r="A231" s="169">
        <v>2605750153</v>
      </c>
      <c r="B231" s="169">
        <v>57</v>
      </c>
      <c r="C231" s="169" t="s">
        <v>1551</v>
      </c>
      <c r="D231" s="169">
        <v>57</v>
      </c>
      <c r="E231" s="169" t="s">
        <v>1552</v>
      </c>
      <c r="F231" s="169" t="s">
        <v>4198</v>
      </c>
      <c r="G231" s="169" t="s">
        <v>4199</v>
      </c>
      <c r="H231" s="169">
        <v>2</v>
      </c>
      <c r="I231" s="169" t="s">
        <v>213</v>
      </c>
      <c r="J231" s="169" t="s">
        <v>1403</v>
      </c>
      <c r="K231" s="169">
        <v>2026</v>
      </c>
      <c r="L231" s="170">
        <v>2026</v>
      </c>
      <c r="M231" s="171">
        <v>45951</v>
      </c>
      <c r="N231" s="169" t="s">
        <v>36</v>
      </c>
      <c r="O231" s="169" t="s">
        <v>94</v>
      </c>
      <c r="P231" s="169">
        <v>490</v>
      </c>
      <c r="Q231" s="169" t="s">
        <v>1508</v>
      </c>
      <c r="R231" s="169">
        <v>2</v>
      </c>
      <c r="S231" s="169">
        <v>8</v>
      </c>
      <c r="T231" s="169" t="s">
        <v>1503</v>
      </c>
      <c r="U231" s="169">
        <v>6</v>
      </c>
      <c r="V231" s="170">
        <v>2680056</v>
      </c>
      <c r="W231" s="170">
        <v>0</v>
      </c>
      <c r="X231" s="170" t="s">
        <v>1406</v>
      </c>
      <c r="Y231" s="169"/>
      <c r="Z231" s="169" t="s">
        <v>32</v>
      </c>
      <c r="AA231" s="171">
        <v>45981</v>
      </c>
      <c r="AB231" s="169">
        <v>26</v>
      </c>
      <c r="AC231" s="169">
        <v>80056</v>
      </c>
      <c r="AD231" s="169">
        <v>57</v>
      </c>
      <c r="AE231" s="169" t="s">
        <v>1551</v>
      </c>
      <c r="AF231" s="169">
        <v>57</v>
      </c>
      <c r="AG231" s="169" t="s">
        <v>1552</v>
      </c>
      <c r="AH231" s="169" t="s">
        <v>36</v>
      </c>
      <c r="AI231" s="169" t="s">
        <v>94</v>
      </c>
      <c r="AJ231" s="169">
        <v>490</v>
      </c>
      <c r="AK231" s="169" t="s">
        <v>1407</v>
      </c>
      <c r="AL231" s="169">
        <v>33133</v>
      </c>
      <c r="AM231" s="169" t="s">
        <v>1421</v>
      </c>
      <c r="AN231" s="169" t="s">
        <v>1426</v>
      </c>
      <c r="AO231" s="169">
        <v>33</v>
      </c>
      <c r="AP231" s="169" t="s">
        <v>1427</v>
      </c>
      <c r="AQ231" s="169">
        <v>0</v>
      </c>
      <c r="AR231" s="169" t="s">
        <v>1410</v>
      </c>
      <c r="AS231" s="169"/>
      <c r="AT231" s="169" t="s">
        <v>1417</v>
      </c>
      <c r="AU231" s="169" t="s">
        <v>1412</v>
      </c>
    </row>
    <row r="232" spans="1:47" x14ac:dyDescent="0.45">
      <c r="A232" s="169">
        <v>2605750154</v>
      </c>
      <c r="B232" s="169">
        <v>57</v>
      </c>
      <c r="C232" s="169" t="s">
        <v>1551</v>
      </c>
      <c r="D232" s="169">
        <v>57</v>
      </c>
      <c r="E232" s="169" t="s">
        <v>1552</v>
      </c>
      <c r="F232" s="169" t="s">
        <v>4200</v>
      </c>
      <c r="G232" s="169" t="s">
        <v>4201</v>
      </c>
      <c r="H232" s="169">
        <v>1</v>
      </c>
      <c r="I232" s="169" t="s">
        <v>4202</v>
      </c>
      <c r="J232" s="169" t="s">
        <v>1403</v>
      </c>
      <c r="K232" s="169">
        <v>2026</v>
      </c>
      <c r="L232" s="170">
        <v>2026</v>
      </c>
      <c r="M232" s="171">
        <v>45917</v>
      </c>
      <c r="N232" s="169" t="s">
        <v>36</v>
      </c>
      <c r="O232" s="169" t="s">
        <v>135</v>
      </c>
      <c r="P232" s="169">
        <v>502</v>
      </c>
      <c r="Q232" s="169" t="s">
        <v>1500</v>
      </c>
      <c r="R232" s="169">
        <v>2</v>
      </c>
      <c r="S232" s="169">
        <v>5</v>
      </c>
      <c r="T232" s="169" t="s">
        <v>1470</v>
      </c>
      <c r="U232" s="169">
        <v>15</v>
      </c>
      <c r="V232" s="170">
        <v>2680035</v>
      </c>
      <c r="W232" s="170">
        <v>0</v>
      </c>
      <c r="X232" s="170" t="s">
        <v>1406</v>
      </c>
      <c r="Y232" s="169"/>
      <c r="Z232" s="169" t="s">
        <v>32</v>
      </c>
      <c r="AA232" s="171">
        <v>45961</v>
      </c>
      <c r="AB232" s="169">
        <v>26</v>
      </c>
      <c r="AC232" s="169">
        <v>80035</v>
      </c>
      <c r="AD232" s="169">
        <v>57</v>
      </c>
      <c r="AE232" s="169" t="s">
        <v>1551</v>
      </c>
      <c r="AF232" s="169">
        <v>57</v>
      </c>
      <c r="AG232" s="169" t="s">
        <v>1552</v>
      </c>
      <c r="AH232" s="169" t="s">
        <v>36</v>
      </c>
      <c r="AI232" s="169" t="s">
        <v>135</v>
      </c>
      <c r="AJ232" s="169">
        <v>502</v>
      </c>
      <c r="AK232" s="169" t="s">
        <v>1407</v>
      </c>
      <c r="AL232" s="169">
        <v>28135</v>
      </c>
      <c r="AM232" s="169" t="s">
        <v>1418</v>
      </c>
      <c r="AN232" s="169" t="s">
        <v>2849</v>
      </c>
      <c r="AO232" s="169">
        <v>28</v>
      </c>
      <c r="AP232" s="169" t="s">
        <v>1416</v>
      </c>
      <c r="AQ232" s="169">
        <v>0</v>
      </c>
      <c r="AR232" s="169" t="s">
        <v>1410</v>
      </c>
      <c r="AS232" s="169"/>
      <c r="AT232" s="169" t="s">
        <v>1417</v>
      </c>
      <c r="AU232" s="169" t="s">
        <v>1412</v>
      </c>
    </row>
    <row r="233" spans="1:47" x14ac:dyDescent="0.45">
      <c r="A233" s="169">
        <v>2605750157</v>
      </c>
      <c r="B233" s="169">
        <v>57</v>
      </c>
      <c r="C233" s="169" t="s">
        <v>1551</v>
      </c>
      <c r="D233" s="169">
        <v>57</v>
      </c>
      <c r="E233" s="169" t="s">
        <v>1552</v>
      </c>
      <c r="F233" s="169" t="s">
        <v>4203</v>
      </c>
      <c r="G233" s="169" t="s">
        <v>4204</v>
      </c>
      <c r="H233" s="169">
        <v>2</v>
      </c>
      <c r="I233" s="169" t="s">
        <v>1681</v>
      </c>
      <c r="J233" s="169" t="s">
        <v>1403</v>
      </c>
      <c r="K233" s="169">
        <v>2026</v>
      </c>
      <c r="L233" s="170">
        <v>2026</v>
      </c>
      <c r="M233" s="171">
        <v>45913</v>
      </c>
      <c r="N233" s="169" t="s">
        <v>36</v>
      </c>
      <c r="O233" s="169">
        <v>57</v>
      </c>
      <c r="P233" s="169">
        <v>1756</v>
      </c>
      <c r="Q233" s="169" t="s">
        <v>2784</v>
      </c>
      <c r="R233" s="169">
        <v>2</v>
      </c>
      <c r="S233" s="169">
        <v>3</v>
      </c>
      <c r="T233" s="169" t="s">
        <v>1477</v>
      </c>
      <c r="U233" s="169">
        <v>4</v>
      </c>
      <c r="V233" s="170">
        <v>2680093</v>
      </c>
      <c r="W233" s="170">
        <v>0</v>
      </c>
      <c r="X233" s="170" t="s">
        <v>1406</v>
      </c>
      <c r="Y233" s="169"/>
      <c r="Z233" s="169" t="s">
        <v>32</v>
      </c>
      <c r="AA233" s="171">
        <v>46013</v>
      </c>
      <c r="AB233" s="169">
        <v>26</v>
      </c>
      <c r="AC233" s="169">
        <v>80093</v>
      </c>
      <c r="AD233" s="169">
        <v>57</v>
      </c>
      <c r="AE233" s="169" t="s">
        <v>1551</v>
      </c>
      <c r="AF233" s="169">
        <v>57</v>
      </c>
      <c r="AG233" s="169" t="s">
        <v>1552</v>
      </c>
      <c r="AH233" s="169" t="s">
        <v>36</v>
      </c>
      <c r="AI233" s="169">
        <v>57</v>
      </c>
      <c r="AJ233" s="169">
        <v>1756</v>
      </c>
      <c r="AK233" s="169" t="s">
        <v>1407</v>
      </c>
      <c r="AL233" s="169">
        <v>28032</v>
      </c>
      <c r="AM233" s="169" t="s">
        <v>1421</v>
      </c>
      <c r="AN233" s="169" t="s">
        <v>1545</v>
      </c>
      <c r="AO233" s="169">
        <v>28</v>
      </c>
      <c r="AP233" s="169" t="s">
        <v>1416</v>
      </c>
      <c r="AQ233" s="169">
        <v>0</v>
      </c>
      <c r="AR233" s="169" t="s">
        <v>1410</v>
      </c>
      <c r="AS233" s="169"/>
      <c r="AT233" s="169" t="s">
        <v>1417</v>
      </c>
      <c r="AU233" s="169" t="s">
        <v>1412</v>
      </c>
    </row>
    <row r="234" spans="1:47" x14ac:dyDescent="0.45">
      <c r="A234" s="169">
        <v>2605750159</v>
      </c>
      <c r="B234" s="169">
        <v>57</v>
      </c>
      <c r="C234" s="169" t="s">
        <v>1551</v>
      </c>
      <c r="D234" s="169">
        <v>57</v>
      </c>
      <c r="E234" s="169" t="s">
        <v>1552</v>
      </c>
      <c r="F234" s="169" t="s">
        <v>4205</v>
      </c>
      <c r="G234" s="169" t="s">
        <v>4206</v>
      </c>
      <c r="H234" s="169">
        <v>2</v>
      </c>
      <c r="I234" s="169" t="s">
        <v>3365</v>
      </c>
      <c r="J234" s="169" t="s">
        <v>1403</v>
      </c>
      <c r="K234" s="169">
        <v>0</v>
      </c>
      <c r="L234" s="170">
        <v>2026</v>
      </c>
      <c r="M234" s="171">
        <v>45951</v>
      </c>
      <c r="N234" s="169" t="s">
        <v>36</v>
      </c>
      <c r="O234" s="169">
        <v>7</v>
      </c>
      <c r="P234" s="169">
        <v>266</v>
      </c>
      <c r="Q234" s="169" t="s">
        <v>1526</v>
      </c>
      <c r="R234" s="169">
        <v>2</v>
      </c>
      <c r="S234" s="169">
        <v>1</v>
      </c>
      <c r="T234" s="169" t="s">
        <v>1527</v>
      </c>
      <c r="U234" s="169">
        <v>3</v>
      </c>
      <c r="V234" s="170">
        <v>2680039</v>
      </c>
      <c r="W234" s="170">
        <v>0</v>
      </c>
      <c r="X234" s="170" t="s">
        <v>1406</v>
      </c>
      <c r="Y234" s="169"/>
      <c r="Z234" s="169" t="s">
        <v>32</v>
      </c>
      <c r="AA234" s="171">
        <v>45969</v>
      </c>
      <c r="AB234" s="169">
        <v>26</v>
      </c>
      <c r="AC234" s="169">
        <v>80039</v>
      </c>
      <c r="AD234" s="169">
        <v>57</v>
      </c>
      <c r="AE234" s="169" t="s">
        <v>1551</v>
      </c>
      <c r="AF234" s="169">
        <v>57</v>
      </c>
      <c r="AG234" s="169" t="s">
        <v>1552</v>
      </c>
      <c r="AH234" s="169" t="s">
        <v>36</v>
      </c>
      <c r="AI234" s="169">
        <v>7</v>
      </c>
      <c r="AJ234" s="169">
        <v>266</v>
      </c>
      <c r="AK234" s="169" t="s">
        <v>1407</v>
      </c>
      <c r="AL234" s="169">
        <v>28116</v>
      </c>
      <c r="AM234" s="169" t="s">
        <v>1418</v>
      </c>
      <c r="AN234" s="169" t="s">
        <v>1559</v>
      </c>
      <c r="AO234" s="169">
        <v>28</v>
      </c>
      <c r="AP234" s="169" t="s">
        <v>1416</v>
      </c>
      <c r="AQ234" s="169">
        <v>0</v>
      </c>
      <c r="AR234" s="169" t="s">
        <v>1410</v>
      </c>
      <c r="AS234" s="169"/>
      <c r="AT234" s="169" t="s">
        <v>1411</v>
      </c>
      <c r="AU234" s="169" t="s">
        <v>1412</v>
      </c>
    </row>
    <row r="235" spans="1:47" x14ac:dyDescent="0.45">
      <c r="A235" s="169">
        <v>2605750160</v>
      </c>
      <c r="B235" s="169">
        <v>57</v>
      </c>
      <c r="C235" s="169" t="s">
        <v>1551</v>
      </c>
      <c r="D235" s="169">
        <v>57</v>
      </c>
      <c r="E235" s="169" t="s">
        <v>1552</v>
      </c>
      <c r="F235" s="169" t="s">
        <v>4207</v>
      </c>
      <c r="G235" s="169" t="s">
        <v>4208</v>
      </c>
      <c r="H235" s="169">
        <v>2</v>
      </c>
      <c r="I235" s="169" t="s">
        <v>4209</v>
      </c>
      <c r="J235" s="169" t="s">
        <v>1403</v>
      </c>
      <c r="K235" s="169">
        <v>0</v>
      </c>
      <c r="L235" s="170">
        <v>2026</v>
      </c>
      <c r="M235" s="171">
        <v>45948</v>
      </c>
      <c r="N235" s="169" t="s">
        <v>36</v>
      </c>
      <c r="O235" s="169">
        <v>6</v>
      </c>
      <c r="P235" s="169">
        <v>488</v>
      </c>
      <c r="Q235" s="169" t="s">
        <v>1553</v>
      </c>
      <c r="R235" s="169">
        <v>2</v>
      </c>
      <c r="S235" s="169">
        <v>1</v>
      </c>
      <c r="T235" s="169" t="s">
        <v>1527</v>
      </c>
      <c r="U235" s="169">
        <v>3</v>
      </c>
      <c r="V235" s="170">
        <v>2680132</v>
      </c>
      <c r="W235" s="170">
        <v>0</v>
      </c>
      <c r="X235" s="170" t="s">
        <v>1406</v>
      </c>
      <c r="Y235" s="169"/>
      <c r="Z235" s="169" t="s">
        <v>32</v>
      </c>
      <c r="AA235" s="171">
        <v>46043</v>
      </c>
      <c r="AB235" s="169">
        <v>26</v>
      </c>
      <c r="AC235" s="169">
        <v>80132</v>
      </c>
      <c r="AD235" s="169">
        <v>57</v>
      </c>
      <c r="AE235" s="169" t="s">
        <v>1551</v>
      </c>
      <c r="AF235" s="169">
        <v>57</v>
      </c>
      <c r="AG235" s="169" t="s">
        <v>1552</v>
      </c>
      <c r="AH235" s="169" t="s">
        <v>36</v>
      </c>
      <c r="AI235" s="169">
        <v>6</v>
      </c>
      <c r="AJ235" s="169">
        <v>488</v>
      </c>
      <c r="AK235" s="169" t="s">
        <v>1407</v>
      </c>
      <c r="AL235" s="169">
        <v>99999</v>
      </c>
      <c r="AM235" s="169" t="s">
        <v>1408</v>
      </c>
      <c r="AN235" s="169" t="s">
        <v>2920</v>
      </c>
      <c r="AO235" s="169">
        <v>99</v>
      </c>
      <c r="AP235" s="169" t="s">
        <v>1409</v>
      </c>
      <c r="AQ235" s="169">
        <v>0</v>
      </c>
      <c r="AR235" s="169" t="s">
        <v>1410</v>
      </c>
      <c r="AS235" s="169"/>
      <c r="AT235" s="169" t="s">
        <v>1411</v>
      </c>
      <c r="AU235" s="169" t="s">
        <v>1412</v>
      </c>
    </row>
    <row r="236" spans="1:47" x14ac:dyDescent="0.45">
      <c r="A236" s="169">
        <v>2605750163</v>
      </c>
      <c r="B236" s="169">
        <v>57</v>
      </c>
      <c r="C236" s="169" t="s">
        <v>1551</v>
      </c>
      <c r="D236" s="169">
        <v>57</v>
      </c>
      <c r="E236" s="169" t="s">
        <v>1552</v>
      </c>
      <c r="F236" s="169" t="s">
        <v>4210</v>
      </c>
      <c r="G236" s="169" t="s">
        <v>4211</v>
      </c>
      <c r="H236" s="169">
        <v>1</v>
      </c>
      <c r="I236" s="169" t="s">
        <v>1296</v>
      </c>
      <c r="J236" s="169" t="s">
        <v>1403</v>
      </c>
      <c r="K236" s="169">
        <v>2026</v>
      </c>
      <c r="L236" s="170">
        <v>2026</v>
      </c>
      <c r="M236" s="171">
        <v>45945</v>
      </c>
      <c r="N236" s="169" t="s">
        <v>36</v>
      </c>
      <c r="O236" s="169">
        <v>58</v>
      </c>
      <c r="P236" s="169">
        <v>290</v>
      </c>
      <c r="Q236" s="169" t="s">
        <v>1496</v>
      </c>
      <c r="R236" s="169">
        <v>2</v>
      </c>
      <c r="S236" s="169">
        <v>2</v>
      </c>
      <c r="T236" s="169" t="s">
        <v>1464</v>
      </c>
      <c r="U236" s="169">
        <v>1</v>
      </c>
      <c r="V236" s="170">
        <v>2680048</v>
      </c>
      <c r="W236" s="170">
        <v>0</v>
      </c>
      <c r="X236" s="170" t="s">
        <v>1406</v>
      </c>
      <c r="Y236" s="169"/>
      <c r="Z236" s="169" t="s">
        <v>32</v>
      </c>
      <c r="AA236" s="171">
        <v>45975</v>
      </c>
      <c r="AB236" s="169">
        <v>26</v>
      </c>
      <c r="AC236" s="169">
        <v>80048</v>
      </c>
      <c r="AD236" s="169">
        <v>57</v>
      </c>
      <c r="AE236" s="169" t="s">
        <v>1551</v>
      </c>
      <c r="AF236" s="169">
        <v>57</v>
      </c>
      <c r="AG236" s="169" t="s">
        <v>1552</v>
      </c>
      <c r="AH236" s="169" t="s">
        <v>36</v>
      </c>
      <c r="AI236" s="169">
        <v>58</v>
      </c>
      <c r="AJ236" s="169">
        <v>290</v>
      </c>
      <c r="AK236" s="169" t="s">
        <v>1407</v>
      </c>
      <c r="AL236" s="169">
        <v>28024</v>
      </c>
      <c r="AM236" s="169" t="s">
        <v>1421</v>
      </c>
      <c r="AN236" s="169" t="s">
        <v>1535</v>
      </c>
      <c r="AO236" s="169">
        <v>28</v>
      </c>
      <c r="AP236" s="169" t="s">
        <v>1416</v>
      </c>
      <c r="AQ236" s="169">
        <v>0</v>
      </c>
      <c r="AR236" s="169" t="s">
        <v>1410</v>
      </c>
      <c r="AS236" s="169"/>
      <c r="AT236" s="169" t="s">
        <v>1417</v>
      </c>
      <c r="AU236" s="169" t="s">
        <v>1412</v>
      </c>
    </row>
    <row r="237" spans="1:47" x14ac:dyDescent="0.45">
      <c r="A237" s="169">
        <v>2605750165</v>
      </c>
      <c r="B237" s="169">
        <v>57</v>
      </c>
      <c r="C237" s="169" t="s">
        <v>1551</v>
      </c>
      <c r="D237" s="169">
        <v>57</v>
      </c>
      <c r="E237" s="169" t="s">
        <v>1552</v>
      </c>
      <c r="F237" s="169" t="s">
        <v>4212</v>
      </c>
      <c r="G237" s="169" t="s">
        <v>4213</v>
      </c>
      <c r="H237" s="169">
        <v>2</v>
      </c>
      <c r="I237" s="169" t="s">
        <v>4214</v>
      </c>
      <c r="J237" s="169" t="s">
        <v>1403</v>
      </c>
      <c r="K237" s="169">
        <v>2026</v>
      </c>
      <c r="L237" s="170">
        <v>2026</v>
      </c>
      <c r="M237" s="171">
        <v>45932</v>
      </c>
      <c r="N237" s="169" t="s">
        <v>36</v>
      </c>
      <c r="O237" s="169">
        <v>57</v>
      </c>
      <c r="P237" s="169">
        <v>1044</v>
      </c>
      <c r="Q237" s="169" t="s">
        <v>1476</v>
      </c>
      <c r="R237" s="169">
        <v>2</v>
      </c>
      <c r="S237" s="169">
        <v>3</v>
      </c>
      <c r="T237" s="169" t="s">
        <v>1477</v>
      </c>
      <c r="U237" s="169">
        <v>4</v>
      </c>
      <c r="V237" s="170">
        <v>0</v>
      </c>
      <c r="W237" s="170">
        <v>0</v>
      </c>
      <c r="X237" s="170" t="s">
        <v>1406</v>
      </c>
      <c r="Y237" s="169"/>
      <c r="Z237" s="169" t="s">
        <v>32</v>
      </c>
      <c r="AA237" s="169"/>
      <c r="AB237" s="169">
        <v>0</v>
      </c>
      <c r="AC237" s="169">
        <v>0</v>
      </c>
      <c r="AD237" s="169">
        <v>0</v>
      </c>
      <c r="AE237" s="169" t="s">
        <v>1446</v>
      </c>
      <c r="AF237" s="169"/>
      <c r="AG237" s="169" t="s">
        <v>1446</v>
      </c>
      <c r="AH237" s="169"/>
      <c r="AI237" s="169"/>
      <c r="AJ237" s="169">
        <v>0</v>
      </c>
      <c r="AK237" s="169" t="s">
        <v>1410</v>
      </c>
      <c r="AL237" s="169">
        <v>28224</v>
      </c>
      <c r="AM237" s="169" t="s">
        <v>1414</v>
      </c>
      <c r="AN237" s="169" t="s">
        <v>1621</v>
      </c>
      <c r="AO237" s="169">
        <v>28</v>
      </c>
      <c r="AP237" s="169" t="s">
        <v>1416</v>
      </c>
      <c r="AQ237" s="169">
        <v>0</v>
      </c>
      <c r="AR237" s="169" t="s">
        <v>1410</v>
      </c>
      <c r="AS237" s="169"/>
      <c r="AT237" s="169" t="s">
        <v>1417</v>
      </c>
      <c r="AU237" s="169" t="s">
        <v>1412</v>
      </c>
    </row>
    <row r="238" spans="1:47" x14ac:dyDescent="0.45">
      <c r="A238" s="169">
        <v>2605750166</v>
      </c>
      <c r="B238" s="169">
        <v>57</v>
      </c>
      <c r="C238" s="169" t="s">
        <v>1551</v>
      </c>
      <c r="D238" s="169">
        <v>57</v>
      </c>
      <c r="E238" s="169" t="s">
        <v>1552</v>
      </c>
      <c r="F238" s="169" t="s">
        <v>4215</v>
      </c>
      <c r="G238" s="169" t="s">
        <v>4216</v>
      </c>
      <c r="H238" s="169">
        <v>2</v>
      </c>
      <c r="I238" s="169" t="s">
        <v>4217</v>
      </c>
      <c r="J238" s="169" t="s">
        <v>1403</v>
      </c>
      <c r="K238" s="169">
        <v>2026</v>
      </c>
      <c r="L238" s="170">
        <v>2026</v>
      </c>
      <c r="M238" s="171">
        <v>45960</v>
      </c>
      <c r="N238" s="169" t="s">
        <v>36</v>
      </c>
      <c r="O238" s="169">
        <v>57</v>
      </c>
      <c r="P238" s="169">
        <v>1044</v>
      </c>
      <c r="Q238" s="169" t="s">
        <v>1476</v>
      </c>
      <c r="R238" s="169">
        <v>2</v>
      </c>
      <c r="S238" s="169">
        <v>3</v>
      </c>
      <c r="T238" s="169" t="s">
        <v>1477</v>
      </c>
      <c r="U238" s="169">
        <v>4</v>
      </c>
      <c r="V238" s="170">
        <v>0</v>
      </c>
      <c r="W238" s="170">
        <v>0</v>
      </c>
      <c r="X238" s="170" t="s">
        <v>1406</v>
      </c>
      <c r="Y238" s="169"/>
      <c r="Z238" s="169" t="s">
        <v>32</v>
      </c>
      <c r="AA238" s="169"/>
      <c r="AB238" s="169">
        <v>0</v>
      </c>
      <c r="AC238" s="169">
        <v>0</v>
      </c>
      <c r="AD238" s="169">
        <v>0</v>
      </c>
      <c r="AE238" s="169" t="s">
        <v>1446</v>
      </c>
      <c r="AF238" s="169"/>
      <c r="AG238" s="169" t="s">
        <v>1446</v>
      </c>
      <c r="AH238" s="169"/>
      <c r="AI238" s="169"/>
      <c r="AJ238" s="169">
        <v>0</v>
      </c>
      <c r="AK238" s="169" t="s">
        <v>1410</v>
      </c>
      <c r="AL238" s="169">
        <v>1347</v>
      </c>
      <c r="AM238" s="169" t="s">
        <v>1421</v>
      </c>
      <c r="AN238" s="169" t="s">
        <v>1445</v>
      </c>
      <c r="AO238" s="169">
        <v>1</v>
      </c>
      <c r="AP238" s="169" t="s">
        <v>1443</v>
      </c>
      <c r="AQ238" s="169">
        <v>0</v>
      </c>
      <c r="AR238" s="169" t="s">
        <v>1410</v>
      </c>
      <c r="AS238" s="169"/>
      <c r="AT238" s="169" t="s">
        <v>1417</v>
      </c>
      <c r="AU238" s="169" t="s">
        <v>1412</v>
      </c>
    </row>
    <row r="239" spans="1:47" x14ac:dyDescent="0.45">
      <c r="A239" s="169">
        <v>2605750168</v>
      </c>
      <c r="B239" s="169">
        <v>57</v>
      </c>
      <c r="C239" s="169" t="s">
        <v>1551</v>
      </c>
      <c r="D239" s="169">
        <v>57</v>
      </c>
      <c r="E239" s="169" t="s">
        <v>1552</v>
      </c>
      <c r="F239" s="169" t="s">
        <v>4218</v>
      </c>
      <c r="G239" s="169" t="s">
        <v>4219</v>
      </c>
      <c r="H239" s="169">
        <v>1</v>
      </c>
      <c r="I239" s="169" t="s">
        <v>1215</v>
      </c>
      <c r="J239" s="169" t="s">
        <v>1403</v>
      </c>
      <c r="K239" s="169">
        <v>2026</v>
      </c>
      <c r="L239" s="170">
        <v>2026</v>
      </c>
      <c r="M239" s="171">
        <v>45932</v>
      </c>
      <c r="N239" s="169" t="s">
        <v>36</v>
      </c>
      <c r="O239" s="169">
        <v>58</v>
      </c>
      <c r="P239" s="169">
        <v>427</v>
      </c>
      <c r="Q239" s="169" t="s">
        <v>1479</v>
      </c>
      <c r="R239" s="169">
        <v>2</v>
      </c>
      <c r="S239" s="169">
        <v>2</v>
      </c>
      <c r="T239" s="169" t="s">
        <v>1464</v>
      </c>
      <c r="U239" s="169">
        <v>1</v>
      </c>
      <c r="V239" s="170">
        <v>0</v>
      </c>
      <c r="W239" s="170">
        <v>0</v>
      </c>
      <c r="X239" s="170" t="s">
        <v>1406</v>
      </c>
      <c r="Y239" s="171">
        <v>45965</v>
      </c>
      <c r="Z239" s="169" t="s">
        <v>32</v>
      </c>
      <c r="AA239" s="169"/>
      <c r="AB239" s="169">
        <v>0</v>
      </c>
      <c r="AC239" s="169">
        <v>0</v>
      </c>
      <c r="AD239" s="169">
        <v>0</v>
      </c>
      <c r="AE239" s="169" t="s">
        <v>1446</v>
      </c>
      <c r="AF239" s="169"/>
      <c r="AG239" s="169" t="s">
        <v>1446</v>
      </c>
      <c r="AH239" s="169"/>
      <c r="AI239" s="169"/>
      <c r="AJ239" s="169">
        <v>0</v>
      </c>
      <c r="AK239" s="169" t="s">
        <v>1410</v>
      </c>
      <c r="AL239" s="169">
        <v>28185</v>
      </c>
      <c r="AM239" s="169" t="s">
        <v>1418</v>
      </c>
      <c r="AN239" s="169" t="s">
        <v>1438</v>
      </c>
      <c r="AO239" s="169">
        <v>28</v>
      </c>
      <c r="AP239" s="169" t="s">
        <v>1416</v>
      </c>
      <c r="AQ239" s="169">
        <v>0</v>
      </c>
      <c r="AR239" s="169" t="s">
        <v>1410</v>
      </c>
      <c r="AS239" s="169"/>
      <c r="AT239" s="169" t="s">
        <v>1417</v>
      </c>
      <c r="AU239" s="169" t="s">
        <v>1412</v>
      </c>
    </row>
    <row r="240" spans="1:47" x14ac:dyDescent="0.45">
      <c r="A240" s="169">
        <v>2605750169</v>
      </c>
      <c r="B240" s="169">
        <v>57</v>
      </c>
      <c r="C240" s="169" t="s">
        <v>1551</v>
      </c>
      <c r="D240" s="169">
        <v>57</v>
      </c>
      <c r="E240" s="169" t="s">
        <v>1552</v>
      </c>
      <c r="F240" s="169" t="s">
        <v>4220</v>
      </c>
      <c r="G240" s="169" t="s">
        <v>4221</v>
      </c>
      <c r="H240" s="169">
        <v>1</v>
      </c>
      <c r="I240" s="169" t="s">
        <v>2030</v>
      </c>
      <c r="J240" s="169" t="s">
        <v>1403</v>
      </c>
      <c r="K240" s="169">
        <v>0</v>
      </c>
      <c r="L240" s="170">
        <v>2026</v>
      </c>
      <c r="M240" s="171">
        <v>45954</v>
      </c>
      <c r="N240" s="169" t="s">
        <v>36</v>
      </c>
      <c r="O240" s="169">
        <v>57</v>
      </c>
      <c r="P240" s="169">
        <v>1044</v>
      </c>
      <c r="Q240" s="169" t="s">
        <v>1476</v>
      </c>
      <c r="R240" s="169">
        <v>2</v>
      </c>
      <c r="S240" s="169">
        <v>3</v>
      </c>
      <c r="T240" s="169" t="s">
        <v>1477</v>
      </c>
      <c r="U240" s="169">
        <v>4</v>
      </c>
      <c r="V240" s="170">
        <v>2680040</v>
      </c>
      <c r="W240" s="170">
        <v>0</v>
      </c>
      <c r="X240" s="170" t="s">
        <v>1406</v>
      </c>
      <c r="Y240" s="169"/>
      <c r="Z240" s="169" t="s">
        <v>32</v>
      </c>
      <c r="AA240" s="171">
        <v>45969</v>
      </c>
      <c r="AB240" s="169">
        <v>26</v>
      </c>
      <c r="AC240" s="169">
        <v>80040</v>
      </c>
      <c r="AD240" s="169">
        <v>57</v>
      </c>
      <c r="AE240" s="169" t="s">
        <v>1551</v>
      </c>
      <c r="AF240" s="169">
        <v>57</v>
      </c>
      <c r="AG240" s="169" t="s">
        <v>1552</v>
      </c>
      <c r="AH240" s="169" t="s">
        <v>36</v>
      </c>
      <c r="AI240" s="169">
        <v>57</v>
      </c>
      <c r="AJ240" s="169">
        <v>1044</v>
      </c>
      <c r="AK240" s="169" t="s">
        <v>1407</v>
      </c>
      <c r="AL240" s="169">
        <v>28192</v>
      </c>
      <c r="AM240" s="169" t="s">
        <v>1418</v>
      </c>
      <c r="AN240" s="169" t="s">
        <v>2812</v>
      </c>
      <c r="AO240" s="169">
        <v>28</v>
      </c>
      <c r="AP240" s="169" t="s">
        <v>1416</v>
      </c>
      <c r="AQ240" s="169">
        <v>0</v>
      </c>
      <c r="AR240" s="169" t="s">
        <v>1410</v>
      </c>
      <c r="AS240" s="169"/>
      <c r="AT240" s="169" t="s">
        <v>1411</v>
      </c>
      <c r="AU240" s="169" t="s">
        <v>1412</v>
      </c>
    </row>
    <row r="241" spans="1:47" x14ac:dyDescent="0.45">
      <c r="A241" s="169">
        <v>2605750170</v>
      </c>
      <c r="B241" s="169">
        <v>57</v>
      </c>
      <c r="C241" s="169" t="s">
        <v>1551</v>
      </c>
      <c r="D241" s="169">
        <v>57</v>
      </c>
      <c r="E241" s="169" t="s">
        <v>1552</v>
      </c>
      <c r="F241" s="169" t="s">
        <v>4222</v>
      </c>
      <c r="G241" s="169" t="s">
        <v>4223</v>
      </c>
      <c r="H241" s="169">
        <v>1</v>
      </c>
      <c r="I241" s="169" t="s">
        <v>678</v>
      </c>
      <c r="J241" s="169" t="s">
        <v>1403</v>
      </c>
      <c r="K241" s="169">
        <v>2026</v>
      </c>
      <c r="L241" s="170">
        <v>2026</v>
      </c>
      <c r="M241" s="171">
        <v>45975</v>
      </c>
      <c r="N241" s="169" t="s">
        <v>36</v>
      </c>
      <c r="O241" s="169">
        <v>58</v>
      </c>
      <c r="P241" s="169">
        <v>428</v>
      </c>
      <c r="Q241" s="169" t="s">
        <v>1463</v>
      </c>
      <c r="R241" s="169">
        <v>2</v>
      </c>
      <c r="S241" s="169">
        <v>2</v>
      </c>
      <c r="T241" s="169" t="s">
        <v>1464</v>
      </c>
      <c r="U241" s="169">
        <v>1</v>
      </c>
      <c r="V241" s="170">
        <v>0</v>
      </c>
      <c r="W241" s="170">
        <v>0</v>
      </c>
      <c r="X241" s="170" t="s">
        <v>1406</v>
      </c>
      <c r="Y241" s="169"/>
      <c r="Z241" s="169" t="s">
        <v>32</v>
      </c>
      <c r="AA241" s="169"/>
      <c r="AB241" s="169">
        <v>0</v>
      </c>
      <c r="AC241" s="169">
        <v>0</v>
      </c>
      <c r="AD241" s="169">
        <v>0</v>
      </c>
      <c r="AE241" s="169" t="s">
        <v>1446</v>
      </c>
      <c r="AF241" s="169"/>
      <c r="AG241" s="169" t="s">
        <v>1446</v>
      </c>
      <c r="AH241" s="169"/>
      <c r="AI241" s="169"/>
      <c r="AJ241" s="169">
        <v>0</v>
      </c>
      <c r="AK241" s="169" t="s">
        <v>1407</v>
      </c>
      <c r="AL241" s="169">
        <v>28121</v>
      </c>
      <c r="AM241" s="169" t="s">
        <v>1418</v>
      </c>
      <c r="AN241" s="169" t="s">
        <v>1556</v>
      </c>
      <c r="AO241" s="169">
        <v>28</v>
      </c>
      <c r="AP241" s="169" t="s">
        <v>1416</v>
      </c>
      <c r="AQ241" s="169">
        <v>0</v>
      </c>
      <c r="AR241" s="169" t="s">
        <v>1410</v>
      </c>
      <c r="AS241" s="169"/>
      <c r="AT241" s="169" t="s">
        <v>1417</v>
      </c>
      <c r="AU241" s="169" t="s">
        <v>1412</v>
      </c>
    </row>
    <row r="242" spans="1:47" x14ac:dyDescent="0.45">
      <c r="A242" s="169">
        <v>2605750171</v>
      </c>
      <c r="B242" s="169">
        <v>57</v>
      </c>
      <c r="C242" s="169" t="s">
        <v>1551</v>
      </c>
      <c r="D242" s="169">
        <v>57</v>
      </c>
      <c r="E242" s="169" t="s">
        <v>1552</v>
      </c>
      <c r="F242" s="169" t="s">
        <v>4224</v>
      </c>
      <c r="G242" s="169" t="s">
        <v>4225</v>
      </c>
      <c r="H242" s="169">
        <v>1</v>
      </c>
      <c r="I242" s="169" t="s">
        <v>4226</v>
      </c>
      <c r="J242" s="169" t="s">
        <v>1403</v>
      </c>
      <c r="K242" s="169">
        <v>0</v>
      </c>
      <c r="L242" s="170">
        <v>2026</v>
      </c>
      <c r="M242" s="171">
        <v>45937</v>
      </c>
      <c r="N242" s="169" t="s">
        <v>36</v>
      </c>
      <c r="O242" s="169">
        <v>58</v>
      </c>
      <c r="P242" s="169">
        <v>428</v>
      </c>
      <c r="Q242" s="169" t="s">
        <v>1463</v>
      </c>
      <c r="R242" s="169">
        <v>2</v>
      </c>
      <c r="S242" s="169">
        <v>2</v>
      </c>
      <c r="T242" s="169" t="s">
        <v>1464</v>
      </c>
      <c r="U242" s="169">
        <v>1</v>
      </c>
      <c r="V242" s="170">
        <v>0</v>
      </c>
      <c r="W242" s="170">
        <v>0</v>
      </c>
      <c r="X242" s="170" t="s">
        <v>1406</v>
      </c>
      <c r="Y242" s="169"/>
      <c r="Z242" s="169" t="s">
        <v>32</v>
      </c>
      <c r="AA242" s="169"/>
      <c r="AB242" s="169">
        <v>0</v>
      </c>
      <c r="AC242" s="169">
        <v>0</v>
      </c>
      <c r="AD242" s="169">
        <v>0</v>
      </c>
      <c r="AE242" s="169" t="s">
        <v>1446</v>
      </c>
      <c r="AF242" s="169"/>
      <c r="AG242" s="169" t="s">
        <v>1446</v>
      </c>
      <c r="AH242" s="169"/>
      <c r="AI242" s="169"/>
      <c r="AJ242" s="169">
        <v>0</v>
      </c>
      <c r="AK242" s="169" t="s">
        <v>1407</v>
      </c>
      <c r="AL242" s="169">
        <v>28261</v>
      </c>
      <c r="AM242" s="169" t="s">
        <v>1414</v>
      </c>
      <c r="AN242" s="169" t="s">
        <v>1586</v>
      </c>
      <c r="AO242" s="169">
        <v>28</v>
      </c>
      <c r="AP242" s="169" t="s">
        <v>1416</v>
      </c>
      <c r="AQ242" s="169">
        <v>0</v>
      </c>
      <c r="AR242" s="169" t="s">
        <v>1410</v>
      </c>
      <c r="AS242" s="169"/>
      <c r="AT242" s="169" t="s">
        <v>1411</v>
      </c>
      <c r="AU242" s="169" t="s">
        <v>1412</v>
      </c>
    </row>
    <row r="243" spans="1:47" x14ac:dyDescent="0.45">
      <c r="A243" s="169">
        <v>2605769001</v>
      </c>
      <c r="B243" s="169">
        <v>57</v>
      </c>
      <c r="C243" s="169" t="s">
        <v>1551</v>
      </c>
      <c r="D243" s="169">
        <v>57</v>
      </c>
      <c r="E243" s="169" t="s">
        <v>1552</v>
      </c>
      <c r="F243" s="169" t="s">
        <v>4227</v>
      </c>
      <c r="G243" s="169" t="s">
        <v>4228</v>
      </c>
      <c r="H243" s="169">
        <v>2</v>
      </c>
      <c r="I243" s="169" t="s">
        <v>4229</v>
      </c>
      <c r="J243" s="169" t="s">
        <v>1403</v>
      </c>
      <c r="K243" s="169">
        <v>0</v>
      </c>
      <c r="L243" s="170">
        <v>2026</v>
      </c>
      <c r="M243" s="171">
        <v>45896</v>
      </c>
      <c r="N243" s="169" t="s">
        <v>3545</v>
      </c>
      <c r="O243" s="169" t="s">
        <v>3546</v>
      </c>
      <c r="P243" s="169">
        <v>194</v>
      </c>
      <c r="Q243" s="169" t="s">
        <v>3547</v>
      </c>
      <c r="R243" s="169">
        <v>1</v>
      </c>
      <c r="S243" s="169">
        <v>37</v>
      </c>
      <c r="T243" s="169" t="s">
        <v>3548</v>
      </c>
      <c r="U243" s="169">
        <v>28</v>
      </c>
      <c r="V243" s="170">
        <v>2680402</v>
      </c>
      <c r="W243" s="170">
        <v>0</v>
      </c>
      <c r="X243" s="170" t="s">
        <v>1406</v>
      </c>
      <c r="Y243" s="169"/>
      <c r="Z243" s="169" t="s">
        <v>2958</v>
      </c>
      <c r="AA243" s="171">
        <v>45903</v>
      </c>
      <c r="AB243" s="169">
        <v>26</v>
      </c>
      <c r="AC243" s="169">
        <v>80402</v>
      </c>
      <c r="AD243" s="169">
        <v>57</v>
      </c>
      <c r="AE243" s="169" t="s">
        <v>1551</v>
      </c>
      <c r="AF243" s="169">
        <v>57</v>
      </c>
      <c r="AG243" s="169" t="s">
        <v>1552</v>
      </c>
      <c r="AH243" s="169" t="s">
        <v>3545</v>
      </c>
      <c r="AI243" s="169" t="s">
        <v>3546</v>
      </c>
      <c r="AJ243" s="169">
        <v>194</v>
      </c>
      <c r="AK243" s="169" t="s">
        <v>1407</v>
      </c>
      <c r="AL243" s="169">
        <v>36057</v>
      </c>
      <c r="AM243" s="169" t="s">
        <v>1421</v>
      </c>
      <c r="AN243" s="169" t="s">
        <v>4230</v>
      </c>
      <c r="AO243" s="169">
        <v>36</v>
      </c>
      <c r="AP243" s="169" t="s">
        <v>1603</v>
      </c>
      <c r="AQ243" s="169">
        <v>0</v>
      </c>
      <c r="AR243" s="169" t="s">
        <v>1410</v>
      </c>
      <c r="AS243" s="169"/>
      <c r="AT243" s="169" t="s">
        <v>1411</v>
      </c>
      <c r="AU243" s="169" t="s">
        <v>2958</v>
      </c>
    </row>
    <row r="244" spans="1:47" x14ac:dyDescent="0.45">
      <c r="A244" s="169">
        <v>2605769002</v>
      </c>
      <c r="B244" s="169">
        <v>57</v>
      </c>
      <c r="C244" s="169" t="s">
        <v>1551</v>
      </c>
      <c r="D244" s="169">
        <v>57</v>
      </c>
      <c r="E244" s="169" t="s">
        <v>1552</v>
      </c>
      <c r="F244" s="169" t="s">
        <v>3542</v>
      </c>
      <c r="G244" s="169" t="s">
        <v>3543</v>
      </c>
      <c r="H244" s="169">
        <v>1</v>
      </c>
      <c r="I244" s="169" t="s">
        <v>3544</v>
      </c>
      <c r="J244" s="169" t="s">
        <v>1403</v>
      </c>
      <c r="K244" s="169">
        <v>0</v>
      </c>
      <c r="L244" s="170">
        <v>2026</v>
      </c>
      <c r="M244" s="171">
        <v>45896</v>
      </c>
      <c r="N244" s="169" t="s">
        <v>3545</v>
      </c>
      <c r="O244" s="169" t="s">
        <v>3546</v>
      </c>
      <c r="P244" s="169">
        <v>194</v>
      </c>
      <c r="Q244" s="169" t="s">
        <v>3547</v>
      </c>
      <c r="R244" s="169">
        <v>1</v>
      </c>
      <c r="S244" s="169">
        <v>37</v>
      </c>
      <c r="T244" s="169" t="s">
        <v>3548</v>
      </c>
      <c r="U244" s="169">
        <v>28</v>
      </c>
      <c r="V244" s="170">
        <v>2680401</v>
      </c>
      <c r="W244" s="170">
        <v>0</v>
      </c>
      <c r="X244" s="170" t="s">
        <v>1406</v>
      </c>
      <c r="Y244" s="169"/>
      <c r="Z244" s="169" t="s">
        <v>2958</v>
      </c>
      <c r="AA244" s="171">
        <v>45897</v>
      </c>
      <c r="AB244" s="169">
        <v>26</v>
      </c>
      <c r="AC244" s="169">
        <v>80401</v>
      </c>
      <c r="AD244" s="169">
        <v>57</v>
      </c>
      <c r="AE244" s="169" t="s">
        <v>1551</v>
      </c>
      <c r="AF244" s="169">
        <v>57</v>
      </c>
      <c r="AG244" s="169" t="s">
        <v>1552</v>
      </c>
      <c r="AH244" s="169" t="s">
        <v>3545</v>
      </c>
      <c r="AI244" s="169" t="s">
        <v>3546</v>
      </c>
      <c r="AJ244" s="169">
        <v>194</v>
      </c>
      <c r="AK244" s="169" t="s">
        <v>1407</v>
      </c>
      <c r="AL244" s="169">
        <v>28215</v>
      </c>
      <c r="AM244" s="169" t="s">
        <v>1418</v>
      </c>
      <c r="AN244" s="169" t="s">
        <v>3549</v>
      </c>
      <c r="AO244" s="169">
        <v>28</v>
      </c>
      <c r="AP244" s="169" t="s">
        <v>1416</v>
      </c>
      <c r="AQ244" s="169">
        <v>0</v>
      </c>
      <c r="AR244" s="169" t="s">
        <v>1410</v>
      </c>
      <c r="AS244" s="169"/>
      <c r="AT244" s="169" t="s">
        <v>1411</v>
      </c>
      <c r="AU244" s="169" t="s">
        <v>2958</v>
      </c>
    </row>
    <row r="245" spans="1:47" x14ac:dyDescent="0.45">
      <c r="A245" s="169">
        <v>2605770001</v>
      </c>
      <c r="B245" s="169">
        <v>57</v>
      </c>
      <c r="C245" s="169" t="s">
        <v>1551</v>
      </c>
      <c r="D245" s="169">
        <v>57</v>
      </c>
      <c r="E245" s="169" t="s">
        <v>1552</v>
      </c>
      <c r="F245" s="169" t="s">
        <v>4237</v>
      </c>
      <c r="G245" s="169" t="s">
        <v>4238</v>
      </c>
      <c r="H245" s="169">
        <v>1</v>
      </c>
      <c r="I245" s="169" t="s">
        <v>531</v>
      </c>
      <c r="J245" s="169" t="s">
        <v>1403</v>
      </c>
      <c r="K245" s="169">
        <v>0</v>
      </c>
      <c r="L245" s="170">
        <v>2026</v>
      </c>
      <c r="M245" s="171">
        <v>46064</v>
      </c>
      <c r="N245" s="169" t="s">
        <v>36</v>
      </c>
      <c r="O245" s="169">
        <v>6</v>
      </c>
      <c r="P245" s="169">
        <v>488</v>
      </c>
      <c r="Q245" s="169" t="s">
        <v>1553</v>
      </c>
      <c r="R245" s="169">
        <v>2</v>
      </c>
      <c r="S245" s="169">
        <v>1</v>
      </c>
      <c r="T245" s="169" t="s">
        <v>1527</v>
      </c>
      <c r="U245" s="169">
        <v>3</v>
      </c>
      <c r="V245" s="170">
        <v>0</v>
      </c>
      <c r="W245" s="170">
        <v>0</v>
      </c>
      <c r="X245" s="170" t="s">
        <v>1406</v>
      </c>
      <c r="Y245" s="169"/>
      <c r="Z245" s="169" t="s">
        <v>3563</v>
      </c>
      <c r="AA245" s="169"/>
      <c r="AB245" s="169">
        <v>0</v>
      </c>
      <c r="AC245" s="169">
        <v>0</v>
      </c>
      <c r="AD245" s="169">
        <v>0</v>
      </c>
      <c r="AE245" s="169" t="s">
        <v>1446</v>
      </c>
      <c r="AF245" s="169"/>
      <c r="AG245" s="169" t="s">
        <v>1446</v>
      </c>
      <c r="AH245" s="169"/>
      <c r="AI245" s="169"/>
      <c r="AJ245" s="169">
        <v>0</v>
      </c>
      <c r="AK245" s="169" t="s">
        <v>1407</v>
      </c>
      <c r="AL245" s="169">
        <v>28098</v>
      </c>
      <c r="AM245" s="169" t="s">
        <v>1418</v>
      </c>
      <c r="AN245" s="169" t="s">
        <v>1448</v>
      </c>
      <c r="AO245" s="169">
        <v>28</v>
      </c>
      <c r="AP245" s="169" t="s">
        <v>1416</v>
      </c>
      <c r="AQ245" s="169">
        <v>0</v>
      </c>
      <c r="AR245" s="169"/>
      <c r="AS245" s="169"/>
      <c r="AT245" s="169" t="s">
        <v>1411</v>
      </c>
      <c r="AU245" s="169" t="s">
        <v>1412</v>
      </c>
    </row>
    <row r="246" spans="1:47" x14ac:dyDescent="0.45">
      <c r="A246" s="169">
        <v>2605770002</v>
      </c>
      <c r="B246" s="169">
        <v>57</v>
      </c>
      <c r="C246" s="169" t="s">
        <v>1551</v>
      </c>
      <c r="D246" s="169">
        <v>57</v>
      </c>
      <c r="E246" s="169" t="s">
        <v>1552</v>
      </c>
      <c r="F246" s="169" t="s">
        <v>3550</v>
      </c>
      <c r="G246" s="169" t="s">
        <v>3551</v>
      </c>
      <c r="H246" s="169">
        <v>2</v>
      </c>
      <c r="I246" s="169" t="s">
        <v>3552</v>
      </c>
      <c r="J246" s="169" t="s">
        <v>1403</v>
      </c>
      <c r="K246" s="169">
        <v>0</v>
      </c>
      <c r="L246" s="170">
        <v>2026</v>
      </c>
      <c r="M246" s="171">
        <v>46007</v>
      </c>
      <c r="N246" s="169" t="s">
        <v>36</v>
      </c>
      <c r="O246" s="169" t="s">
        <v>3553</v>
      </c>
      <c r="P246" s="169">
        <v>95</v>
      </c>
      <c r="Q246" s="169" t="s">
        <v>3554</v>
      </c>
      <c r="R246" s="169">
        <v>1</v>
      </c>
      <c r="S246" s="169">
        <v>37</v>
      </c>
      <c r="T246" s="169" t="s">
        <v>3548</v>
      </c>
      <c r="U246" s="169">
        <v>28</v>
      </c>
      <c r="V246" s="170">
        <v>2680098</v>
      </c>
      <c r="W246" s="170">
        <v>0</v>
      </c>
      <c r="X246" s="170" t="s">
        <v>1406</v>
      </c>
      <c r="Y246" s="169"/>
      <c r="Z246" s="169" t="s">
        <v>3555</v>
      </c>
      <c r="AA246" s="171">
        <v>46013</v>
      </c>
      <c r="AB246" s="169">
        <v>26</v>
      </c>
      <c r="AC246" s="169">
        <v>80098</v>
      </c>
      <c r="AD246" s="169">
        <v>57</v>
      </c>
      <c r="AE246" s="169" t="s">
        <v>1551</v>
      </c>
      <c r="AF246" s="169">
        <v>57</v>
      </c>
      <c r="AG246" s="169" t="s">
        <v>1552</v>
      </c>
      <c r="AH246" s="169" t="s">
        <v>36</v>
      </c>
      <c r="AI246" s="169" t="s">
        <v>3553</v>
      </c>
      <c r="AJ246" s="169">
        <v>95</v>
      </c>
      <c r="AK246" s="169" t="s">
        <v>1407</v>
      </c>
      <c r="AL246" s="169">
        <v>28038</v>
      </c>
      <c r="AM246" s="169" t="s">
        <v>1414</v>
      </c>
      <c r="AN246" s="169" t="s">
        <v>3556</v>
      </c>
      <c r="AO246" s="169">
        <v>28</v>
      </c>
      <c r="AP246" s="169" t="s">
        <v>1416</v>
      </c>
      <c r="AQ246" s="169">
        <v>0</v>
      </c>
      <c r="AR246" s="169" t="s">
        <v>1410</v>
      </c>
      <c r="AS246" s="169"/>
      <c r="AT246" s="169" t="s">
        <v>1411</v>
      </c>
      <c r="AU246" s="169" t="s">
        <v>1412</v>
      </c>
    </row>
    <row r="247" spans="1:47" x14ac:dyDescent="0.45">
      <c r="A247" s="169">
        <v>2613000001</v>
      </c>
      <c r="B247" s="169">
        <v>130</v>
      </c>
      <c r="C247" s="169" t="s">
        <v>1401</v>
      </c>
      <c r="D247" s="169">
        <v>130</v>
      </c>
      <c r="E247" s="169" t="s">
        <v>1402</v>
      </c>
      <c r="F247" s="169" t="s">
        <v>3497</v>
      </c>
      <c r="G247" s="169" t="s">
        <v>3498</v>
      </c>
      <c r="H247" s="169">
        <v>1</v>
      </c>
      <c r="I247" s="169" t="s">
        <v>3499</v>
      </c>
      <c r="J247" s="169" t="s">
        <v>1403</v>
      </c>
      <c r="K247" s="169">
        <v>2026</v>
      </c>
      <c r="L247" s="170">
        <v>2026</v>
      </c>
      <c r="M247" s="171">
        <v>46006</v>
      </c>
      <c r="N247" s="169" t="s">
        <v>36</v>
      </c>
      <c r="O247" s="169" t="s">
        <v>501</v>
      </c>
      <c r="P247" s="169">
        <v>1726</v>
      </c>
      <c r="Q247" s="169" t="s">
        <v>1430</v>
      </c>
      <c r="R247" s="169">
        <v>2</v>
      </c>
      <c r="S247" s="169">
        <v>34</v>
      </c>
      <c r="T247" s="169" t="s">
        <v>1431</v>
      </c>
      <c r="U247" s="169">
        <v>12</v>
      </c>
      <c r="V247" s="170">
        <v>0</v>
      </c>
      <c r="W247" s="170">
        <v>0</v>
      </c>
      <c r="X247" s="170" t="s">
        <v>1406</v>
      </c>
      <c r="Y247" s="169"/>
      <c r="Z247" s="169" t="s">
        <v>1407</v>
      </c>
      <c r="AA247" s="169"/>
      <c r="AB247" s="169">
        <v>0</v>
      </c>
      <c r="AC247" s="169">
        <v>0</v>
      </c>
      <c r="AD247" s="169">
        <v>0</v>
      </c>
      <c r="AE247" s="169" t="s">
        <v>1446</v>
      </c>
      <c r="AF247" s="169"/>
      <c r="AG247" s="169" t="s">
        <v>1446</v>
      </c>
      <c r="AH247" s="169"/>
      <c r="AI247" s="169"/>
      <c r="AJ247" s="169">
        <v>0</v>
      </c>
      <c r="AK247" s="169" t="s">
        <v>1410</v>
      </c>
      <c r="AL247" s="169">
        <v>28247</v>
      </c>
      <c r="AM247" s="169" t="s">
        <v>1418</v>
      </c>
      <c r="AN247" s="169" t="s">
        <v>1419</v>
      </c>
      <c r="AO247" s="169">
        <v>28</v>
      </c>
      <c r="AP247" s="169" t="s">
        <v>1416</v>
      </c>
      <c r="AQ247" s="169">
        <v>0</v>
      </c>
      <c r="AR247" s="169" t="s">
        <v>1410</v>
      </c>
      <c r="AS247" s="169"/>
      <c r="AT247" s="169" t="s">
        <v>1417</v>
      </c>
      <c r="AU247" s="169" t="s">
        <v>1412</v>
      </c>
    </row>
    <row r="248" spans="1:47" x14ac:dyDescent="0.45">
      <c r="A248" s="169">
        <v>2613000002</v>
      </c>
      <c r="B248" s="169">
        <v>130</v>
      </c>
      <c r="C248" s="169" t="s">
        <v>1401</v>
      </c>
      <c r="D248" s="169">
        <v>130</v>
      </c>
      <c r="E248" s="169" t="s">
        <v>1402</v>
      </c>
      <c r="F248" s="169" t="s">
        <v>3500</v>
      </c>
      <c r="G248" s="169" t="s">
        <v>3501</v>
      </c>
      <c r="H248" s="169">
        <v>1</v>
      </c>
      <c r="I248" s="169" t="s">
        <v>3502</v>
      </c>
      <c r="J248" s="169" t="s">
        <v>1403</v>
      </c>
      <c r="K248" s="169">
        <v>2026</v>
      </c>
      <c r="L248" s="170">
        <v>2026</v>
      </c>
      <c r="M248" s="171">
        <v>46013</v>
      </c>
      <c r="N248" s="169" t="s">
        <v>36</v>
      </c>
      <c r="O248" s="169" t="s">
        <v>472</v>
      </c>
      <c r="P248" s="169">
        <v>1043</v>
      </c>
      <c r="Q248" s="169" t="s">
        <v>1404</v>
      </c>
      <c r="R248" s="169">
        <v>2</v>
      </c>
      <c r="S248" s="169">
        <v>6</v>
      </c>
      <c r="T248" s="169" t="s">
        <v>1405</v>
      </c>
      <c r="U248" s="169">
        <v>5</v>
      </c>
      <c r="V248" s="170">
        <v>0</v>
      </c>
      <c r="W248" s="170">
        <v>0</v>
      </c>
      <c r="X248" s="170" t="s">
        <v>1406</v>
      </c>
      <c r="Y248" s="169"/>
      <c r="Z248" s="169" t="s">
        <v>1407</v>
      </c>
      <c r="AA248" s="169"/>
      <c r="AB248" s="169">
        <v>0</v>
      </c>
      <c r="AC248" s="169">
        <v>0</v>
      </c>
      <c r="AD248" s="169">
        <v>0</v>
      </c>
      <c r="AE248" s="169" t="s">
        <v>1446</v>
      </c>
      <c r="AF248" s="169"/>
      <c r="AG248" s="169" t="s">
        <v>1446</v>
      </c>
      <c r="AH248" s="169"/>
      <c r="AI248" s="169"/>
      <c r="AJ248" s="169">
        <v>0</v>
      </c>
      <c r="AK248" s="169" t="s">
        <v>1407</v>
      </c>
      <c r="AL248" s="169">
        <v>13976</v>
      </c>
      <c r="AM248" s="169" t="s">
        <v>1421</v>
      </c>
      <c r="AN248" s="169" t="s">
        <v>3503</v>
      </c>
      <c r="AO248" s="169">
        <v>13</v>
      </c>
      <c r="AP248" s="169" t="s">
        <v>3414</v>
      </c>
      <c r="AQ248" s="169">
        <v>0</v>
      </c>
      <c r="AR248" s="169" t="s">
        <v>1410</v>
      </c>
      <c r="AS248" s="169"/>
      <c r="AT248" s="169" t="s">
        <v>1417</v>
      </c>
      <c r="AU248" s="169" t="s">
        <v>1412</v>
      </c>
    </row>
    <row r="249" spans="1:47" x14ac:dyDescent="0.45">
      <c r="A249" s="169">
        <v>2613000003</v>
      </c>
      <c r="B249" s="169">
        <v>130</v>
      </c>
      <c r="C249" s="169" t="s">
        <v>1401</v>
      </c>
      <c r="D249" s="169">
        <v>130</v>
      </c>
      <c r="E249" s="169" t="s">
        <v>1402</v>
      </c>
      <c r="F249" s="169" t="s">
        <v>3533</v>
      </c>
      <c r="G249" s="169" t="s">
        <v>3534</v>
      </c>
      <c r="H249" s="169">
        <v>1</v>
      </c>
      <c r="I249" s="169" t="s">
        <v>3535</v>
      </c>
      <c r="J249" s="169" t="s">
        <v>1403</v>
      </c>
      <c r="K249" s="169">
        <v>2026</v>
      </c>
      <c r="L249" s="170">
        <v>2026</v>
      </c>
      <c r="M249" s="171">
        <v>46048</v>
      </c>
      <c r="N249" s="169" t="s">
        <v>36</v>
      </c>
      <c r="O249" s="169" t="s">
        <v>501</v>
      </c>
      <c r="P249" s="169">
        <v>1726</v>
      </c>
      <c r="Q249" s="169" t="s">
        <v>1430</v>
      </c>
      <c r="R249" s="169">
        <v>2</v>
      </c>
      <c r="S249" s="169">
        <v>34</v>
      </c>
      <c r="T249" s="169" t="s">
        <v>1431</v>
      </c>
      <c r="U249" s="169">
        <v>12</v>
      </c>
      <c r="V249" s="170">
        <v>2622034</v>
      </c>
      <c r="W249" s="170">
        <v>0</v>
      </c>
      <c r="X249" s="170" t="s">
        <v>1406</v>
      </c>
      <c r="Y249" s="169"/>
      <c r="Z249" s="169" t="s">
        <v>1424</v>
      </c>
      <c r="AA249" s="171">
        <v>46063</v>
      </c>
      <c r="AB249" s="169">
        <v>26</v>
      </c>
      <c r="AC249" s="169">
        <v>22034</v>
      </c>
      <c r="AD249" s="169">
        <v>130</v>
      </c>
      <c r="AE249" s="169" t="s">
        <v>1401</v>
      </c>
      <c r="AF249" s="169">
        <v>130</v>
      </c>
      <c r="AG249" s="169" t="s">
        <v>1402</v>
      </c>
      <c r="AH249" s="169" t="s">
        <v>36</v>
      </c>
      <c r="AI249" s="169" t="s">
        <v>501</v>
      </c>
      <c r="AJ249" s="169">
        <v>1726</v>
      </c>
      <c r="AK249" s="169" t="s">
        <v>1407</v>
      </c>
      <c r="AL249" s="169">
        <v>28168</v>
      </c>
      <c r="AM249" s="169" t="s">
        <v>1418</v>
      </c>
      <c r="AN249" s="169" t="s">
        <v>1475</v>
      </c>
      <c r="AO249" s="169">
        <v>28</v>
      </c>
      <c r="AP249" s="169" t="s">
        <v>1416</v>
      </c>
      <c r="AQ249" s="169">
        <v>0</v>
      </c>
      <c r="AR249" s="169" t="s">
        <v>1410</v>
      </c>
      <c r="AS249" s="169"/>
      <c r="AT249" s="169" t="s">
        <v>1417</v>
      </c>
      <c r="AU249" s="169" t="s">
        <v>1412</v>
      </c>
    </row>
    <row r="250" spans="1:47" x14ac:dyDescent="0.45">
      <c r="A250" s="169">
        <v>2613000801</v>
      </c>
      <c r="B250" s="169">
        <v>130</v>
      </c>
      <c r="C250" s="169" t="s">
        <v>1401</v>
      </c>
      <c r="D250" s="169">
        <v>130</v>
      </c>
      <c r="E250" s="169" t="s">
        <v>1402</v>
      </c>
      <c r="F250" s="169" t="s">
        <v>3520</v>
      </c>
      <c r="G250" s="169" t="s">
        <v>3521</v>
      </c>
      <c r="H250" s="169">
        <v>2</v>
      </c>
      <c r="I250" s="169" t="s">
        <v>1960</v>
      </c>
      <c r="J250" s="169" t="s">
        <v>1403</v>
      </c>
      <c r="K250" s="169">
        <v>0</v>
      </c>
      <c r="L250" s="170">
        <v>2026</v>
      </c>
      <c r="M250" s="171">
        <v>46029</v>
      </c>
      <c r="N250" s="169" t="s">
        <v>36</v>
      </c>
      <c r="O250" s="169" t="s">
        <v>472</v>
      </c>
      <c r="P250" s="169">
        <v>1043</v>
      </c>
      <c r="Q250" s="169" t="s">
        <v>1404</v>
      </c>
      <c r="R250" s="169">
        <v>2</v>
      </c>
      <c r="S250" s="169">
        <v>6</v>
      </c>
      <c r="T250" s="169" t="s">
        <v>1405</v>
      </c>
      <c r="U250" s="169">
        <v>5</v>
      </c>
      <c r="V250" s="170">
        <v>0</v>
      </c>
      <c r="W250" s="170">
        <v>0</v>
      </c>
      <c r="X250" s="170" t="s">
        <v>1406</v>
      </c>
      <c r="Y250" s="169"/>
      <c r="Z250" s="169" t="s">
        <v>3067</v>
      </c>
      <c r="AA250" s="169"/>
      <c r="AB250" s="169">
        <v>0</v>
      </c>
      <c r="AC250" s="169">
        <v>0</v>
      </c>
      <c r="AD250" s="169">
        <v>0</v>
      </c>
      <c r="AE250" s="169" t="s">
        <v>1446</v>
      </c>
      <c r="AF250" s="169"/>
      <c r="AG250" s="169" t="s">
        <v>1446</v>
      </c>
      <c r="AH250" s="169"/>
      <c r="AI250" s="169"/>
      <c r="AJ250" s="169">
        <v>0</v>
      </c>
      <c r="AK250" s="169" t="s">
        <v>1407</v>
      </c>
      <c r="AL250" s="169">
        <v>0</v>
      </c>
      <c r="AM250" s="169" t="s">
        <v>1408</v>
      </c>
      <c r="AN250" s="169" t="s">
        <v>2800</v>
      </c>
      <c r="AO250" s="169">
        <v>0</v>
      </c>
      <c r="AP250" s="169"/>
      <c r="AQ250" s="169">
        <v>1</v>
      </c>
      <c r="AR250" s="169" t="s">
        <v>1424</v>
      </c>
      <c r="AS250" s="169" t="s">
        <v>1410</v>
      </c>
      <c r="AT250" s="169" t="s">
        <v>1411</v>
      </c>
      <c r="AU250" s="169" t="s">
        <v>1412</v>
      </c>
    </row>
    <row r="251" spans="1:47" x14ac:dyDescent="0.45">
      <c r="A251" s="169">
        <v>2613000802</v>
      </c>
      <c r="B251" s="169">
        <v>130</v>
      </c>
      <c r="C251" s="169" t="s">
        <v>1401</v>
      </c>
      <c r="D251" s="169">
        <v>130</v>
      </c>
      <c r="E251" s="169" t="s">
        <v>1402</v>
      </c>
      <c r="F251" s="169" t="s">
        <v>3528</v>
      </c>
      <c r="G251" s="169" t="s">
        <v>3529</v>
      </c>
      <c r="H251" s="169">
        <v>1</v>
      </c>
      <c r="I251" s="169" t="s">
        <v>429</v>
      </c>
      <c r="J251" s="169" t="s">
        <v>1403</v>
      </c>
      <c r="K251" s="169">
        <v>0</v>
      </c>
      <c r="L251" s="170">
        <v>2026</v>
      </c>
      <c r="M251" s="171">
        <v>46038</v>
      </c>
      <c r="N251" s="169" t="s">
        <v>36</v>
      </c>
      <c r="O251" s="169" t="s">
        <v>472</v>
      </c>
      <c r="P251" s="169">
        <v>1043</v>
      </c>
      <c r="Q251" s="169" t="s">
        <v>1404</v>
      </c>
      <c r="R251" s="169">
        <v>2</v>
      </c>
      <c r="S251" s="169">
        <v>6</v>
      </c>
      <c r="T251" s="169" t="s">
        <v>1405</v>
      </c>
      <c r="U251" s="169">
        <v>5</v>
      </c>
      <c r="V251" s="170">
        <v>0</v>
      </c>
      <c r="W251" s="170">
        <v>0</v>
      </c>
      <c r="X251" s="170" t="s">
        <v>1406</v>
      </c>
      <c r="Y251" s="169"/>
      <c r="Z251" s="169" t="s">
        <v>3067</v>
      </c>
      <c r="AA251" s="169"/>
      <c r="AB251" s="169">
        <v>0</v>
      </c>
      <c r="AC251" s="169">
        <v>0</v>
      </c>
      <c r="AD251" s="169">
        <v>0</v>
      </c>
      <c r="AE251" s="169" t="s">
        <v>1446</v>
      </c>
      <c r="AF251" s="169"/>
      <c r="AG251" s="169" t="s">
        <v>1446</v>
      </c>
      <c r="AH251" s="169"/>
      <c r="AI251" s="169"/>
      <c r="AJ251" s="169">
        <v>0</v>
      </c>
      <c r="AK251" s="169" t="s">
        <v>1407</v>
      </c>
      <c r="AL251" s="169">
        <v>50338</v>
      </c>
      <c r="AM251" s="169" t="s">
        <v>1408</v>
      </c>
      <c r="AN251" s="169" t="s">
        <v>3496</v>
      </c>
      <c r="AO251" s="169">
        <v>27</v>
      </c>
      <c r="AP251" s="169" t="s">
        <v>1581</v>
      </c>
      <c r="AQ251" s="169">
        <v>2</v>
      </c>
      <c r="AR251" s="169" t="s">
        <v>1424</v>
      </c>
      <c r="AS251" s="169" t="s">
        <v>1410</v>
      </c>
      <c r="AT251" s="169" t="s">
        <v>1411</v>
      </c>
      <c r="AU251" s="169" t="s">
        <v>1412</v>
      </c>
    </row>
    <row r="252" spans="1:47" x14ac:dyDescent="0.45">
      <c r="A252" s="169">
        <v>2613050001</v>
      </c>
      <c r="B252" s="169">
        <v>130</v>
      </c>
      <c r="C252" s="169" t="s">
        <v>1401</v>
      </c>
      <c r="D252" s="169">
        <v>130</v>
      </c>
      <c r="E252" s="169" t="s">
        <v>1402</v>
      </c>
      <c r="F252" s="169" t="s">
        <v>3452</v>
      </c>
      <c r="G252" s="169" t="s">
        <v>3453</v>
      </c>
      <c r="H252" s="169">
        <v>1</v>
      </c>
      <c r="I252" s="169" t="s">
        <v>825</v>
      </c>
      <c r="J252" s="169" t="s">
        <v>1403</v>
      </c>
      <c r="K252" s="169">
        <v>2026</v>
      </c>
      <c r="L252" s="170">
        <v>2026</v>
      </c>
      <c r="M252" s="171">
        <v>45953</v>
      </c>
      <c r="N252" s="169" t="s">
        <v>36</v>
      </c>
      <c r="O252" s="169" t="s">
        <v>485</v>
      </c>
      <c r="P252" s="169">
        <v>1131</v>
      </c>
      <c r="Q252" s="169" t="s">
        <v>1413</v>
      </c>
      <c r="R252" s="169">
        <v>3</v>
      </c>
      <c r="S252" s="169">
        <v>6</v>
      </c>
      <c r="T252" s="169" t="s">
        <v>1405</v>
      </c>
      <c r="U252" s="169">
        <v>5</v>
      </c>
      <c r="V252" s="170">
        <v>2622026</v>
      </c>
      <c r="W252" s="170">
        <v>0</v>
      </c>
      <c r="X252" s="170" t="s">
        <v>1406</v>
      </c>
      <c r="Y252" s="169"/>
      <c r="Z252" s="169" t="s">
        <v>32</v>
      </c>
      <c r="AA252" s="171">
        <v>46007</v>
      </c>
      <c r="AB252" s="169">
        <v>26</v>
      </c>
      <c r="AC252" s="169">
        <v>22026</v>
      </c>
      <c r="AD252" s="169">
        <v>130</v>
      </c>
      <c r="AE252" s="169" t="s">
        <v>1401</v>
      </c>
      <c r="AF252" s="169">
        <v>130</v>
      </c>
      <c r="AG252" s="169" t="s">
        <v>1402</v>
      </c>
      <c r="AH252" s="169" t="s">
        <v>36</v>
      </c>
      <c r="AI252" s="169" t="s">
        <v>485</v>
      </c>
      <c r="AJ252" s="169">
        <v>1131</v>
      </c>
      <c r="AK252" s="169" t="s">
        <v>1407</v>
      </c>
      <c r="AL252" s="169">
        <v>43091</v>
      </c>
      <c r="AM252" s="169" t="s">
        <v>1421</v>
      </c>
      <c r="AN252" s="169" t="s">
        <v>2833</v>
      </c>
      <c r="AO252" s="169">
        <v>43</v>
      </c>
      <c r="AP252" s="169" t="s">
        <v>2834</v>
      </c>
      <c r="AQ252" s="169">
        <v>0</v>
      </c>
      <c r="AR252" s="169" t="s">
        <v>1410</v>
      </c>
      <c r="AS252" s="169"/>
      <c r="AT252" s="169" t="s">
        <v>1417</v>
      </c>
      <c r="AU252" s="169" t="s">
        <v>1412</v>
      </c>
    </row>
    <row r="253" spans="1:47" x14ac:dyDescent="0.45">
      <c r="A253" s="169">
        <v>2613050004</v>
      </c>
      <c r="B253" s="169">
        <v>130</v>
      </c>
      <c r="C253" s="169" t="s">
        <v>1401</v>
      </c>
      <c r="D253" s="169">
        <v>130</v>
      </c>
      <c r="E253" s="169" t="s">
        <v>1402</v>
      </c>
      <c r="F253" s="169" t="s">
        <v>3186</v>
      </c>
      <c r="G253" s="169" t="s">
        <v>3187</v>
      </c>
      <c r="H253" s="169">
        <v>2</v>
      </c>
      <c r="I253" s="169" t="s">
        <v>3188</v>
      </c>
      <c r="J253" s="169" t="s">
        <v>1403</v>
      </c>
      <c r="K253" s="169">
        <v>2026</v>
      </c>
      <c r="L253" s="170">
        <v>2026</v>
      </c>
      <c r="M253" s="171">
        <v>45944</v>
      </c>
      <c r="N253" s="169" t="s">
        <v>36</v>
      </c>
      <c r="O253" s="169" t="s">
        <v>472</v>
      </c>
      <c r="P253" s="169">
        <v>1043</v>
      </c>
      <c r="Q253" s="169" t="s">
        <v>1404</v>
      </c>
      <c r="R253" s="169">
        <v>2</v>
      </c>
      <c r="S253" s="169">
        <v>6</v>
      </c>
      <c r="T253" s="169" t="s">
        <v>1405</v>
      </c>
      <c r="U253" s="169">
        <v>5</v>
      </c>
      <c r="V253" s="170">
        <v>2622022</v>
      </c>
      <c r="W253" s="170">
        <v>0</v>
      </c>
      <c r="X253" s="170" t="s">
        <v>1406</v>
      </c>
      <c r="Y253" s="169"/>
      <c r="Z253" s="169" t="s">
        <v>32</v>
      </c>
      <c r="AA253" s="171">
        <v>45960</v>
      </c>
      <c r="AB253" s="169">
        <v>26</v>
      </c>
      <c r="AC253" s="169">
        <v>22022</v>
      </c>
      <c r="AD253" s="169">
        <v>130</v>
      </c>
      <c r="AE253" s="169" t="s">
        <v>1401</v>
      </c>
      <c r="AF253" s="169">
        <v>130</v>
      </c>
      <c r="AG253" s="169" t="s">
        <v>1402</v>
      </c>
      <c r="AH253" s="169" t="s">
        <v>36</v>
      </c>
      <c r="AI253" s="169" t="s">
        <v>472</v>
      </c>
      <c r="AJ253" s="169">
        <v>1043</v>
      </c>
      <c r="AK253" s="169" t="s">
        <v>1407</v>
      </c>
      <c r="AL253" s="169">
        <v>28269</v>
      </c>
      <c r="AM253" s="169" t="s">
        <v>1421</v>
      </c>
      <c r="AN253" s="169" t="s">
        <v>1450</v>
      </c>
      <c r="AO253" s="169">
        <v>28</v>
      </c>
      <c r="AP253" s="169" t="s">
        <v>1416</v>
      </c>
      <c r="AQ253" s="169">
        <v>0</v>
      </c>
      <c r="AR253" s="169" t="s">
        <v>1410</v>
      </c>
      <c r="AS253" s="169"/>
      <c r="AT253" s="169" t="s">
        <v>1417</v>
      </c>
      <c r="AU253" s="169" t="s">
        <v>1412</v>
      </c>
    </row>
    <row r="254" spans="1:47" x14ac:dyDescent="0.45">
      <c r="A254" s="169">
        <v>2613050006</v>
      </c>
      <c r="B254" s="169">
        <v>130</v>
      </c>
      <c r="C254" s="169" t="s">
        <v>1401</v>
      </c>
      <c r="D254" s="169">
        <v>130</v>
      </c>
      <c r="E254" s="169" t="s">
        <v>1402</v>
      </c>
      <c r="F254" s="169" t="s">
        <v>3189</v>
      </c>
      <c r="G254" s="169" t="s">
        <v>3190</v>
      </c>
      <c r="H254" s="169">
        <v>1</v>
      </c>
      <c r="I254" s="169" t="s">
        <v>2653</v>
      </c>
      <c r="J254" s="169" t="s">
        <v>1403</v>
      </c>
      <c r="K254" s="169">
        <v>2026</v>
      </c>
      <c r="L254" s="170">
        <v>2026</v>
      </c>
      <c r="M254" s="171">
        <v>45915</v>
      </c>
      <c r="N254" s="169" t="s">
        <v>36</v>
      </c>
      <c r="O254" s="169" t="s">
        <v>472</v>
      </c>
      <c r="P254" s="169">
        <v>1043</v>
      </c>
      <c r="Q254" s="169" t="s">
        <v>1404</v>
      </c>
      <c r="R254" s="169">
        <v>2</v>
      </c>
      <c r="S254" s="169">
        <v>6</v>
      </c>
      <c r="T254" s="169" t="s">
        <v>1405</v>
      </c>
      <c r="U254" s="169">
        <v>5</v>
      </c>
      <c r="V254" s="170">
        <v>2622013</v>
      </c>
      <c r="W254" s="170">
        <v>0</v>
      </c>
      <c r="X254" s="170" t="s">
        <v>1406</v>
      </c>
      <c r="Y254" s="169"/>
      <c r="Z254" s="169" t="s">
        <v>32</v>
      </c>
      <c r="AA254" s="171">
        <v>45944</v>
      </c>
      <c r="AB254" s="169">
        <v>26</v>
      </c>
      <c r="AC254" s="169">
        <v>22013</v>
      </c>
      <c r="AD254" s="169">
        <v>130</v>
      </c>
      <c r="AE254" s="169" t="s">
        <v>1401</v>
      </c>
      <c r="AF254" s="169">
        <v>130</v>
      </c>
      <c r="AG254" s="169" t="s">
        <v>1402</v>
      </c>
      <c r="AH254" s="169" t="s">
        <v>36</v>
      </c>
      <c r="AI254" s="169" t="s">
        <v>472</v>
      </c>
      <c r="AJ254" s="169">
        <v>1043</v>
      </c>
      <c r="AK254" s="169" t="s">
        <v>1407</v>
      </c>
      <c r="AL254" s="169">
        <v>47076</v>
      </c>
      <c r="AM254" s="169" t="s">
        <v>1421</v>
      </c>
      <c r="AN254" s="169" t="s">
        <v>1422</v>
      </c>
      <c r="AO254" s="169">
        <v>47</v>
      </c>
      <c r="AP254" s="169" t="s">
        <v>1423</v>
      </c>
      <c r="AQ254" s="169">
        <v>0</v>
      </c>
      <c r="AR254" s="169" t="s">
        <v>1410</v>
      </c>
      <c r="AS254" s="169"/>
      <c r="AT254" s="169" t="s">
        <v>1417</v>
      </c>
      <c r="AU254" s="169" t="s">
        <v>1412</v>
      </c>
    </row>
    <row r="255" spans="1:47" x14ac:dyDescent="0.45">
      <c r="A255" s="169">
        <v>2613050007</v>
      </c>
      <c r="B255" s="169">
        <v>130</v>
      </c>
      <c r="C255" s="169" t="s">
        <v>1401</v>
      </c>
      <c r="D255" s="169">
        <v>130</v>
      </c>
      <c r="E255" s="169" t="s">
        <v>1402</v>
      </c>
      <c r="F255" s="169" t="s">
        <v>3191</v>
      </c>
      <c r="G255" s="169" t="s">
        <v>3192</v>
      </c>
      <c r="H255" s="169">
        <v>1</v>
      </c>
      <c r="I255" s="169" t="s">
        <v>3193</v>
      </c>
      <c r="J255" s="169" t="s">
        <v>1403</v>
      </c>
      <c r="K255" s="169">
        <v>2026</v>
      </c>
      <c r="L255" s="170">
        <v>2026</v>
      </c>
      <c r="M255" s="171">
        <v>45901</v>
      </c>
      <c r="N255" s="169" t="s">
        <v>36</v>
      </c>
      <c r="O255" s="169" t="s">
        <v>501</v>
      </c>
      <c r="P255" s="169">
        <v>1726</v>
      </c>
      <c r="Q255" s="169" t="s">
        <v>1430</v>
      </c>
      <c r="R255" s="169">
        <v>2</v>
      </c>
      <c r="S255" s="169">
        <v>34</v>
      </c>
      <c r="T255" s="169" t="s">
        <v>1431</v>
      </c>
      <c r="U255" s="169">
        <v>12</v>
      </c>
      <c r="V255" s="170">
        <v>2622031</v>
      </c>
      <c r="W255" s="170">
        <v>0</v>
      </c>
      <c r="X255" s="170" t="s">
        <v>1406</v>
      </c>
      <c r="Y255" s="169"/>
      <c r="Z255" s="169" t="s">
        <v>32</v>
      </c>
      <c r="AA255" s="171">
        <v>46044</v>
      </c>
      <c r="AB255" s="169">
        <v>26</v>
      </c>
      <c r="AC255" s="169">
        <v>22031</v>
      </c>
      <c r="AD255" s="169">
        <v>130</v>
      </c>
      <c r="AE255" s="169" t="s">
        <v>1401</v>
      </c>
      <c r="AF255" s="169">
        <v>130</v>
      </c>
      <c r="AG255" s="169" t="s">
        <v>1402</v>
      </c>
      <c r="AH255" s="169" t="s">
        <v>36</v>
      </c>
      <c r="AI255" s="169" t="s">
        <v>501</v>
      </c>
      <c r="AJ255" s="169">
        <v>1726</v>
      </c>
      <c r="AK255" s="169" t="s">
        <v>1407</v>
      </c>
      <c r="AL255" s="169">
        <v>28247</v>
      </c>
      <c r="AM255" s="169" t="s">
        <v>1418</v>
      </c>
      <c r="AN255" s="169" t="s">
        <v>1419</v>
      </c>
      <c r="AO255" s="169">
        <v>28</v>
      </c>
      <c r="AP255" s="169" t="s">
        <v>1416</v>
      </c>
      <c r="AQ255" s="169">
        <v>0</v>
      </c>
      <c r="AR255" s="169" t="s">
        <v>1410</v>
      </c>
      <c r="AS255" s="169"/>
      <c r="AT255" s="169" t="s">
        <v>1417</v>
      </c>
      <c r="AU255" s="169" t="s">
        <v>1412</v>
      </c>
    </row>
    <row r="256" spans="1:47" x14ac:dyDescent="0.45">
      <c r="A256" s="169">
        <v>2613050008</v>
      </c>
      <c r="B256" s="169">
        <v>130</v>
      </c>
      <c r="C256" s="169" t="s">
        <v>1401</v>
      </c>
      <c r="D256" s="169">
        <v>130</v>
      </c>
      <c r="E256" s="169" t="s">
        <v>1402</v>
      </c>
      <c r="F256" s="169" t="s">
        <v>3194</v>
      </c>
      <c r="G256" s="169" t="s">
        <v>3195</v>
      </c>
      <c r="H256" s="169">
        <v>1</v>
      </c>
      <c r="I256" s="169" t="s">
        <v>3196</v>
      </c>
      <c r="J256" s="169" t="s">
        <v>1403</v>
      </c>
      <c r="K256" s="169">
        <v>2026</v>
      </c>
      <c r="L256" s="170">
        <v>2026</v>
      </c>
      <c r="M256" s="171">
        <v>45921</v>
      </c>
      <c r="N256" s="169" t="s">
        <v>36</v>
      </c>
      <c r="O256" s="169" t="s">
        <v>501</v>
      </c>
      <c r="P256" s="169">
        <v>1726</v>
      </c>
      <c r="Q256" s="169" t="s">
        <v>1430</v>
      </c>
      <c r="R256" s="169">
        <v>2</v>
      </c>
      <c r="S256" s="169">
        <v>34</v>
      </c>
      <c r="T256" s="169" t="s">
        <v>1431</v>
      </c>
      <c r="U256" s="169">
        <v>12</v>
      </c>
      <c r="V256" s="170">
        <v>2622023</v>
      </c>
      <c r="W256" s="170">
        <v>0</v>
      </c>
      <c r="X256" s="170" t="s">
        <v>1406</v>
      </c>
      <c r="Y256" s="169"/>
      <c r="Z256" s="169" t="s">
        <v>32</v>
      </c>
      <c r="AA256" s="171">
        <v>45960</v>
      </c>
      <c r="AB256" s="169">
        <v>26</v>
      </c>
      <c r="AC256" s="169">
        <v>22023</v>
      </c>
      <c r="AD256" s="169">
        <v>130</v>
      </c>
      <c r="AE256" s="169" t="s">
        <v>1401</v>
      </c>
      <c r="AF256" s="169">
        <v>130</v>
      </c>
      <c r="AG256" s="169" t="s">
        <v>1402</v>
      </c>
      <c r="AH256" s="169" t="s">
        <v>36</v>
      </c>
      <c r="AI256" s="169" t="s">
        <v>501</v>
      </c>
      <c r="AJ256" s="169">
        <v>1726</v>
      </c>
      <c r="AK256" s="169" t="s">
        <v>1407</v>
      </c>
      <c r="AL256" s="169">
        <v>28086</v>
      </c>
      <c r="AM256" s="169" t="s">
        <v>1418</v>
      </c>
      <c r="AN256" s="169" t="s">
        <v>3197</v>
      </c>
      <c r="AO256" s="169">
        <v>28</v>
      </c>
      <c r="AP256" s="169" t="s">
        <v>1416</v>
      </c>
      <c r="AQ256" s="169">
        <v>0</v>
      </c>
      <c r="AR256" s="169" t="s">
        <v>1410</v>
      </c>
      <c r="AS256" s="169"/>
      <c r="AT256" s="169" t="s">
        <v>1417</v>
      </c>
      <c r="AU256" s="169" t="s">
        <v>1412</v>
      </c>
    </row>
    <row r="257" spans="1:47" x14ac:dyDescent="0.45">
      <c r="A257" s="169">
        <v>2613050009</v>
      </c>
      <c r="B257" s="169">
        <v>130</v>
      </c>
      <c r="C257" s="169" t="s">
        <v>1401</v>
      </c>
      <c r="D257" s="169">
        <v>130</v>
      </c>
      <c r="E257" s="169" t="s">
        <v>1402</v>
      </c>
      <c r="F257" s="169" t="s">
        <v>3198</v>
      </c>
      <c r="G257" s="169" t="s">
        <v>3199</v>
      </c>
      <c r="H257" s="169">
        <v>1</v>
      </c>
      <c r="I257" s="169" t="s">
        <v>878</v>
      </c>
      <c r="J257" s="169" t="s">
        <v>1403</v>
      </c>
      <c r="K257" s="169">
        <v>2026</v>
      </c>
      <c r="L257" s="170">
        <v>2026</v>
      </c>
      <c r="M257" s="171">
        <v>45901</v>
      </c>
      <c r="N257" s="169" t="s">
        <v>36</v>
      </c>
      <c r="O257" s="169" t="s">
        <v>501</v>
      </c>
      <c r="P257" s="169">
        <v>1726</v>
      </c>
      <c r="Q257" s="169" t="s">
        <v>1430</v>
      </c>
      <c r="R257" s="169">
        <v>2</v>
      </c>
      <c r="S257" s="169">
        <v>34</v>
      </c>
      <c r="T257" s="169" t="s">
        <v>1431</v>
      </c>
      <c r="U257" s="169">
        <v>12</v>
      </c>
      <c r="V257" s="170">
        <v>2622028</v>
      </c>
      <c r="W257" s="170">
        <v>0</v>
      </c>
      <c r="X257" s="170" t="s">
        <v>1406</v>
      </c>
      <c r="Y257" s="169"/>
      <c r="Z257" s="169" t="s">
        <v>32</v>
      </c>
      <c r="AA257" s="171">
        <v>46031</v>
      </c>
      <c r="AB257" s="169">
        <v>26</v>
      </c>
      <c r="AC257" s="169">
        <v>22028</v>
      </c>
      <c r="AD257" s="169">
        <v>130</v>
      </c>
      <c r="AE257" s="169" t="s">
        <v>1401</v>
      </c>
      <c r="AF257" s="169">
        <v>130</v>
      </c>
      <c r="AG257" s="169" t="s">
        <v>1402</v>
      </c>
      <c r="AH257" s="169" t="s">
        <v>36</v>
      </c>
      <c r="AI257" s="169" t="s">
        <v>501</v>
      </c>
      <c r="AJ257" s="169">
        <v>1726</v>
      </c>
      <c r="AK257" s="169" t="s">
        <v>1407</v>
      </c>
      <c r="AL257" s="169">
        <v>1355</v>
      </c>
      <c r="AM257" s="169" t="s">
        <v>1421</v>
      </c>
      <c r="AN257" s="169" t="s">
        <v>1442</v>
      </c>
      <c r="AO257" s="169">
        <v>1</v>
      </c>
      <c r="AP257" s="169" t="s">
        <v>1443</v>
      </c>
      <c r="AQ257" s="169">
        <v>0</v>
      </c>
      <c r="AR257" s="169" t="s">
        <v>1410</v>
      </c>
      <c r="AS257" s="169"/>
      <c r="AT257" s="169" t="s">
        <v>1417</v>
      </c>
      <c r="AU257" s="169" t="s">
        <v>1412</v>
      </c>
    </row>
    <row r="258" spans="1:47" x14ac:dyDescent="0.45">
      <c r="A258" s="169">
        <v>2613050010</v>
      </c>
      <c r="B258" s="169">
        <v>130</v>
      </c>
      <c r="C258" s="169" t="s">
        <v>1401</v>
      </c>
      <c r="D258" s="169">
        <v>130</v>
      </c>
      <c r="E258" s="169" t="s">
        <v>1402</v>
      </c>
      <c r="F258" s="169" t="s">
        <v>3200</v>
      </c>
      <c r="G258" s="169" t="s">
        <v>3201</v>
      </c>
      <c r="H258" s="169">
        <v>1</v>
      </c>
      <c r="I258" s="169" t="s">
        <v>3202</v>
      </c>
      <c r="J258" s="169" t="s">
        <v>1403</v>
      </c>
      <c r="K258" s="169">
        <v>2026</v>
      </c>
      <c r="L258" s="170">
        <v>2026</v>
      </c>
      <c r="M258" s="171">
        <v>45915</v>
      </c>
      <c r="N258" s="169" t="s">
        <v>36</v>
      </c>
      <c r="O258" s="169" t="s">
        <v>501</v>
      </c>
      <c r="P258" s="169">
        <v>1726</v>
      </c>
      <c r="Q258" s="169" t="s">
        <v>1430</v>
      </c>
      <c r="R258" s="169">
        <v>2</v>
      </c>
      <c r="S258" s="169">
        <v>34</v>
      </c>
      <c r="T258" s="169" t="s">
        <v>1431</v>
      </c>
      <c r="U258" s="169">
        <v>12</v>
      </c>
      <c r="V258" s="170">
        <v>2622003</v>
      </c>
      <c r="W258" s="170">
        <v>0</v>
      </c>
      <c r="X258" s="170" t="s">
        <v>1406</v>
      </c>
      <c r="Y258" s="169"/>
      <c r="Z258" s="169" t="s">
        <v>32</v>
      </c>
      <c r="AA258" s="171">
        <v>45938</v>
      </c>
      <c r="AB258" s="169">
        <v>26</v>
      </c>
      <c r="AC258" s="169">
        <v>22003</v>
      </c>
      <c r="AD258" s="169">
        <v>130</v>
      </c>
      <c r="AE258" s="169" t="s">
        <v>1401</v>
      </c>
      <c r="AF258" s="169">
        <v>130</v>
      </c>
      <c r="AG258" s="169" t="s">
        <v>1402</v>
      </c>
      <c r="AH258" s="169" t="s">
        <v>36</v>
      </c>
      <c r="AI258" s="169" t="s">
        <v>501</v>
      </c>
      <c r="AJ258" s="169">
        <v>1726</v>
      </c>
      <c r="AK258" s="169" t="s">
        <v>1407</v>
      </c>
      <c r="AL258" s="169">
        <v>28099</v>
      </c>
      <c r="AM258" s="169" t="s">
        <v>1418</v>
      </c>
      <c r="AN258" s="169" t="s">
        <v>1447</v>
      </c>
      <c r="AO258" s="169">
        <v>28</v>
      </c>
      <c r="AP258" s="169" t="s">
        <v>1416</v>
      </c>
      <c r="AQ258" s="169">
        <v>0</v>
      </c>
      <c r="AR258" s="169" t="s">
        <v>1410</v>
      </c>
      <c r="AS258" s="169"/>
      <c r="AT258" s="169" t="s">
        <v>1417</v>
      </c>
      <c r="AU258" s="169" t="s">
        <v>1412</v>
      </c>
    </row>
    <row r="259" spans="1:47" x14ac:dyDescent="0.45">
      <c r="A259" s="169">
        <v>2613050011</v>
      </c>
      <c r="B259" s="169">
        <v>130</v>
      </c>
      <c r="C259" s="169" t="s">
        <v>1401</v>
      </c>
      <c r="D259" s="169">
        <v>130</v>
      </c>
      <c r="E259" s="169" t="s">
        <v>1402</v>
      </c>
      <c r="F259" s="169" t="s">
        <v>3203</v>
      </c>
      <c r="G259" s="169" t="s">
        <v>3204</v>
      </c>
      <c r="H259" s="169">
        <v>1</v>
      </c>
      <c r="I259" s="169" t="s">
        <v>3205</v>
      </c>
      <c r="J259" s="169" t="s">
        <v>1403</v>
      </c>
      <c r="K259" s="169">
        <v>2026</v>
      </c>
      <c r="L259" s="170">
        <v>2026</v>
      </c>
      <c r="M259" s="171">
        <v>45901</v>
      </c>
      <c r="N259" s="169" t="s">
        <v>36</v>
      </c>
      <c r="O259" s="169" t="s">
        <v>501</v>
      </c>
      <c r="P259" s="169">
        <v>1726</v>
      </c>
      <c r="Q259" s="169" t="s">
        <v>1430</v>
      </c>
      <c r="R259" s="169">
        <v>2</v>
      </c>
      <c r="S259" s="169">
        <v>34</v>
      </c>
      <c r="T259" s="169" t="s">
        <v>1431</v>
      </c>
      <c r="U259" s="169">
        <v>12</v>
      </c>
      <c r="V259" s="170">
        <v>2622029</v>
      </c>
      <c r="W259" s="170">
        <v>0</v>
      </c>
      <c r="X259" s="170" t="s">
        <v>1406</v>
      </c>
      <c r="Y259" s="169"/>
      <c r="Z259" s="169" t="s">
        <v>32</v>
      </c>
      <c r="AA259" s="171">
        <v>46041</v>
      </c>
      <c r="AB259" s="169">
        <v>26</v>
      </c>
      <c r="AC259" s="169">
        <v>22029</v>
      </c>
      <c r="AD259" s="169">
        <v>130</v>
      </c>
      <c r="AE259" s="169" t="s">
        <v>1401</v>
      </c>
      <c r="AF259" s="169">
        <v>130</v>
      </c>
      <c r="AG259" s="169" t="s">
        <v>1402</v>
      </c>
      <c r="AH259" s="169" t="s">
        <v>36</v>
      </c>
      <c r="AI259" s="169" t="s">
        <v>501</v>
      </c>
      <c r="AJ259" s="169">
        <v>1726</v>
      </c>
      <c r="AK259" s="169" t="s">
        <v>1407</v>
      </c>
      <c r="AL259" s="169">
        <v>28247</v>
      </c>
      <c r="AM259" s="169" t="s">
        <v>1418</v>
      </c>
      <c r="AN259" s="169" t="s">
        <v>1419</v>
      </c>
      <c r="AO259" s="169">
        <v>28</v>
      </c>
      <c r="AP259" s="169" t="s">
        <v>1416</v>
      </c>
      <c r="AQ259" s="169">
        <v>0</v>
      </c>
      <c r="AR259" s="169" t="s">
        <v>1410</v>
      </c>
      <c r="AS259" s="169"/>
      <c r="AT259" s="169" t="s">
        <v>1417</v>
      </c>
      <c r="AU259" s="169" t="s">
        <v>1412</v>
      </c>
    </row>
    <row r="260" spans="1:47" x14ac:dyDescent="0.45">
      <c r="A260" s="169">
        <v>2613050013</v>
      </c>
      <c r="B260" s="169">
        <v>130</v>
      </c>
      <c r="C260" s="169" t="s">
        <v>1401</v>
      </c>
      <c r="D260" s="169">
        <v>130</v>
      </c>
      <c r="E260" s="169" t="s">
        <v>1402</v>
      </c>
      <c r="F260" s="169" t="s">
        <v>3206</v>
      </c>
      <c r="G260" s="169" t="s">
        <v>3207</v>
      </c>
      <c r="H260" s="169">
        <v>1</v>
      </c>
      <c r="I260" s="169" t="s">
        <v>703</v>
      </c>
      <c r="J260" s="169" t="s">
        <v>1403</v>
      </c>
      <c r="K260" s="169">
        <v>2026</v>
      </c>
      <c r="L260" s="170">
        <v>2026</v>
      </c>
      <c r="M260" s="171">
        <v>45921</v>
      </c>
      <c r="N260" s="169" t="s">
        <v>36</v>
      </c>
      <c r="O260" s="169" t="s">
        <v>501</v>
      </c>
      <c r="P260" s="169">
        <v>1726</v>
      </c>
      <c r="Q260" s="169" t="s">
        <v>1430</v>
      </c>
      <c r="R260" s="169">
        <v>2</v>
      </c>
      <c r="S260" s="169">
        <v>34</v>
      </c>
      <c r="T260" s="169" t="s">
        <v>1431</v>
      </c>
      <c r="U260" s="169">
        <v>12</v>
      </c>
      <c r="V260" s="170">
        <v>2622004</v>
      </c>
      <c r="W260" s="170">
        <v>0</v>
      </c>
      <c r="X260" s="170" t="s">
        <v>1406</v>
      </c>
      <c r="Y260" s="169"/>
      <c r="Z260" s="169" t="s">
        <v>32</v>
      </c>
      <c r="AA260" s="171">
        <v>45940</v>
      </c>
      <c r="AB260" s="169">
        <v>26</v>
      </c>
      <c r="AC260" s="169">
        <v>22004</v>
      </c>
      <c r="AD260" s="169">
        <v>130</v>
      </c>
      <c r="AE260" s="169" t="s">
        <v>1401</v>
      </c>
      <c r="AF260" s="169">
        <v>130</v>
      </c>
      <c r="AG260" s="169" t="s">
        <v>1402</v>
      </c>
      <c r="AH260" s="169" t="s">
        <v>36</v>
      </c>
      <c r="AI260" s="169" t="s">
        <v>501</v>
      </c>
      <c r="AJ260" s="169">
        <v>1726</v>
      </c>
      <c r="AK260" s="169" t="s">
        <v>1407</v>
      </c>
      <c r="AL260" s="169">
        <v>28094</v>
      </c>
      <c r="AM260" s="169" t="s">
        <v>1421</v>
      </c>
      <c r="AN260" s="169" t="s">
        <v>1437</v>
      </c>
      <c r="AO260" s="169">
        <v>28</v>
      </c>
      <c r="AP260" s="169" t="s">
        <v>1416</v>
      </c>
      <c r="AQ260" s="169">
        <v>0</v>
      </c>
      <c r="AR260" s="169" t="s">
        <v>1410</v>
      </c>
      <c r="AS260" s="169"/>
      <c r="AT260" s="169" t="s">
        <v>1417</v>
      </c>
      <c r="AU260" s="169" t="s">
        <v>1412</v>
      </c>
    </row>
    <row r="261" spans="1:47" x14ac:dyDescent="0.45">
      <c r="A261" s="169">
        <v>2613050015</v>
      </c>
      <c r="B261" s="169">
        <v>130</v>
      </c>
      <c r="C261" s="169" t="s">
        <v>1401</v>
      </c>
      <c r="D261" s="169">
        <v>130</v>
      </c>
      <c r="E261" s="169" t="s">
        <v>1402</v>
      </c>
      <c r="F261" s="169" t="s">
        <v>3208</v>
      </c>
      <c r="G261" s="169" t="s">
        <v>3209</v>
      </c>
      <c r="H261" s="169">
        <v>1</v>
      </c>
      <c r="I261" s="169" t="s">
        <v>1933</v>
      </c>
      <c r="J261" s="169" t="s">
        <v>1403</v>
      </c>
      <c r="K261" s="169">
        <v>2026</v>
      </c>
      <c r="L261" s="170">
        <v>2026</v>
      </c>
      <c r="M261" s="171">
        <v>45915</v>
      </c>
      <c r="N261" s="169" t="s">
        <v>36</v>
      </c>
      <c r="O261" s="169" t="s">
        <v>501</v>
      </c>
      <c r="P261" s="169">
        <v>1726</v>
      </c>
      <c r="Q261" s="169" t="s">
        <v>1430</v>
      </c>
      <c r="R261" s="169">
        <v>2</v>
      </c>
      <c r="S261" s="169">
        <v>34</v>
      </c>
      <c r="T261" s="169" t="s">
        <v>1431</v>
      </c>
      <c r="U261" s="169">
        <v>12</v>
      </c>
      <c r="V261" s="170">
        <v>2622005</v>
      </c>
      <c r="W261" s="170">
        <v>0</v>
      </c>
      <c r="X261" s="170" t="s">
        <v>1406</v>
      </c>
      <c r="Y261" s="169"/>
      <c r="Z261" s="169" t="s">
        <v>32</v>
      </c>
      <c r="AA261" s="171">
        <v>45944</v>
      </c>
      <c r="AB261" s="169">
        <v>26</v>
      </c>
      <c r="AC261" s="169">
        <v>22005</v>
      </c>
      <c r="AD261" s="169">
        <v>130</v>
      </c>
      <c r="AE261" s="169" t="s">
        <v>1401</v>
      </c>
      <c r="AF261" s="169">
        <v>130</v>
      </c>
      <c r="AG261" s="169" t="s">
        <v>1402</v>
      </c>
      <c r="AH261" s="169" t="s">
        <v>36</v>
      </c>
      <c r="AI261" s="169" t="s">
        <v>501</v>
      </c>
      <c r="AJ261" s="169">
        <v>1726</v>
      </c>
      <c r="AK261" s="169" t="s">
        <v>1407</v>
      </c>
      <c r="AL261" s="169">
        <v>28219</v>
      </c>
      <c r="AM261" s="169" t="s">
        <v>1418</v>
      </c>
      <c r="AN261" s="169" t="s">
        <v>1440</v>
      </c>
      <c r="AO261" s="169">
        <v>28</v>
      </c>
      <c r="AP261" s="169" t="s">
        <v>1416</v>
      </c>
      <c r="AQ261" s="169">
        <v>0</v>
      </c>
      <c r="AR261" s="169" t="s">
        <v>1410</v>
      </c>
      <c r="AS261" s="169"/>
      <c r="AT261" s="169" t="s">
        <v>1417</v>
      </c>
      <c r="AU261" s="169" t="s">
        <v>1412</v>
      </c>
    </row>
    <row r="262" spans="1:47" x14ac:dyDescent="0.45">
      <c r="A262" s="169">
        <v>2613050017</v>
      </c>
      <c r="B262" s="169">
        <v>130</v>
      </c>
      <c r="C262" s="169" t="s">
        <v>1401</v>
      </c>
      <c r="D262" s="169">
        <v>130</v>
      </c>
      <c r="E262" s="169" t="s">
        <v>1402</v>
      </c>
      <c r="F262" s="169" t="s">
        <v>3210</v>
      </c>
      <c r="G262" s="169" t="s">
        <v>3211</v>
      </c>
      <c r="H262" s="169">
        <v>2</v>
      </c>
      <c r="I262" s="169" t="s">
        <v>3212</v>
      </c>
      <c r="J262" s="169" t="s">
        <v>1403</v>
      </c>
      <c r="K262" s="169">
        <v>2026</v>
      </c>
      <c r="L262" s="170">
        <v>2026</v>
      </c>
      <c r="M262" s="171">
        <v>45937</v>
      </c>
      <c r="N262" s="169" t="s">
        <v>36</v>
      </c>
      <c r="O262" s="169" t="s">
        <v>472</v>
      </c>
      <c r="P262" s="169">
        <v>1043</v>
      </c>
      <c r="Q262" s="169" t="s">
        <v>1404</v>
      </c>
      <c r="R262" s="169">
        <v>2</v>
      </c>
      <c r="S262" s="169">
        <v>6</v>
      </c>
      <c r="T262" s="169" t="s">
        <v>1405</v>
      </c>
      <c r="U262" s="169">
        <v>5</v>
      </c>
      <c r="V262" s="170">
        <v>2622021</v>
      </c>
      <c r="W262" s="170">
        <v>0</v>
      </c>
      <c r="X262" s="170" t="s">
        <v>1406</v>
      </c>
      <c r="Y262" s="169"/>
      <c r="Z262" s="169" t="s">
        <v>32</v>
      </c>
      <c r="AA262" s="171">
        <v>45950</v>
      </c>
      <c r="AB262" s="169">
        <v>26</v>
      </c>
      <c r="AC262" s="169">
        <v>22021</v>
      </c>
      <c r="AD262" s="169">
        <v>130</v>
      </c>
      <c r="AE262" s="169" t="s">
        <v>1401</v>
      </c>
      <c r="AF262" s="169">
        <v>130</v>
      </c>
      <c r="AG262" s="169" t="s">
        <v>1402</v>
      </c>
      <c r="AH262" s="169" t="s">
        <v>36</v>
      </c>
      <c r="AI262" s="169" t="s">
        <v>472</v>
      </c>
      <c r="AJ262" s="169">
        <v>1043</v>
      </c>
      <c r="AK262" s="169" t="s">
        <v>1407</v>
      </c>
      <c r="AL262" s="169">
        <v>28232</v>
      </c>
      <c r="AM262" s="169" t="s">
        <v>1418</v>
      </c>
      <c r="AN262" s="169" t="s">
        <v>1548</v>
      </c>
      <c r="AO262" s="169">
        <v>28</v>
      </c>
      <c r="AP262" s="169" t="s">
        <v>1416</v>
      </c>
      <c r="AQ262" s="169">
        <v>0</v>
      </c>
      <c r="AR262" s="169" t="s">
        <v>1410</v>
      </c>
      <c r="AS262" s="169"/>
      <c r="AT262" s="169" t="s">
        <v>1417</v>
      </c>
      <c r="AU262" s="169" t="s">
        <v>1412</v>
      </c>
    </row>
    <row r="263" spans="1:47" x14ac:dyDescent="0.45">
      <c r="A263" s="169">
        <v>2613050018</v>
      </c>
      <c r="B263" s="169">
        <v>130</v>
      </c>
      <c r="C263" s="169" t="s">
        <v>1401</v>
      </c>
      <c r="D263" s="169">
        <v>130</v>
      </c>
      <c r="E263" s="169" t="s">
        <v>1402</v>
      </c>
      <c r="F263" s="169" t="s">
        <v>3213</v>
      </c>
      <c r="G263" s="169" t="s">
        <v>3214</v>
      </c>
      <c r="H263" s="169">
        <v>1</v>
      </c>
      <c r="I263" s="169" t="s">
        <v>3215</v>
      </c>
      <c r="J263" s="169" t="s">
        <v>1403</v>
      </c>
      <c r="K263" s="169">
        <v>2026</v>
      </c>
      <c r="L263" s="170">
        <v>2026</v>
      </c>
      <c r="M263" s="171">
        <v>45902</v>
      </c>
      <c r="N263" s="169" t="s">
        <v>36</v>
      </c>
      <c r="O263" s="169" t="s">
        <v>485</v>
      </c>
      <c r="P263" s="169">
        <v>1131</v>
      </c>
      <c r="Q263" s="169" t="s">
        <v>1413</v>
      </c>
      <c r="R263" s="169">
        <v>3</v>
      </c>
      <c r="S263" s="169">
        <v>6</v>
      </c>
      <c r="T263" s="169" t="s">
        <v>1405</v>
      </c>
      <c r="U263" s="169">
        <v>5</v>
      </c>
      <c r="V263" s="170">
        <v>2622001</v>
      </c>
      <c r="W263" s="170">
        <v>0</v>
      </c>
      <c r="X263" s="170" t="s">
        <v>1406</v>
      </c>
      <c r="Y263" s="169"/>
      <c r="Z263" s="169" t="s">
        <v>32</v>
      </c>
      <c r="AA263" s="171">
        <v>45919</v>
      </c>
      <c r="AB263" s="169">
        <v>26</v>
      </c>
      <c r="AC263" s="169">
        <v>22001</v>
      </c>
      <c r="AD263" s="169">
        <v>130</v>
      </c>
      <c r="AE263" s="169" t="s">
        <v>1401</v>
      </c>
      <c r="AF263" s="169">
        <v>130</v>
      </c>
      <c r="AG263" s="169" t="s">
        <v>1402</v>
      </c>
      <c r="AH263" s="169" t="s">
        <v>36</v>
      </c>
      <c r="AI263" s="169" t="s">
        <v>485</v>
      </c>
      <c r="AJ263" s="169">
        <v>1131</v>
      </c>
      <c r="AK263" s="169" t="s">
        <v>1407</v>
      </c>
      <c r="AL263" s="169">
        <v>28193</v>
      </c>
      <c r="AM263" s="169" t="s">
        <v>1418</v>
      </c>
      <c r="AN263" s="169" t="s">
        <v>1439</v>
      </c>
      <c r="AO263" s="169">
        <v>28</v>
      </c>
      <c r="AP263" s="169" t="s">
        <v>1416</v>
      </c>
      <c r="AQ263" s="169">
        <v>0</v>
      </c>
      <c r="AR263" s="169" t="s">
        <v>1410</v>
      </c>
      <c r="AS263" s="169"/>
      <c r="AT263" s="169" t="s">
        <v>1417</v>
      </c>
      <c r="AU263" s="169" t="s">
        <v>1412</v>
      </c>
    </row>
    <row r="264" spans="1:47" x14ac:dyDescent="0.45">
      <c r="A264" s="169">
        <v>2613050019</v>
      </c>
      <c r="B264" s="169">
        <v>130</v>
      </c>
      <c r="C264" s="169" t="s">
        <v>1401</v>
      </c>
      <c r="D264" s="169">
        <v>130</v>
      </c>
      <c r="E264" s="169" t="s">
        <v>1402</v>
      </c>
      <c r="F264" s="169" t="s">
        <v>3216</v>
      </c>
      <c r="G264" s="169" t="s">
        <v>3217</v>
      </c>
      <c r="H264" s="169">
        <v>1</v>
      </c>
      <c r="I264" s="169" t="s">
        <v>3218</v>
      </c>
      <c r="J264" s="169" t="s">
        <v>1403</v>
      </c>
      <c r="K264" s="169">
        <v>2026</v>
      </c>
      <c r="L264" s="170">
        <v>2026</v>
      </c>
      <c r="M264" s="171">
        <v>45928</v>
      </c>
      <c r="N264" s="169" t="s">
        <v>36</v>
      </c>
      <c r="O264" s="169" t="s">
        <v>485</v>
      </c>
      <c r="P264" s="169">
        <v>1131</v>
      </c>
      <c r="Q264" s="169" t="s">
        <v>1413</v>
      </c>
      <c r="R264" s="169">
        <v>3</v>
      </c>
      <c r="S264" s="169">
        <v>6</v>
      </c>
      <c r="T264" s="169" t="s">
        <v>1405</v>
      </c>
      <c r="U264" s="169">
        <v>5</v>
      </c>
      <c r="V264" s="170">
        <v>2622012</v>
      </c>
      <c r="W264" s="170">
        <v>0</v>
      </c>
      <c r="X264" s="170" t="s">
        <v>1406</v>
      </c>
      <c r="Y264" s="169"/>
      <c r="Z264" s="169" t="s">
        <v>32</v>
      </c>
      <c r="AA264" s="171">
        <v>45944</v>
      </c>
      <c r="AB264" s="169">
        <v>26</v>
      </c>
      <c r="AC264" s="169">
        <v>22012</v>
      </c>
      <c r="AD264" s="169">
        <v>130</v>
      </c>
      <c r="AE264" s="169" t="s">
        <v>1401</v>
      </c>
      <c r="AF264" s="169">
        <v>130</v>
      </c>
      <c r="AG264" s="169" t="s">
        <v>1402</v>
      </c>
      <c r="AH264" s="169" t="s">
        <v>36</v>
      </c>
      <c r="AI264" s="169" t="s">
        <v>485</v>
      </c>
      <c r="AJ264" s="169">
        <v>1131</v>
      </c>
      <c r="AK264" s="169" t="s">
        <v>1407</v>
      </c>
      <c r="AL264" s="169">
        <v>28175</v>
      </c>
      <c r="AM264" s="169" t="s">
        <v>1418</v>
      </c>
      <c r="AN264" s="169" t="s">
        <v>1459</v>
      </c>
      <c r="AO264" s="169">
        <v>28</v>
      </c>
      <c r="AP264" s="169" t="s">
        <v>1416</v>
      </c>
      <c r="AQ264" s="169">
        <v>0</v>
      </c>
      <c r="AR264" s="169" t="s">
        <v>1410</v>
      </c>
      <c r="AS264" s="169"/>
      <c r="AT264" s="169" t="s">
        <v>1417</v>
      </c>
      <c r="AU264" s="169" t="s">
        <v>1412</v>
      </c>
    </row>
    <row r="265" spans="1:47" x14ac:dyDescent="0.45">
      <c r="A265" s="169">
        <v>2613050020</v>
      </c>
      <c r="B265" s="169">
        <v>130</v>
      </c>
      <c r="C265" s="169" t="s">
        <v>1401</v>
      </c>
      <c r="D265" s="169">
        <v>130</v>
      </c>
      <c r="E265" s="169" t="s">
        <v>1402</v>
      </c>
      <c r="F265" s="169" t="s">
        <v>3219</v>
      </c>
      <c r="G265" s="169" t="s">
        <v>3220</v>
      </c>
      <c r="H265" s="169">
        <v>1</v>
      </c>
      <c r="I265" s="169" t="s">
        <v>3221</v>
      </c>
      <c r="J265" s="169" t="s">
        <v>1403</v>
      </c>
      <c r="K265" s="169">
        <v>2026</v>
      </c>
      <c r="L265" s="170">
        <v>2026</v>
      </c>
      <c r="M265" s="171">
        <v>45928</v>
      </c>
      <c r="N265" s="169" t="s">
        <v>36</v>
      </c>
      <c r="O265" s="169" t="s">
        <v>485</v>
      </c>
      <c r="P265" s="169">
        <v>1131</v>
      </c>
      <c r="Q265" s="169" t="s">
        <v>1413</v>
      </c>
      <c r="R265" s="169">
        <v>3</v>
      </c>
      <c r="S265" s="169">
        <v>6</v>
      </c>
      <c r="T265" s="169" t="s">
        <v>1405</v>
      </c>
      <c r="U265" s="169">
        <v>5</v>
      </c>
      <c r="V265" s="170">
        <v>2622018</v>
      </c>
      <c r="W265" s="170">
        <v>0</v>
      </c>
      <c r="X265" s="170" t="s">
        <v>1406</v>
      </c>
      <c r="Y265" s="169"/>
      <c r="Z265" s="169" t="s">
        <v>32</v>
      </c>
      <c r="AA265" s="171">
        <v>45946</v>
      </c>
      <c r="AB265" s="169">
        <v>26</v>
      </c>
      <c r="AC265" s="169">
        <v>22018</v>
      </c>
      <c r="AD265" s="169">
        <v>130</v>
      </c>
      <c r="AE265" s="169" t="s">
        <v>1401</v>
      </c>
      <c r="AF265" s="169">
        <v>130</v>
      </c>
      <c r="AG265" s="169" t="s">
        <v>1402</v>
      </c>
      <c r="AH265" s="169" t="s">
        <v>36</v>
      </c>
      <c r="AI265" s="169" t="s">
        <v>485</v>
      </c>
      <c r="AJ265" s="169">
        <v>1131</v>
      </c>
      <c r="AK265" s="169" t="s">
        <v>1407</v>
      </c>
      <c r="AL265" s="169">
        <v>28175</v>
      </c>
      <c r="AM265" s="169" t="s">
        <v>1418</v>
      </c>
      <c r="AN265" s="169" t="s">
        <v>1459</v>
      </c>
      <c r="AO265" s="169">
        <v>28</v>
      </c>
      <c r="AP265" s="169" t="s">
        <v>1416</v>
      </c>
      <c r="AQ265" s="169">
        <v>0</v>
      </c>
      <c r="AR265" s="169" t="s">
        <v>1410</v>
      </c>
      <c r="AS265" s="169"/>
      <c r="AT265" s="169" t="s">
        <v>1417</v>
      </c>
      <c r="AU265" s="169" t="s">
        <v>1412</v>
      </c>
    </row>
    <row r="266" spans="1:47" x14ac:dyDescent="0.45">
      <c r="A266" s="169">
        <v>2613050021</v>
      </c>
      <c r="B266" s="169">
        <v>130</v>
      </c>
      <c r="C266" s="169" t="s">
        <v>1401</v>
      </c>
      <c r="D266" s="169">
        <v>130</v>
      </c>
      <c r="E266" s="169" t="s">
        <v>1402</v>
      </c>
      <c r="F266" s="169" t="s">
        <v>3222</v>
      </c>
      <c r="G266" s="169" t="s">
        <v>3223</v>
      </c>
      <c r="H266" s="169">
        <v>1</v>
      </c>
      <c r="I266" s="169" t="s">
        <v>3224</v>
      </c>
      <c r="J266" s="169" t="s">
        <v>1403</v>
      </c>
      <c r="K266" s="169">
        <v>2026</v>
      </c>
      <c r="L266" s="170">
        <v>2026</v>
      </c>
      <c r="M266" s="171">
        <v>45915</v>
      </c>
      <c r="N266" s="169" t="s">
        <v>36</v>
      </c>
      <c r="O266" s="169" t="s">
        <v>485</v>
      </c>
      <c r="P266" s="169">
        <v>1131</v>
      </c>
      <c r="Q266" s="169" t="s">
        <v>1413</v>
      </c>
      <c r="R266" s="169">
        <v>3</v>
      </c>
      <c r="S266" s="169">
        <v>6</v>
      </c>
      <c r="T266" s="169" t="s">
        <v>1405</v>
      </c>
      <c r="U266" s="169">
        <v>5</v>
      </c>
      <c r="V266" s="170">
        <v>2622002</v>
      </c>
      <c r="W266" s="170">
        <v>0</v>
      </c>
      <c r="X266" s="170" t="s">
        <v>1406</v>
      </c>
      <c r="Y266" s="169"/>
      <c r="Z266" s="169" t="s">
        <v>32</v>
      </c>
      <c r="AA266" s="171">
        <v>45928</v>
      </c>
      <c r="AB266" s="169">
        <v>26</v>
      </c>
      <c r="AC266" s="169">
        <v>22002</v>
      </c>
      <c r="AD266" s="169">
        <v>130</v>
      </c>
      <c r="AE266" s="169" t="s">
        <v>1401</v>
      </c>
      <c r="AF266" s="169">
        <v>130</v>
      </c>
      <c r="AG266" s="169" t="s">
        <v>1402</v>
      </c>
      <c r="AH266" s="169" t="s">
        <v>36</v>
      </c>
      <c r="AI266" s="169" t="s">
        <v>485</v>
      </c>
      <c r="AJ266" s="169">
        <v>1131</v>
      </c>
      <c r="AK266" s="169" t="s">
        <v>1407</v>
      </c>
      <c r="AL266" s="169">
        <v>28175</v>
      </c>
      <c r="AM266" s="169" t="s">
        <v>1418</v>
      </c>
      <c r="AN266" s="169" t="s">
        <v>1459</v>
      </c>
      <c r="AO266" s="169">
        <v>28</v>
      </c>
      <c r="AP266" s="169" t="s">
        <v>1416</v>
      </c>
      <c r="AQ266" s="169">
        <v>0</v>
      </c>
      <c r="AR266" s="169" t="s">
        <v>1410</v>
      </c>
      <c r="AS266" s="169"/>
      <c r="AT266" s="169" t="s">
        <v>1417</v>
      </c>
      <c r="AU266" s="169" t="s">
        <v>1412</v>
      </c>
    </row>
    <row r="267" spans="1:47" x14ac:dyDescent="0.45">
      <c r="A267" s="169">
        <v>2613050022</v>
      </c>
      <c r="B267" s="169">
        <v>130</v>
      </c>
      <c r="C267" s="169" t="s">
        <v>1401</v>
      </c>
      <c r="D267" s="169">
        <v>130</v>
      </c>
      <c r="E267" s="169" t="s">
        <v>1402</v>
      </c>
      <c r="F267" s="169" t="s">
        <v>3225</v>
      </c>
      <c r="G267" s="169" t="s">
        <v>3226</v>
      </c>
      <c r="H267" s="169">
        <v>1</v>
      </c>
      <c r="I267" s="169" t="s">
        <v>1917</v>
      </c>
      <c r="J267" s="169" t="s">
        <v>1403</v>
      </c>
      <c r="K267" s="169">
        <v>2026</v>
      </c>
      <c r="L267" s="170">
        <v>2026</v>
      </c>
      <c r="M267" s="171">
        <v>45918</v>
      </c>
      <c r="N267" s="169" t="s">
        <v>36</v>
      </c>
      <c r="O267" s="169" t="s">
        <v>501</v>
      </c>
      <c r="P267" s="169">
        <v>1726</v>
      </c>
      <c r="Q267" s="169" t="s">
        <v>1430</v>
      </c>
      <c r="R267" s="169">
        <v>2</v>
      </c>
      <c r="S267" s="169">
        <v>34</v>
      </c>
      <c r="T267" s="169" t="s">
        <v>1431</v>
      </c>
      <c r="U267" s="169">
        <v>12</v>
      </c>
      <c r="V267" s="170">
        <v>2622033</v>
      </c>
      <c r="W267" s="170">
        <v>0</v>
      </c>
      <c r="X267" s="170" t="s">
        <v>1406</v>
      </c>
      <c r="Y267" s="169"/>
      <c r="Z267" s="169" t="s">
        <v>32</v>
      </c>
      <c r="AA267" s="171">
        <v>46055</v>
      </c>
      <c r="AB267" s="169">
        <v>26</v>
      </c>
      <c r="AC267" s="169">
        <v>22033</v>
      </c>
      <c r="AD267" s="169">
        <v>130</v>
      </c>
      <c r="AE267" s="169" t="s">
        <v>1401</v>
      </c>
      <c r="AF267" s="169">
        <v>130</v>
      </c>
      <c r="AG267" s="169" t="s">
        <v>1402</v>
      </c>
      <c r="AH267" s="169" t="s">
        <v>36</v>
      </c>
      <c r="AI267" s="169" t="s">
        <v>501</v>
      </c>
      <c r="AJ267" s="169">
        <v>1726</v>
      </c>
      <c r="AK267" s="169" t="s">
        <v>1407</v>
      </c>
      <c r="AL267" s="169">
        <v>28092</v>
      </c>
      <c r="AM267" s="169" t="s">
        <v>1421</v>
      </c>
      <c r="AN267" s="169" t="s">
        <v>2824</v>
      </c>
      <c r="AO267" s="169">
        <v>28</v>
      </c>
      <c r="AP267" s="169" t="s">
        <v>1416</v>
      </c>
      <c r="AQ267" s="169">
        <v>0</v>
      </c>
      <c r="AR267" s="169" t="s">
        <v>1410</v>
      </c>
      <c r="AS267" s="169"/>
      <c r="AT267" s="169" t="s">
        <v>1417</v>
      </c>
      <c r="AU267" s="169" t="s">
        <v>1412</v>
      </c>
    </row>
    <row r="268" spans="1:47" x14ac:dyDescent="0.45">
      <c r="A268" s="169">
        <v>2613050023</v>
      </c>
      <c r="B268" s="169">
        <v>130</v>
      </c>
      <c r="C268" s="169" t="s">
        <v>1401</v>
      </c>
      <c r="D268" s="169">
        <v>130</v>
      </c>
      <c r="E268" s="169" t="s">
        <v>1402</v>
      </c>
      <c r="F268" s="169" t="s">
        <v>3227</v>
      </c>
      <c r="G268" s="169" t="s">
        <v>3228</v>
      </c>
      <c r="H268" s="169">
        <v>1</v>
      </c>
      <c r="I268" s="169" t="s">
        <v>2631</v>
      </c>
      <c r="J268" s="169" t="s">
        <v>1403</v>
      </c>
      <c r="K268" s="169">
        <v>2026</v>
      </c>
      <c r="L268" s="170">
        <v>2026</v>
      </c>
      <c r="M268" s="171">
        <v>45921</v>
      </c>
      <c r="N268" s="169" t="s">
        <v>36</v>
      </c>
      <c r="O268" s="169" t="s">
        <v>501</v>
      </c>
      <c r="P268" s="169">
        <v>1726</v>
      </c>
      <c r="Q268" s="169" t="s">
        <v>1430</v>
      </c>
      <c r="R268" s="169">
        <v>2</v>
      </c>
      <c r="S268" s="169">
        <v>34</v>
      </c>
      <c r="T268" s="169" t="s">
        <v>1431</v>
      </c>
      <c r="U268" s="169">
        <v>12</v>
      </c>
      <c r="V268" s="170">
        <v>2622006</v>
      </c>
      <c r="W268" s="170">
        <v>0</v>
      </c>
      <c r="X268" s="170" t="s">
        <v>1406</v>
      </c>
      <c r="Y268" s="169"/>
      <c r="Z268" s="169" t="s">
        <v>32</v>
      </c>
      <c r="AA268" s="171">
        <v>45944</v>
      </c>
      <c r="AB268" s="169">
        <v>26</v>
      </c>
      <c r="AC268" s="169">
        <v>22006</v>
      </c>
      <c r="AD268" s="169">
        <v>130</v>
      </c>
      <c r="AE268" s="169" t="s">
        <v>1401</v>
      </c>
      <c r="AF268" s="169">
        <v>130</v>
      </c>
      <c r="AG268" s="169" t="s">
        <v>1402</v>
      </c>
      <c r="AH268" s="169" t="s">
        <v>36</v>
      </c>
      <c r="AI268" s="169" t="s">
        <v>501</v>
      </c>
      <c r="AJ268" s="169">
        <v>1726</v>
      </c>
      <c r="AK268" s="169" t="s">
        <v>1407</v>
      </c>
      <c r="AL268" s="169">
        <v>28094</v>
      </c>
      <c r="AM268" s="169" t="s">
        <v>1421</v>
      </c>
      <c r="AN268" s="169" t="s">
        <v>1437</v>
      </c>
      <c r="AO268" s="169">
        <v>28</v>
      </c>
      <c r="AP268" s="169" t="s">
        <v>1416</v>
      </c>
      <c r="AQ268" s="169">
        <v>0</v>
      </c>
      <c r="AR268" s="169" t="s">
        <v>1410</v>
      </c>
      <c r="AS268" s="169"/>
      <c r="AT268" s="169" t="s">
        <v>1417</v>
      </c>
      <c r="AU268" s="169" t="s">
        <v>1412</v>
      </c>
    </row>
    <row r="269" spans="1:47" x14ac:dyDescent="0.45">
      <c r="A269" s="169">
        <v>2613050024</v>
      </c>
      <c r="B269" s="169">
        <v>130</v>
      </c>
      <c r="C269" s="169" t="s">
        <v>1401</v>
      </c>
      <c r="D269" s="169">
        <v>130</v>
      </c>
      <c r="E269" s="169" t="s">
        <v>1402</v>
      </c>
      <c r="F269" s="169" t="s">
        <v>3229</v>
      </c>
      <c r="G269" s="169" t="s">
        <v>3230</v>
      </c>
      <c r="H269" s="169">
        <v>1</v>
      </c>
      <c r="I269" s="169" t="s">
        <v>870</v>
      </c>
      <c r="J269" s="169" t="s">
        <v>1403</v>
      </c>
      <c r="K269" s="169">
        <v>2026</v>
      </c>
      <c r="L269" s="170">
        <v>2026</v>
      </c>
      <c r="M269" s="171">
        <v>45915</v>
      </c>
      <c r="N269" s="169" t="s">
        <v>36</v>
      </c>
      <c r="O269" s="169" t="s">
        <v>501</v>
      </c>
      <c r="P269" s="169">
        <v>1726</v>
      </c>
      <c r="Q269" s="169" t="s">
        <v>1430</v>
      </c>
      <c r="R269" s="169">
        <v>2</v>
      </c>
      <c r="S269" s="169">
        <v>34</v>
      </c>
      <c r="T269" s="169" t="s">
        <v>1431</v>
      </c>
      <c r="U269" s="169">
        <v>12</v>
      </c>
      <c r="V269" s="170">
        <v>2622014</v>
      </c>
      <c r="W269" s="170">
        <v>0</v>
      </c>
      <c r="X269" s="170" t="s">
        <v>1406</v>
      </c>
      <c r="Y269" s="169"/>
      <c r="Z269" s="169" t="s">
        <v>32</v>
      </c>
      <c r="AA269" s="171">
        <v>45945</v>
      </c>
      <c r="AB269" s="169">
        <v>26</v>
      </c>
      <c r="AC269" s="169">
        <v>22014</v>
      </c>
      <c r="AD269" s="169">
        <v>130</v>
      </c>
      <c r="AE269" s="169" t="s">
        <v>1401</v>
      </c>
      <c r="AF269" s="169">
        <v>130</v>
      </c>
      <c r="AG269" s="169" t="s">
        <v>1402</v>
      </c>
      <c r="AH269" s="169" t="s">
        <v>36</v>
      </c>
      <c r="AI269" s="169" t="s">
        <v>501</v>
      </c>
      <c r="AJ269" s="169">
        <v>1726</v>
      </c>
      <c r="AK269" s="169" t="s">
        <v>1407</v>
      </c>
      <c r="AL269" s="169">
        <v>28099</v>
      </c>
      <c r="AM269" s="169" t="s">
        <v>1418</v>
      </c>
      <c r="AN269" s="169" t="s">
        <v>1447</v>
      </c>
      <c r="AO269" s="169">
        <v>28</v>
      </c>
      <c r="AP269" s="169" t="s">
        <v>1416</v>
      </c>
      <c r="AQ269" s="169">
        <v>0</v>
      </c>
      <c r="AR269" s="169" t="s">
        <v>1410</v>
      </c>
      <c r="AS269" s="169"/>
      <c r="AT269" s="169" t="s">
        <v>1417</v>
      </c>
      <c r="AU269" s="169" t="s">
        <v>1412</v>
      </c>
    </row>
    <row r="270" spans="1:47" x14ac:dyDescent="0.45">
      <c r="A270" s="169">
        <v>2613050025</v>
      </c>
      <c r="B270" s="169">
        <v>130</v>
      </c>
      <c r="C270" s="169" t="s">
        <v>1401</v>
      </c>
      <c r="D270" s="169">
        <v>130</v>
      </c>
      <c r="E270" s="169" t="s">
        <v>1402</v>
      </c>
      <c r="F270" s="169" t="s">
        <v>3231</v>
      </c>
      <c r="G270" s="169" t="s">
        <v>3232</v>
      </c>
      <c r="H270" s="169">
        <v>1</v>
      </c>
      <c r="I270" s="169" t="s">
        <v>3233</v>
      </c>
      <c r="J270" s="169" t="s">
        <v>1485</v>
      </c>
      <c r="K270" s="169">
        <v>2026</v>
      </c>
      <c r="L270" s="170">
        <v>2026</v>
      </c>
      <c r="M270" s="171">
        <v>45901</v>
      </c>
      <c r="N270" s="169" t="s">
        <v>36</v>
      </c>
      <c r="O270" s="169" t="s">
        <v>501</v>
      </c>
      <c r="P270" s="169">
        <v>1726</v>
      </c>
      <c r="Q270" s="169" t="s">
        <v>1430</v>
      </c>
      <c r="R270" s="169">
        <v>2</v>
      </c>
      <c r="S270" s="169">
        <v>34</v>
      </c>
      <c r="T270" s="169" t="s">
        <v>1431</v>
      </c>
      <c r="U270" s="169">
        <v>12</v>
      </c>
      <c r="V270" s="170">
        <v>2622019</v>
      </c>
      <c r="W270" s="170">
        <v>0</v>
      </c>
      <c r="X270" s="170" t="s">
        <v>1406</v>
      </c>
      <c r="Y270" s="169"/>
      <c r="Z270" s="169" t="s">
        <v>32</v>
      </c>
      <c r="AA270" s="171">
        <v>45948</v>
      </c>
      <c r="AB270" s="169">
        <v>26</v>
      </c>
      <c r="AC270" s="169">
        <v>22019</v>
      </c>
      <c r="AD270" s="169">
        <v>130</v>
      </c>
      <c r="AE270" s="169" t="s">
        <v>1401</v>
      </c>
      <c r="AF270" s="169">
        <v>130</v>
      </c>
      <c r="AG270" s="169" t="s">
        <v>1402</v>
      </c>
      <c r="AH270" s="169" t="s">
        <v>36</v>
      </c>
      <c r="AI270" s="169" t="s">
        <v>501</v>
      </c>
      <c r="AJ270" s="169">
        <v>1726</v>
      </c>
      <c r="AK270" s="169" t="s">
        <v>1407</v>
      </c>
      <c r="AL270" s="169">
        <v>31044</v>
      </c>
      <c r="AM270" s="169" t="s">
        <v>1418</v>
      </c>
      <c r="AN270" s="169" t="s">
        <v>3234</v>
      </c>
      <c r="AO270" s="169">
        <v>31</v>
      </c>
      <c r="AP270" s="169" t="s">
        <v>1487</v>
      </c>
      <c r="AQ270" s="169">
        <v>0</v>
      </c>
      <c r="AR270" s="169" t="s">
        <v>1410</v>
      </c>
      <c r="AS270" s="169"/>
      <c r="AT270" s="169" t="s">
        <v>1417</v>
      </c>
      <c r="AU270" s="169" t="s">
        <v>1412</v>
      </c>
    </row>
    <row r="271" spans="1:47" x14ac:dyDescent="0.45">
      <c r="A271" s="169">
        <v>2613050027</v>
      </c>
      <c r="B271" s="169">
        <v>130</v>
      </c>
      <c r="C271" s="169" t="s">
        <v>1401</v>
      </c>
      <c r="D271" s="169">
        <v>130</v>
      </c>
      <c r="E271" s="169" t="s">
        <v>1402</v>
      </c>
      <c r="F271" s="169" t="s">
        <v>3235</v>
      </c>
      <c r="G271" s="169" t="s">
        <v>3236</v>
      </c>
      <c r="H271" s="169">
        <v>1</v>
      </c>
      <c r="I271" s="169" t="s">
        <v>3237</v>
      </c>
      <c r="J271" s="169" t="s">
        <v>1403</v>
      </c>
      <c r="K271" s="169">
        <v>2026</v>
      </c>
      <c r="L271" s="170">
        <v>2026</v>
      </c>
      <c r="M271" s="171">
        <v>45915</v>
      </c>
      <c r="N271" s="169" t="s">
        <v>36</v>
      </c>
      <c r="O271" s="169" t="s">
        <v>472</v>
      </c>
      <c r="P271" s="169">
        <v>1043</v>
      </c>
      <c r="Q271" s="169" t="s">
        <v>1404</v>
      </c>
      <c r="R271" s="169">
        <v>2</v>
      </c>
      <c r="S271" s="169">
        <v>6</v>
      </c>
      <c r="T271" s="169" t="s">
        <v>1405</v>
      </c>
      <c r="U271" s="169">
        <v>5</v>
      </c>
      <c r="V271" s="170">
        <v>2622032</v>
      </c>
      <c r="W271" s="170">
        <v>0</v>
      </c>
      <c r="X271" s="170" t="s">
        <v>1406</v>
      </c>
      <c r="Y271" s="169"/>
      <c r="Z271" s="169" t="s">
        <v>32</v>
      </c>
      <c r="AA271" s="171">
        <v>46044</v>
      </c>
      <c r="AB271" s="169">
        <v>26</v>
      </c>
      <c r="AC271" s="169">
        <v>22032</v>
      </c>
      <c r="AD271" s="169">
        <v>130</v>
      </c>
      <c r="AE271" s="169" t="s">
        <v>1401</v>
      </c>
      <c r="AF271" s="169">
        <v>130</v>
      </c>
      <c r="AG271" s="169" t="s">
        <v>1402</v>
      </c>
      <c r="AH271" s="169" t="s">
        <v>36</v>
      </c>
      <c r="AI271" s="169" t="s">
        <v>472</v>
      </c>
      <c r="AJ271" s="169">
        <v>1043</v>
      </c>
      <c r="AK271" s="169" t="s">
        <v>1407</v>
      </c>
      <c r="AL271" s="169">
        <v>28140</v>
      </c>
      <c r="AM271" s="169" t="s">
        <v>1418</v>
      </c>
      <c r="AN271" s="169" t="s">
        <v>1480</v>
      </c>
      <c r="AO271" s="169">
        <v>28</v>
      </c>
      <c r="AP271" s="169" t="s">
        <v>1416</v>
      </c>
      <c r="AQ271" s="169">
        <v>0</v>
      </c>
      <c r="AR271" s="169" t="s">
        <v>1410</v>
      </c>
      <c r="AS271" s="169"/>
      <c r="AT271" s="169" t="s">
        <v>1417</v>
      </c>
      <c r="AU271" s="169" t="s">
        <v>1412</v>
      </c>
    </row>
    <row r="272" spans="1:47" x14ac:dyDescent="0.45">
      <c r="A272" s="169">
        <v>2613050028</v>
      </c>
      <c r="B272" s="169">
        <v>130</v>
      </c>
      <c r="C272" s="169" t="s">
        <v>1401</v>
      </c>
      <c r="D272" s="169">
        <v>130</v>
      </c>
      <c r="E272" s="169" t="s">
        <v>1402</v>
      </c>
      <c r="F272" s="169" t="s">
        <v>3238</v>
      </c>
      <c r="G272" s="169" t="s">
        <v>3239</v>
      </c>
      <c r="H272" s="169">
        <v>1</v>
      </c>
      <c r="I272" s="169" t="s">
        <v>3240</v>
      </c>
      <c r="J272" s="169" t="s">
        <v>1403</v>
      </c>
      <c r="K272" s="169">
        <v>2026</v>
      </c>
      <c r="L272" s="170">
        <v>2026</v>
      </c>
      <c r="M272" s="171">
        <v>45919</v>
      </c>
      <c r="N272" s="169" t="s">
        <v>36</v>
      </c>
      <c r="O272" s="169" t="s">
        <v>472</v>
      </c>
      <c r="P272" s="169">
        <v>1043</v>
      </c>
      <c r="Q272" s="169" t="s">
        <v>1404</v>
      </c>
      <c r="R272" s="169">
        <v>2</v>
      </c>
      <c r="S272" s="169">
        <v>6</v>
      </c>
      <c r="T272" s="169" t="s">
        <v>1405</v>
      </c>
      <c r="U272" s="169">
        <v>5</v>
      </c>
      <c r="V272" s="170">
        <v>2622015</v>
      </c>
      <c r="W272" s="170">
        <v>0</v>
      </c>
      <c r="X272" s="170" t="s">
        <v>1406</v>
      </c>
      <c r="Y272" s="169"/>
      <c r="Z272" s="169" t="s">
        <v>32</v>
      </c>
      <c r="AA272" s="171">
        <v>45945</v>
      </c>
      <c r="AB272" s="169">
        <v>26</v>
      </c>
      <c r="AC272" s="169">
        <v>22015</v>
      </c>
      <c r="AD272" s="169">
        <v>130</v>
      </c>
      <c r="AE272" s="169" t="s">
        <v>1401</v>
      </c>
      <c r="AF272" s="169">
        <v>130</v>
      </c>
      <c r="AG272" s="169" t="s">
        <v>1402</v>
      </c>
      <c r="AH272" s="169" t="s">
        <v>36</v>
      </c>
      <c r="AI272" s="169" t="s">
        <v>472</v>
      </c>
      <c r="AJ272" s="169">
        <v>1043</v>
      </c>
      <c r="AK272" s="169" t="s">
        <v>1407</v>
      </c>
      <c r="AL272" s="169">
        <v>47076</v>
      </c>
      <c r="AM272" s="169" t="s">
        <v>1421</v>
      </c>
      <c r="AN272" s="169" t="s">
        <v>1422</v>
      </c>
      <c r="AO272" s="169">
        <v>47</v>
      </c>
      <c r="AP272" s="169" t="s">
        <v>1423</v>
      </c>
      <c r="AQ272" s="169">
        <v>0</v>
      </c>
      <c r="AR272" s="169" t="s">
        <v>1410</v>
      </c>
      <c r="AS272" s="169"/>
      <c r="AT272" s="169" t="s">
        <v>1417</v>
      </c>
      <c r="AU272" s="169" t="s">
        <v>1412</v>
      </c>
    </row>
    <row r="273" spans="1:47" x14ac:dyDescent="0.45">
      <c r="A273" s="169">
        <v>2613050029</v>
      </c>
      <c r="B273" s="169">
        <v>130</v>
      </c>
      <c r="C273" s="169" t="s">
        <v>1401</v>
      </c>
      <c r="D273" s="169">
        <v>130</v>
      </c>
      <c r="E273" s="169" t="s">
        <v>1402</v>
      </c>
      <c r="F273" s="169" t="s">
        <v>3241</v>
      </c>
      <c r="G273" s="169" t="s">
        <v>3242</v>
      </c>
      <c r="H273" s="169">
        <v>2</v>
      </c>
      <c r="I273" s="169" t="s">
        <v>3243</v>
      </c>
      <c r="J273" s="169" t="s">
        <v>1403</v>
      </c>
      <c r="K273" s="169">
        <v>2026</v>
      </c>
      <c r="L273" s="170">
        <v>2026</v>
      </c>
      <c r="M273" s="171">
        <v>45905</v>
      </c>
      <c r="N273" s="169" t="s">
        <v>36</v>
      </c>
      <c r="O273" s="169" t="s">
        <v>485</v>
      </c>
      <c r="P273" s="169">
        <v>1131</v>
      </c>
      <c r="Q273" s="169" t="s">
        <v>1413</v>
      </c>
      <c r="R273" s="169">
        <v>3</v>
      </c>
      <c r="S273" s="169">
        <v>6</v>
      </c>
      <c r="T273" s="169" t="s">
        <v>1405</v>
      </c>
      <c r="U273" s="169">
        <v>5</v>
      </c>
      <c r="V273" s="170">
        <v>2622011</v>
      </c>
      <c r="W273" s="170">
        <v>0</v>
      </c>
      <c r="X273" s="170" t="s">
        <v>1406</v>
      </c>
      <c r="Y273" s="169"/>
      <c r="Z273" s="169" t="s">
        <v>32</v>
      </c>
      <c r="AA273" s="171">
        <v>45944</v>
      </c>
      <c r="AB273" s="169">
        <v>26</v>
      </c>
      <c r="AC273" s="169">
        <v>22011</v>
      </c>
      <c r="AD273" s="169">
        <v>130</v>
      </c>
      <c r="AE273" s="169" t="s">
        <v>1401</v>
      </c>
      <c r="AF273" s="169">
        <v>130</v>
      </c>
      <c r="AG273" s="169" t="s">
        <v>1402</v>
      </c>
      <c r="AH273" s="169" t="s">
        <v>36</v>
      </c>
      <c r="AI273" s="169" t="s">
        <v>485</v>
      </c>
      <c r="AJ273" s="169">
        <v>1131</v>
      </c>
      <c r="AK273" s="169" t="s">
        <v>1407</v>
      </c>
      <c r="AL273" s="169">
        <v>28167</v>
      </c>
      <c r="AM273" s="169" t="s">
        <v>1418</v>
      </c>
      <c r="AN273" s="169" t="s">
        <v>2810</v>
      </c>
      <c r="AO273" s="169">
        <v>28</v>
      </c>
      <c r="AP273" s="169" t="s">
        <v>1416</v>
      </c>
      <c r="AQ273" s="169">
        <v>0</v>
      </c>
      <c r="AR273" s="169" t="s">
        <v>1410</v>
      </c>
      <c r="AS273" s="169"/>
      <c r="AT273" s="169" t="s">
        <v>1417</v>
      </c>
      <c r="AU273" s="169" t="s">
        <v>1412</v>
      </c>
    </row>
    <row r="274" spans="1:47" x14ac:dyDescent="0.45">
      <c r="A274" s="169">
        <v>2613050032</v>
      </c>
      <c r="B274" s="169">
        <v>130</v>
      </c>
      <c r="C274" s="169" t="s">
        <v>1401</v>
      </c>
      <c r="D274" s="169">
        <v>130</v>
      </c>
      <c r="E274" s="169" t="s">
        <v>1402</v>
      </c>
      <c r="F274" s="169" t="s">
        <v>3244</v>
      </c>
      <c r="G274" s="169" t="s">
        <v>3245</v>
      </c>
      <c r="H274" s="169">
        <v>1</v>
      </c>
      <c r="I274" s="169" t="s">
        <v>3246</v>
      </c>
      <c r="J274" s="169" t="s">
        <v>1403</v>
      </c>
      <c r="K274" s="169">
        <v>2026</v>
      </c>
      <c r="L274" s="170">
        <v>2026</v>
      </c>
      <c r="M274" s="171">
        <v>45901</v>
      </c>
      <c r="N274" s="169" t="s">
        <v>36</v>
      </c>
      <c r="O274" s="169" t="s">
        <v>501</v>
      </c>
      <c r="P274" s="169">
        <v>1726</v>
      </c>
      <c r="Q274" s="169" t="s">
        <v>1430</v>
      </c>
      <c r="R274" s="169">
        <v>2</v>
      </c>
      <c r="S274" s="169">
        <v>34</v>
      </c>
      <c r="T274" s="169" t="s">
        <v>1431</v>
      </c>
      <c r="U274" s="169">
        <v>12</v>
      </c>
      <c r="V274" s="170">
        <v>2622016</v>
      </c>
      <c r="W274" s="170">
        <v>0</v>
      </c>
      <c r="X274" s="170" t="s">
        <v>1406</v>
      </c>
      <c r="Y274" s="169"/>
      <c r="Z274" s="169" t="s">
        <v>32</v>
      </c>
      <c r="AA274" s="171">
        <v>45946</v>
      </c>
      <c r="AB274" s="169">
        <v>26</v>
      </c>
      <c r="AC274" s="169">
        <v>22016</v>
      </c>
      <c r="AD274" s="169">
        <v>130</v>
      </c>
      <c r="AE274" s="169" t="s">
        <v>1401</v>
      </c>
      <c r="AF274" s="169">
        <v>130</v>
      </c>
      <c r="AG274" s="169" t="s">
        <v>1402</v>
      </c>
      <c r="AH274" s="169" t="s">
        <v>36</v>
      </c>
      <c r="AI274" s="169" t="s">
        <v>501</v>
      </c>
      <c r="AJ274" s="169">
        <v>1726</v>
      </c>
      <c r="AK274" s="169" t="s">
        <v>1407</v>
      </c>
      <c r="AL274" s="169">
        <v>28094</v>
      </c>
      <c r="AM274" s="169" t="s">
        <v>1421</v>
      </c>
      <c r="AN274" s="169" t="s">
        <v>1437</v>
      </c>
      <c r="AO274" s="169">
        <v>28</v>
      </c>
      <c r="AP274" s="169" t="s">
        <v>1416</v>
      </c>
      <c r="AQ274" s="169">
        <v>0</v>
      </c>
      <c r="AR274" s="169" t="s">
        <v>1410</v>
      </c>
      <c r="AS274" s="169"/>
      <c r="AT274" s="169" t="s">
        <v>1417</v>
      </c>
      <c r="AU274" s="169" t="s">
        <v>1412</v>
      </c>
    </row>
    <row r="275" spans="1:47" x14ac:dyDescent="0.45">
      <c r="A275" s="169">
        <v>2613050033</v>
      </c>
      <c r="B275" s="169">
        <v>130</v>
      </c>
      <c r="C275" s="169" t="s">
        <v>1401</v>
      </c>
      <c r="D275" s="169">
        <v>130</v>
      </c>
      <c r="E275" s="169" t="s">
        <v>1402</v>
      </c>
      <c r="F275" s="169" t="s">
        <v>3247</v>
      </c>
      <c r="G275" s="169" t="s">
        <v>3248</v>
      </c>
      <c r="H275" s="169">
        <v>1</v>
      </c>
      <c r="I275" s="169" t="s">
        <v>733</v>
      </c>
      <c r="J275" s="169" t="s">
        <v>1403</v>
      </c>
      <c r="K275" s="169">
        <v>2026</v>
      </c>
      <c r="L275" s="170">
        <v>2026</v>
      </c>
      <c r="M275" s="171">
        <v>45921</v>
      </c>
      <c r="N275" s="169" t="s">
        <v>36</v>
      </c>
      <c r="O275" s="169" t="s">
        <v>485</v>
      </c>
      <c r="P275" s="169">
        <v>1131</v>
      </c>
      <c r="Q275" s="169" t="s">
        <v>1413</v>
      </c>
      <c r="R275" s="169">
        <v>3</v>
      </c>
      <c r="S275" s="169">
        <v>6</v>
      </c>
      <c r="T275" s="169" t="s">
        <v>1405</v>
      </c>
      <c r="U275" s="169">
        <v>5</v>
      </c>
      <c r="V275" s="170">
        <v>0</v>
      </c>
      <c r="W275" s="170">
        <v>0</v>
      </c>
      <c r="X275" s="170" t="s">
        <v>1406</v>
      </c>
      <c r="Y275" s="171">
        <v>45986</v>
      </c>
      <c r="Z275" s="169" t="s">
        <v>32</v>
      </c>
      <c r="AA275" s="169"/>
      <c r="AB275" s="169">
        <v>0</v>
      </c>
      <c r="AC275" s="169">
        <v>0</v>
      </c>
      <c r="AD275" s="169">
        <v>0</v>
      </c>
      <c r="AE275" s="169" t="s">
        <v>1446</v>
      </c>
      <c r="AF275" s="169"/>
      <c r="AG275" s="169" t="s">
        <v>1446</v>
      </c>
      <c r="AH275" s="169"/>
      <c r="AI275" s="169"/>
      <c r="AJ275" s="169">
        <v>0</v>
      </c>
      <c r="AK275" s="169" t="s">
        <v>1410</v>
      </c>
      <c r="AL275" s="169">
        <v>28187</v>
      </c>
      <c r="AM275" s="169" t="s">
        <v>1418</v>
      </c>
      <c r="AN275" s="169" t="s">
        <v>1425</v>
      </c>
      <c r="AO275" s="169">
        <v>28</v>
      </c>
      <c r="AP275" s="169" t="s">
        <v>1416</v>
      </c>
      <c r="AQ275" s="169">
        <v>0</v>
      </c>
      <c r="AR275" s="169" t="s">
        <v>1410</v>
      </c>
      <c r="AS275" s="169"/>
      <c r="AT275" s="169" t="s">
        <v>1417</v>
      </c>
      <c r="AU275" s="169" t="s">
        <v>1412</v>
      </c>
    </row>
    <row r="276" spans="1:47" x14ac:dyDescent="0.45">
      <c r="A276" s="169">
        <v>2613050037</v>
      </c>
      <c r="B276" s="169">
        <v>130</v>
      </c>
      <c r="C276" s="169" t="s">
        <v>1401</v>
      </c>
      <c r="D276" s="169">
        <v>130</v>
      </c>
      <c r="E276" s="169" t="s">
        <v>1402</v>
      </c>
      <c r="F276" s="169" t="s">
        <v>3249</v>
      </c>
      <c r="G276" s="169" t="s">
        <v>3250</v>
      </c>
      <c r="H276" s="169">
        <v>1</v>
      </c>
      <c r="I276" s="169" t="s">
        <v>2566</v>
      </c>
      <c r="J276" s="169" t="s">
        <v>1403</v>
      </c>
      <c r="K276" s="169">
        <v>2026</v>
      </c>
      <c r="L276" s="170">
        <v>2026</v>
      </c>
      <c r="M276" s="171">
        <v>45912</v>
      </c>
      <c r="N276" s="169" t="s">
        <v>36</v>
      </c>
      <c r="O276" s="169" t="s">
        <v>501</v>
      </c>
      <c r="P276" s="169">
        <v>1726</v>
      </c>
      <c r="Q276" s="169" t="s">
        <v>1430</v>
      </c>
      <c r="R276" s="169">
        <v>2</v>
      </c>
      <c r="S276" s="169">
        <v>34</v>
      </c>
      <c r="T276" s="169" t="s">
        <v>1431</v>
      </c>
      <c r="U276" s="169">
        <v>12</v>
      </c>
      <c r="V276" s="170">
        <v>0</v>
      </c>
      <c r="W276" s="170">
        <v>0</v>
      </c>
      <c r="X276" s="170" t="s">
        <v>1406</v>
      </c>
      <c r="Y276" s="169"/>
      <c r="Z276" s="169" t="s">
        <v>32</v>
      </c>
      <c r="AA276" s="169"/>
      <c r="AB276" s="169">
        <v>0</v>
      </c>
      <c r="AC276" s="169">
        <v>0</v>
      </c>
      <c r="AD276" s="169">
        <v>0</v>
      </c>
      <c r="AE276" s="169" t="s">
        <v>1446</v>
      </c>
      <c r="AF276" s="169"/>
      <c r="AG276" s="169" t="s">
        <v>1446</v>
      </c>
      <c r="AH276" s="169"/>
      <c r="AI276" s="169"/>
      <c r="AJ276" s="169">
        <v>0</v>
      </c>
      <c r="AK276" s="169" t="s">
        <v>1407</v>
      </c>
      <c r="AL276" s="169">
        <v>28087</v>
      </c>
      <c r="AM276" s="169" t="s">
        <v>1418</v>
      </c>
      <c r="AN276" s="169" t="s">
        <v>1518</v>
      </c>
      <c r="AO276" s="169">
        <v>28</v>
      </c>
      <c r="AP276" s="169" t="s">
        <v>1416</v>
      </c>
      <c r="AQ276" s="169">
        <v>0</v>
      </c>
      <c r="AR276" s="169" t="s">
        <v>1410</v>
      </c>
      <c r="AS276" s="169"/>
      <c r="AT276" s="169" t="s">
        <v>1417</v>
      </c>
      <c r="AU276" s="169" t="s">
        <v>1412</v>
      </c>
    </row>
    <row r="277" spans="1:47" x14ac:dyDescent="0.45">
      <c r="A277" s="169">
        <v>2613050039</v>
      </c>
      <c r="B277" s="169">
        <v>130</v>
      </c>
      <c r="C277" s="169" t="s">
        <v>1401</v>
      </c>
      <c r="D277" s="169">
        <v>130</v>
      </c>
      <c r="E277" s="169" t="s">
        <v>1402</v>
      </c>
      <c r="F277" s="169" t="s">
        <v>3251</v>
      </c>
      <c r="G277" s="169" t="s">
        <v>3252</v>
      </c>
      <c r="H277" s="169">
        <v>1</v>
      </c>
      <c r="I277" s="169" t="s">
        <v>3253</v>
      </c>
      <c r="J277" s="169" t="s">
        <v>1403</v>
      </c>
      <c r="K277" s="169">
        <v>2026</v>
      </c>
      <c r="L277" s="170">
        <v>2026</v>
      </c>
      <c r="M277" s="171">
        <v>45902</v>
      </c>
      <c r="N277" s="169" t="s">
        <v>36</v>
      </c>
      <c r="O277" s="169" t="s">
        <v>485</v>
      </c>
      <c r="P277" s="169">
        <v>1131</v>
      </c>
      <c r="Q277" s="169" t="s">
        <v>1413</v>
      </c>
      <c r="R277" s="169">
        <v>3</v>
      </c>
      <c r="S277" s="169">
        <v>6</v>
      </c>
      <c r="T277" s="169" t="s">
        <v>1405</v>
      </c>
      <c r="U277" s="169">
        <v>5</v>
      </c>
      <c r="V277" s="170">
        <v>2622027</v>
      </c>
      <c r="W277" s="170">
        <v>0</v>
      </c>
      <c r="X277" s="170" t="s">
        <v>1406</v>
      </c>
      <c r="Y277" s="169"/>
      <c r="Z277" s="169" t="s">
        <v>32</v>
      </c>
      <c r="AA277" s="171">
        <v>46015</v>
      </c>
      <c r="AB277" s="169">
        <v>26</v>
      </c>
      <c r="AC277" s="169">
        <v>22027</v>
      </c>
      <c r="AD277" s="169">
        <v>130</v>
      </c>
      <c r="AE277" s="169" t="s">
        <v>1401</v>
      </c>
      <c r="AF277" s="169">
        <v>130</v>
      </c>
      <c r="AG277" s="169" t="s">
        <v>1402</v>
      </c>
      <c r="AH277" s="169" t="s">
        <v>36</v>
      </c>
      <c r="AI277" s="169" t="s">
        <v>485</v>
      </c>
      <c r="AJ277" s="169">
        <v>1131</v>
      </c>
      <c r="AK277" s="169" t="s">
        <v>1407</v>
      </c>
      <c r="AL277" s="169">
        <v>1355</v>
      </c>
      <c r="AM277" s="169" t="s">
        <v>1421</v>
      </c>
      <c r="AN277" s="169" t="s">
        <v>1442</v>
      </c>
      <c r="AO277" s="169">
        <v>1</v>
      </c>
      <c r="AP277" s="169" t="s">
        <v>1443</v>
      </c>
      <c r="AQ277" s="169">
        <v>0</v>
      </c>
      <c r="AR277" s="169" t="s">
        <v>1410</v>
      </c>
      <c r="AS277" s="169"/>
      <c r="AT277" s="169" t="s">
        <v>1417</v>
      </c>
      <c r="AU277" s="169" t="s">
        <v>1412</v>
      </c>
    </row>
    <row r="278" spans="1:47" x14ac:dyDescent="0.45">
      <c r="A278" s="169">
        <v>2613050040</v>
      </c>
      <c r="B278" s="169">
        <v>130</v>
      </c>
      <c r="C278" s="169" t="s">
        <v>1401</v>
      </c>
      <c r="D278" s="169">
        <v>130</v>
      </c>
      <c r="E278" s="169" t="s">
        <v>1402</v>
      </c>
      <c r="F278" s="169" t="s">
        <v>3254</v>
      </c>
      <c r="G278" s="169" t="s">
        <v>3255</v>
      </c>
      <c r="H278" s="169">
        <v>2</v>
      </c>
      <c r="I278" s="169" t="s">
        <v>1108</v>
      </c>
      <c r="J278" s="169" t="s">
        <v>1403</v>
      </c>
      <c r="K278" s="169">
        <v>2026</v>
      </c>
      <c r="L278" s="170">
        <v>2026</v>
      </c>
      <c r="M278" s="171">
        <v>45928</v>
      </c>
      <c r="N278" s="169" t="s">
        <v>36</v>
      </c>
      <c r="O278" s="169" t="s">
        <v>472</v>
      </c>
      <c r="P278" s="169">
        <v>1043</v>
      </c>
      <c r="Q278" s="169" t="s">
        <v>1404</v>
      </c>
      <c r="R278" s="169">
        <v>2</v>
      </c>
      <c r="S278" s="169">
        <v>6</v>
      </c>
      <c r="T278" s="169" t="s">
        <v>1405</v>
      </c>
      <c r="U278" s="169">
        <v>5</v>
      </c>
      <c r="V278" s="170">
        <v>2622007</v>
      </c>
      <c r="W278" s="170">
        <v>0</v>
      </c>
      <c r="X278" s="170" t="s">
        <v>1406</v>
      </c>
      <c r="Y278" s="169"/>
      <c r="Z278" s="169" t="s">
        <v>32</v>
      </c>
      <c r="AA278" s="171">
        <v>45944</v>
      </c>
      <c r="AB278" s="169">
        <v>26</v>
      </c>
      <c r="AC278" s="169">
        <v>22007</v>
      </c>
      <c r="AD278" s="169">
        <v>130</v>
      </c>
      <c r="AE278" s="169" t="s">
        <v>1401</v>
      </c>
      <c r="AF278" s="169">
        <v>130</v>
      </c>
      <c r="AG278" s="169" t="s">
        <v>1402</v>
      </c>
      <c r="AH278" s="169" t="s">
        <v>36</v>
      </c>
      <c r="AI278" s="169" t="s">
        <v>472</v>
      </c>
      <c r="AJ278" s="169">
        <v>1043</v>
      </c>
      <c r="AK278" s="169" t="s">
        <v>1407</v>
      </c>
      <c r="AL278" s="169">
        <v>28174</v>
      </c>
      <c r="AM278" s="169" t="s">
        <v>1418</v>
      </c>
      <c r="AN278" s="169" t="s">
        <v>1543</v>
      </c>
      <c r="AO278" s="169">
        <v>28</v>
      </c>
      <c r="AP278" s="169" t="s">
        <v>1416</v>
      </c>
      <c r="AQ278" s="169">
        <v>0</v>
      </c>
      <c r="AR278" s="169" t="s">
        <v>1410</v>
      </c>
      <c r="AS278" s="169"/>
      <c r="AT278" s="169" t="s">
        <v>1417</v>
      </c>
      <c r="AU278" s="169" t="s">
        <v>1412</v>
      </c>
    </row>
    <row r="279" spans="1:47" x14ac:dyDescent="0.45">
      <c r="A279" s="169">
        <v>2613050041</v>
      </c>
      <c r="B279" s="169">
        <v>130</v>
      </c>
      <c r="C279" s="169" t="s">
        <v>1401</v>
      </c>
      <c r="D279" s="169">
        <v>130</v>
      </c>
      <c r="E279" s="169" t="s">
        <v>1402</v>
      </c>
      <c r="F279" s="169" t="s">
        <v>3256</v>
      </c>
      <c r="G279" s="169" t="s">
        <v>3257</v>
      </c>
      <c r="H279" s="169">
        <v>1</v>
      </c>
      <c r="I279" s="169" t="s">
        <v>1936</v>
      </c>
      <c r="J279" s="169" t="s">
        <v>1403</v>
      </c>
      <c r="K279" s="169">
        <v>2026</v>
      </c>
      <c r="L279" s="170">
        <v>2026</v>
      </c>
      <c r="M279" s="171">
        <v>45937</v>
      </c>
      <c r="N279" s="169" t="s">
        <v>36</v>
      </c>
      <c r="O279" s="169" t="s">
        <v>501</v>
      </c>
      <c r="P279" s="169">
        <v>1726</v>
      </c>
      <c r="Q279" s="169" t="s">
        <v>1430</v>
      </c>
      <c r="R279" s="169">
        <v>2</v>
      </c>
      <c r="S279" s="169">
        <v>34</v>
      </c>
      <c r="T279" s="169" t="s">
        <v>1431</v>
      </c>
      <c r="U279" s="169">
        <v>12</v>
      </c>
      <c r="V279" s="170">
        <v>2622025</v>
      </c>
      <c r="W279" s="170">
        <v>0</v>
      </c>
      <c r="X279" s="170" t="s">
        <v>1406</v>
      </c>
      <c r="Y279" s="169"/>
      <c r="Z279" s="169" t="s">
        <v>32</v>
      </c>
      <c r="AA279" s="171">
        <v>45992</v>
      </c>
      <c r="AB279" s="169">
        <v>26</v>
      </c>
      <c r="AC279" s="169">
        <v>22025</v>
      </c>
      <c r="AD279" s="169">
        <v>130</v>
      </c>
      <c r="AE279" s="169" t="s">
        <v>1401</v>
      </c>
      <c r="AF279" s="169">
        <v>130</v>
      </c>
      <c r="AG279" s="169" t="s">
        <v>1402</v>
      </c>
      <c r="AH279" s="169" t="s">
        <v>36</v>
      </c>
      <c r="AI279" s="169" t="s">
        <v>501</v>
      </c>
      <c r="AJ279" s="169">
        <v>1726</v>
      </c>
      <c r="AK279" s="169" t="s">
        <v>1407</v>
      </c>
      <c r="AL279" s="169">
        <v>28107</v>
      </c>
      <c r="AM279" s="169" t="s">
        <v>1418</v>
      </c>
      <c r="AN279" s="169" t="s">
        <v>1484</v>
      </c>
      <c r="AO279" s="169">
        <v>28</v>
      </c>
      <c r="AP279" s="169" t="s">
        <v>1416</v>
      </c>
      <c r="AQ279" s="169">
        <v>0</v>
      </c>
      <c r="AR279" s="169" t="s">
        <v>1410</v>
      </c>
      <c r="AS279" s="169"/>
      <c r="AT279" s="169" t="s">
        <v>1417</v>
      </c>
      <c r="AU279" s="169" t="s">
        <v>1412</v>
      </c>
    </row>
    <row r="280" spans="1:47" x14ac:dyDescent="0.45">
      <c r="A280" s="169">
        <v>2613050043</v>
      </c>
      <c r="B280" s="169">
        <v>130</v>
      </c>
      <c r="C280" s="169" t="s">
        <v>1401</v>
      </c>
      <c r="D280" s="169">
        <v>130</v>
      </c>
      <c r="E280" s="169" t="s">
        <v>1402</v>
      </c>
      <c r="F280" s="169" t="s">
        <v>3258</v>
      </c>
      <c r="G280" s="169" t="s">
        <v>3259</v>
      </c>
      <c r="H280" s="169">
        <v>1</v>
      </c>
      <c r="I280" s="169" t="s">
        <v>988</v>
      </c>
      <c r="J280" s="169" t="s">
        <v>1403</v>
      </c>
      <c r="K280" s="169">
        <v>2026</v>
      </c>
      <c r="L280" s="170">
        <v>2026</v>
      </c>
      <c r="M280" s="171">
        <v>45918</v>
      </c>
      <c r="N280" s="169" t="s">
        <v>36</v>
      </c>
      <c r="O280" s="169" t="s">
        <v>485</v>
      </c>
      <c r="P280" s="169">
        <v>1131</v>
      </c>
      <c r="Q280" s="169" t="s">
        <v>1413</v>
      </c>
      <c r="R280" s="169">
        <v>3</v>
      </c>
      <c r="S280" s="169">
        <v>6</v>
      </c>
      <c r="T280" s="169" t="s">
        <v>1405</v>
      </c>
      <c r="U280" s="169">
        <v>5</v>
      </c>
      <c r="V280" s="170">
        <v>2622030</v>
      </c>
      <c r="W280" s="170">
        <v>0</v>
      </c>
      <c r="X280" s="170" t="s">
        <v>1406</v>
      </c>
      <c r="Y280" s="169"/>
      <c r="Z280" s="169" t="s">
        <v>32</v>
      </c>
      <c r="AA280" s="171">
        <v>46043</v>
      </c>
      <c r="AB280" s="169">
        <v>26</v>
      </c>
      <c r="AC280" s="169">
        <v>22030</v>
      </c>
      <c r="AD280" s="169">
        <v>130</v>
      </c>
      <c r="AE280" s="169" t="s">
        <v>1401</v>
      </c>
      <c r="AF280" s="169">
        <v>130</v>
      </c>
      <c r="AG280" s="169" t="s">
        <v>1402</v>
      </c>
      <c r="AH280" s="169" t="s">
        <v>36</v>
      </c>
      <c r="AI280" s="169" t="s">
        <v>485</v>
      </c>
      <c r="AJ280" s="169">
        <v>1131</v>
      </c>
      <c r="AK280" s="169" t="s">
        <v>1407</v>
      </c>
      <c r="AL280" s="169">
        <v>28269</v>
      </c>
      <c r="AM280" s="169" t="s">
        <v>1421</v>
      </c>
      <c r="AN280" s="169" t="s">
        <v>1450</v>
      </c>
      <c r="AO280" s="169">
        <v>28</v>
      </c>
      <c r="AP280" s="169" t="s">
        <v>1416</v>
      </c>
      <c r="AQ280" s="169">
        <v>0</v>
      </c>
      <c r="AR280" s="169" t="s">
        <v>1410</v>
      </c>
      <c r="AS280" s="169"/>
      <c r="AT280" s="169" t="s">
        <v>1417</v>
      </c>
      <c r="AU280" s="169" t="s">
        <v>1412</v>
      </c>
    </row>
    <row r="281" spans="1:47" x14ac:dyDescent="0.45">
      <c r="A281" s="169">
        <v>2613050044</v>
      </c>
      <c r="B281" s="169">
        <v>130</v>
      </c>
      <c r="C281" s="169" t="s">
        <v>1401</v>
      </c>
      <c r="D281" s="169">
        <v>130</v>
      </c>
      <c r="E281" s="169" t="s">
        <v>1402</v>
      </c>
      <c r="F281" s="169" t="s">
        <v>3260</v>
      </c>
      <c r="G281" s="169" t="s">
        <v>3261</v>
      </c>
      <c r="H281" s="169">
        <v>1</v>
      </c>
      <c r="I281" s="169" t="s">
        <v>3262</v>
      </c>
      <c r="J281" s="169" t="s">
        <v>1403</v>
      </c>
      <c r="K281" s="169">
        <v>2026</v>
      </c>
      <c r="L281" s="170">
        <v>2026</v>
      </c>
      <c r="M281" s="171">
        <v>45937</v>
      </c>
      <c r="N281" s="169" t="s">
        <v>36</v>
      </c>
      <c r="O281" s="169" t="s">
        <v>501</v>
      </c>
      <c r="P281" s="169">
        <v>1726</v>
      </c>
      <c r="Q281" s="169" t="s">
        <v>1430</v>
      </c>
      <c r="R281" s="169">
        <v>2</v>
      </c>
      <c r="S281" s="169">
        <v>34</v>
      </c>
      <c r="T281" s="169" t="s">
        <v>1431</v>
      </c>
      <c r="U281" s="169">
        <v>12</v>
      </c>
      <c r="V281" s="170">
        <v>0</v>
      </c>
      <c r="W281" s="170">
        <v>0</v>
      </c>
      <c r="X281" s="170" t="s">
        <v>1406</v>
      </c>
      <c r="Y281" s="171">
        <v>46041</v>
      </c>
      <c r="Z281" s="169" t="s">
        <v>32</v>
      </c>
      <c r="AA281" s="169"/>
      <c r="AB281" s="169">
        <v>0</v>
      </c>
      <c r="AC281" s="169">
        <v>0</v>
      </c>
      <c r="AD281" s="169">
        <v>0</v>
      </c>
      <c r="AE281" s="169" t="s">
        <v>1446</v>
      </c>
      <c r="AF281" s="169"/>
      <c r="AG281" s="169" t="s">
        <v>1446</v>
      </c>
      <c r="AH281" s="169"/>
      <c r="AI281" s="169"/>
      <c r="AJ281" s="169">
        <v>0</v>
      </c>
      <c r="AK281" s="169" t="s">
        <v>1407</v>
      </c>
      <c r="AL281" s="169">
        <v>28107</v>
      </c>
      <c r="AM281" s="169" t="s">
        <v>1418</v>
      </c>
      <c r="AN281" s="169" t="s">
        <v>1484</v>
      </c>
      <c r="AO281" s="169">
        <v>28</v>
      </c>
      <c r="AP281" s="169" t="s">
        <v>1416</v>
      </c>
      <c r="AQ281" s="169">
        <v>0</v>
      </c>
      <c r="AR281" s="169" t="s">
        <v>1410</v>
      </c>
      <c r="AS281" s="169"/>
      <c r="AT281" s="169" t="s">
        <v>1417</v>
      </c>
      <c r="AU281" s="169" t="s">
        <v>1412</v>
      </c>
    </row>
    <row r="282" spans="1:47" x14ac:dyDescent="0.45">
      <c r="A282" s="169">
        <v>2613050046</v>
      </c>
      <c r="B282" s="169">
        <v>130</v>
      </c>
      <c r="C282" s="169" t="s">
        <v>1401</v>
      </c>
      <c r="D282" s="169">
        <v>130</v>
      </c>
      <c r="E282" s="169" t="s">
        <v>1402</v>
      </c>
      <c r="F282" s="169" t="s">
        <v>3263</v>
      </c>
      <c r="G282" s="169" t="s">
        <v>3264</v>
      </c>
      <c r="H282" s="169">
        <v>1</v>
      </c>
      <c r="I282" s="169" t="s">
        <v>1108</v>
      </c>
      <c r="J282" s="169" t="s">
        <v>1403</v>
      </c>
      <c r="K282" s="169">
        <v>2026</v>
      </c>
      <c r="L282" s="170">
        <v>2026</v>
      </c>
      <c r="M282" s="171">
        <v>45901</v>
      </c>
      <c r="N282" s="169" t="s">
        <v>36</v>
      </c>
      <c r="O282" s="169" t="s">
        <v>472</v>
      </c>
      <c r="P282" s="169">
        <v>1043</v>
      </c>
      <c r="Q282" s="169" t="s">
        <v>1404</v>
      </c>
      <c r="R282" s="169">
        <v>2</v>
      </c>
      <c r="S282" s="169">
        <v>6</v>
      </c>
      <c r="T282" s="169" t="s">
        <v>1405</v>
      </c>
      <c r="U282" s="169">
        <v>5</v>
      </c>
      <c r="V282" s="170">
        <v>2622009</v>
      </c>
      <c r="W282" s="170">
        <v>0</v>
      </c>
      <c r="X282" s="170" t="s">
        <v>1406</v>
      </c>
      <c r="Y282" s="169"/>
      <c r="Z282" s="169" t="s">
        <v>32</v>
      </c>
      <c r="AA282" s="171">
        <v>45944</v>
      </c>
      <c r="AB282" s="169">
        <v>26</v>
      </c>
      <c r="AC282" s="169">
        <v>22009</v>
      </c>
      <c r="AD282" s="169">
        <v>130</v>
      </c>
      <c r="AE282" s="169" t="s">
        <v>1401</v>
      </c>
      <c r="AF282" s="169">
        <v>130</v>
      </c>
      <c r="AG282" s="169" t="s">
        <v>1402</v>
      </c>
      <c r="AH282" s="169" t="s">
        <v>36</v>
      </c>
      <c r="AI282" s="169" t="s">
        <v>472</v>
      </c>
      <c r="AJ282" s="169">
        <v>1043</v>
      </c>
      <c r="AK282" s="169" t="s">
        <v>1407</v>
      </c>
      <c r="AL282" s="169">
        <v>28158</v>
      </c>
      <c r="AM282" s="169" t="s">
        <v>1418</v>
      </c>
      <c r="AN282" s="169" t="s">
        <v>2840</v>
      </c>
      <c r="AO282" s="169">
        <v>28</v>
      </c>
      <c r="AP282" s="169" t="s">
        <v>1416</v>
      </c>
      <c r="AQ282" s="169">
        <v>0</v>
      </c>
      <c r="AR282" s="169" t="s">
        <v>1410</v>
      </c>
      <c r="AS282" s="169"/>
      <c r="AT282" s="169" t="s">
        <v>1417</v>
      </c>
      <c r="AU282" s="169" t="s">
        <v>1412</v>
      </c>
    </row>
    <row r="283" spans="1:47" x14ac:dyDescent="0.45">
      <c r="A283" s="169">
        <v>2613050047</v>
      </c>
      <c r="B283" s="169">
        <v>130</v>
      </c>
      <c r="C283" s="169" t="s">
        <v>1401</v>
      </c>
      <c r="D283" s="169">
        <v>130</v>
      </c>
      <c r="E283" s="169" t="s">
        <v>1402</v>
      </c>
      <c r="F283" s="169" t="s">
        <v>3265</v>
      </c>
      <c r="G283" s="169" t="s">
        <v>3266</v>
      </c>
      <c r="H283" s="169">
        <v>1</v>
      </c>
      <c r="I283" s="169" t="s">
        <v>3267</v>
      </c>
      <c r="J283" s="169" t="s">
        <v>1403</v>
      </c>
      <c r="K283" s="169">
        <v>2026</v>
      </c>
      <c r="L283" s="170">
        <v>2026</v>
      </c>
      <c r="M283" s="171">
        <v>45921</v>
      </c>
      <c r="N283" s="169" t="s">
        <v>36</v>
      </c>
      <c r="O283" s="169" t="s">
        <v>472</v>
      </c>
      <c r="P283" s="169">
        <v>1043</v>
      </c>
      <c r="Q283" s="169" t="s">
        <v>1404</v>
      </c>
      <c r="R283" s="169">
        <v>2</v>
      </c>
      <c r="S283" s="169">
        <v>6</v>
      </c>
      <c r="T283" s="169" t="s">
        <v>1405</v>
      </c>
      <c r="U283" s="169">
        <v>5</v>
      </c>
      <c r="V283" s="170">
        <v>2622008</v>
      </c>
      <c r="W283" s="170">
        <v>0</v>
      </c>
      <c r="X283" s="170" t="s">
        <v>1406</v>
      </c>
      <c r="Y283" s="169"/>
      <c r="Z283" s="169" t="s">
        <v>32</v>
      </c>
      <c r="AA283" s="171">
        <v>45944</v>
      </c>
      <c r="AB283" s="169">
        <v>26</v>
      </c>
      <c r="AC283" s="169">
        <v>22008</v>
      </c>
      <c r="AD283" s="169">
        <v>130</v>
      </c>
      <c r="AE283" s="169" t="s">
        <v>1401</v>
      </c>
      <c r="AF283" s="169">
        <v>130</v>
      </c>
      <c r="AG283" s="169" t="s">
        <v>1402</v>
      </c>
      <c r="AH283" s="169" t="s">
        <v>36</v>
      </c>
      <c r="AI283" s="169" t="s">
        <v>472</v>
      </c>
      <c r="AJ283" s="169">
        <v>1043</v>
      </c>
      <c r="AK283" s="169" t="s">
        <v>1407</v>
      </c>
      <c r="AL283" s="169">
        <v>28178</v>
      </c>
      <c r="AM283" s="169" t="s">
        <v>1418</v>
      </c>
      <c r="AN283" s="169" t="s">
        <v>1507</v>
      </c>
      <c r="AO283" s="169">
        <v>28</v>
      </c>
      <c r="AP283" s="169" t="s">
        <v>1416</v>
      </c>
      <c r="AQ283" s="169">
        <v>0</v>
      </c>
      <c r="AR283" s="169" t="s">
        <v>1410</v>
      </c>
      <c r="AS283" s="169"/>
      <c r="AT283" s="169" t="s">
        <v>1417</v>
      </c>
      <c r="AU283" s="169" t="s">
        <v>1412</v>
      </c>
    </row>
    <row r="284" spans="1:47" x14ac:dyDescent="0.45">
      <c r="A284" s="169">
        <v>2613050048</v>
      </c>
      <c r="B284" s="169">
        <v>130</v>
      </c>
      <c r="C284" s="169" t="s">
        <v>1401</v>
      </c>
      <c r="D284" s="169">
        <v>130</v>
      </c>
      <c r="E284" s="169" t="s">
        <v>1402</v>
      </c>
      <c r="F284" s="169" t="s">
        <v>3268</v>
      </c>
      <c r="G284" s="169" t="s">
        <v>3269</v>
      </c>
      <c r="H284" s="169">
        <v>1</v>
      </c>
      <c r="I284" s="169" t="s">
        <v>3270</v>
      </c>
      <c r="J284" s="169" t="s">
        <v>1403</v>
      </c>
      <c r="K284" s="169">
        <v>2026</v>
      </c>
      <c r="L284" s="170">
        <v>2026</v>
      </c>
      <c r="M284" s="171">
        <v>45921</v>
      </c>
      <c r="N284" s="169" t="s">
        <v>36</v>
      </c>
      <c r="O284" s="169" t="s">
        <v>485</v>
      </c>
      <c r="P284" s="169">
        <v>1131</v>
      </c>
      <c r="Q284" s="169" t="s">
        <v>1413</v>
      </c>
      <c r="R284" s="169">
        <v>3</v>
      </c>
      <c r="S284" s="169">
        <v>6</v>
      </c>
      <c r="T284" s="169" t="s">
        <v>1405</v>
      </c>
      <c r="U284" s="169">
        <v>5</v>
      </c>
      <c r="V284" s="170">
        <v>2622017</v>
      </c>
      <c r="W284" s="170">
        <v>0</v>
      </c>
      <c r="X284" s="170" t="s">
        <v>1406</v>
      </c>
      <c r="Y284" s="169"/>
      <c r="Z284" s="169" t="s">
        <v>32</v>
      </c>
      <c r="AA284" s="171">
        <v>45946</v>
      </c>
      <c r="AB284" s="169">
        <v>26</v>
      </c>
      <c r="AC284" s="169">
        <v>22017</v>
      </c>
      <c r="AD284" s="169">
        <v>130</v>
      </c>
      <c r="AE284" s="169" t="s">
        <v>1401</v>
      </c>
      <c r="AF284" s="169">
        <v>130</v>
      </c>
      <c r="AG284" s="169" t="s">
        <v>1402</v>
      </c>
      <c r="AH284" s="169" t="s">
        <v>36</v>
      </c>
      <c r="AI284" s="169" t="s">
        <v>485</v>
      </c>
      <c r="AJ284" s="169">
        <v>1131</v>
      </c>
      <c r="AK284" s="169" t="s">
        <v>1407</v>
      </c>
      <c r="AL284" s="169">
        <v>28095</v>
      </c>
      <c r="AM284" s="169" t="s">
        <v>1421</v>
      </c>
      <c r="AN284" s="169" t="s">
        <v>1435</v>
      </c>
      <c r="AO284" s="169">
        <v>28</v>
      </c>
      <c r="AP284" s="169" t="s">
        <v>1416</v>
      </c>
      <c r="AQ284" s="169">
        <v>0</v>
      </c>
      <c r="AR284" s="169" t="s">
        <v>1410</v>
      </c>
      <c r="AS284" s="169"/>
      <c r="AT284" s="169" t="s">
        <v>1417</v>
      </c>
      <c r="AU284" s="169" t="s">
        <v>1412</v>
      </c>
    </row>
    <row r="285" spans="1:47" x14ac:dyDescent="0.45">
      <c r="A285" s="169">
        <v>2613050049</v>
      </c>
      <c r="B285" s="169">
        <v>130</v>
      </c>
      <c r="C285" s="169" t="s">
        <v>1401</v>
      </c>
      <c r="D285" s="169">
        <v>130</v>
      </c>
      <c r="E285" s="169" t="s">
        <v>1402</v>
      </c>
      <c r="F285" s="169" t="s">
        <v>3271</v>
      </c>
      <c r="G285" s="169" t="s">
        <v>3272</v>
      </c>
      <c r="H285" s="169">
        <v>2</v>
      </c>
      <c r="I285" s="169" t="s">
        <v>3273</v>
      </c>
      <c r="J285" s="169" t="s">
        <v>1403</v>
      </c>
      <c r="K285" s="169">
        <v>0</v>
      </c>
      <c r="L285" s="170">
        <v>2026</v>
      </c>
      <c r="M285" s="171">
        <v>45934</v>
      </c>
      <c r="N285" s="169" t="s">
        <v>36</v>
      </c>
      <c r="O285" s="169" t="s">
        <v>485</v>
      </c>
      <c r="P285" s="169">
        <v>1131</v>
      </c>
      <c r="Q285" s="169" t="s">
        <v>1413</v>
      </c>
      <c r="R285" s="169">
        <v>3</v>
      </c>
      <c r="S285" s="169">
        <v>6</v>
      </c>
      <c r="T285" s="169" t="s">
        <v>1405</v>
      </c>
      <c r="U285" s="169">
        <v>5</v>
      </c>
      <c r="V285" s="170">
        <v>2622020</v>
      </c>
      <c r="W285" s="170">
        <v>0</v>
      </c>
      <c r="X285" s="170" t="s">
        <v>1406</v>
      </c>
      <c r="Y285" s="169"/>
      <c r="Z285" s="169" t="s">
        <v>32</v>
      </c>
      <c r="AA285" s="171">
        <v>45950</v>
      </c>
      <c r="AB285" s="169">
        <v>26</v>
      </c>
      <c r="AC285" s="169">
        <v>22020</v>
      </c>
      <c r="AD285" s="169">
        <v>130</v>
      </c>
      <c r="AE285" s="169" t="s">
        <v>1401</v>
      </c>
      <c r="AF285" s="169">
        <v>130</v>
      </c>
      <c r="AG285" s="169" t="s">
        <v>1402</v>
      </c>
      <c r="AH285" s="169" t="s">
        <v>36</v>
      </c>
      <c r="AI285" s="169" t="s">
        <v>485</v>
      </c>
      <c r="AJ285" s="169">
        <v>1131</v>
      </c>
      <c r="AK285" s="169" t="s">
        <v>1407</v>
      </c>
      <c r="AL285" s="169">
        <v>46118</v>
      </c>
      <c r="AM285" s="169" t="s">
        <v>1421</v>
      </c>
      <c r="AN285" s="169" t="s">
        <v>1432</v>
      </c>
      <c r="AO285" s="169">
        <v>46</v>
      </c>
      <c r="AP285" s="169" t="s">
        <v>1433</v>
      </c>
      <c r="AQ285" s="169">
        <v>0</v>
      </c>
      <c r="AR285" s="169" t="s">
        <v>1410</v>
      </c>
      <c r="AS285" s="169"/>
      <c r="AT285" s="169" t="s">
        <v>1411</v>
      </c>
      <c r="AU285" s="169" t="s">
        <v>1412</v>
      </c>
    </row>
    <row r="286" spans="1:47" x14ac:dyDescent="0.45">
      <c r="A286" s="169">
        <v>2613050050</v>
      </c>
      <c r="B286" s="169">
        <v>130</v>
      </c>
      <c r="C286" s="169" t="s">
        <v>1401</v>
      </c>
      <c r="D286" s="169">
        <v>130</v>
      </c>
      <c r="E286" s="169" t="s">
        <v>1402</v>
      </c>
      <c r="F286" s="169" t="s">
        <v>3274</v>
      </c>
      <c r="G286" s="169" t="s">
        <v>3275</v>
      </c>
      <c r="H286" s="169">
        <v>1</v>
      </c>
      <c r="I286" s="169" t="s">
        <v>1024</v>
      </c>
      <c r="J286" s="169" t="s">
        <v>1403</v>
      </c>
      <c r="K286" s="169">
        <v>2026</v>
      </c>
      <c r="L286" s="170">
        <v>2026</v>
      </c>
      <c r="M286" s="171">
        <v>45928</v>
      </c>
      <c r="N286" s="169" t="s">
        <v>36</v>
      </c>
      <c r="O286" s="169" t="s">
        <v>501</v>
      </c>
      <c r="P286" s="169">
        <v>1726</v>
      </c>
      <c r="Q286" s="169" t="s">
        <v>1430</v>
      </c>
      <c r="R286" s="169">
        <v>2</v>
      </c>
      <c r="S286" s="169">
        <v>34</v>
      </c>
      <c r="T286" s="169" t="s">
        <v>1431</v>
      </c>
      <c r="U286" s="169">
        <v>12</v>
      </c>
      <c r="V286" s="170">
        <v>2622010</v>
      </c>
      <c r="W286" s="170">
        <v>0</v>
      </c>
      <c r="X286" s="170" t="s">
        <v>1406</v>
      </c>
      <c r="Y286" s="169"/>
      <c r="Z286" s="169" t="s">
        <v>32</v>
      </c>
      <c r="AA286" s="171">
        <v>45944</v>
      </c>
      <c r="AB286" s="169">
        <v>26</v>
      </c>
      <c r="AC286" s="169">
        <v>22010</v>
      </c>
      <c r="AD286" s="169">
        <v>130</v>
      </c>
      <c r="AE286" s="169" t="s">
        <v>1401</v>
      </c>
      <c r="AF286" s="169">
        <v>130</v>
      </c>
      <c r="AG286" s="169" t="s">
        <v>1402</v>
      </c>
      <c r="AH286" s="169" t="s">
        <v>36</v>
      </c>
      <c r="AI286" s="169" t="s">
        <v>501</v>
      </c>
      <c r="AJ286" s="169">
        <v>1726</v>
      </c>
      <c r="AK286" s="169" t="s">
        <v>1407</v>
      </c>
      <c r="AL286" s="169">
        <v>1347</v>
      </c>
      <c r="AM286" s="169" t="s">
        <v>1421</v>
      </c>
      <c r="AN286" s="169" t="s">
        <v>1445</v>
      </c>
      <c r="AO286" s="169">
        <v>1</v>
      </c>
      <c r="AP286" s="169" t="s">
        <v>1443</v>
      </c>
      <c r="AQ286" s="169">
        <v>0</v>
      </c>
      <c r="AR286" s="169" t="s">
        <v>1410</v>
      </c>
      <c r="AS286" s="169"/>
      <c r="AT286" s="169" t="s">
        <v>1417</v>
      </c>
      <c r="AU286" s="169" t="s">
        <v>1412</v>
      </c>
    </row>
    <row r="287" spans="1:47" x14ac:dyDescent="0.45">
      <c r="A287" s="169">
        <v>2613050051</v>
      </c>
      <c r="B287" s="169">
        <v>130</v>
      </c>
      <c r="C287" s="169" t="s">
        <v>1401</v>
      </c>
      <c r="D287" s="169">
        <v>130</v>
      </c>
      <c r="E287" s="169" t="s">
        <v>1402</v>
      </c>
      <c r="F287" s="169" t="s">
        <v>3276</v>
      </c>
      <c r="G287" s="169" t="s">
        <v>3277</v>
      </c>
      <c r="H287" s="169">
        <v>1</v>
      </c>
      <c r="I287" s="169" t="s">
        <v>2499</v>
      </c>
      <c r="J287" s="169" t="s">
        <v>1403</v>
      </c>
      <c r="K287" s="169">
        <v>2026</v>
      </c>
      <c r="L287" s="170">
        <v>2026</v>
      </c>
      <c r="M287" s="171">
        <v>45932</v>
      </c>
      <c r="N287" s="169" t="s">
        <v>36</v>
      </c>
      <c r="O287" s="169" t="s">
        <v>472</v>
      </c>
      <c r="P287" s="169">
        <v>1043</v>
      </c>
      <c r="Q287" s="169" t="s">
        <v>1404</v>
      </c>
      <c r="R287" s="169">
        <v>2</v>
      </c>
      <c r="S287" s="169">
        <v>6</v>
      </c>
      <c r="T287" s="169" t="s">
        <v>1405</v>
      </c>
      <c r="U287" s="169">
        <v>5</v>
      </c>
      <c r="V287" s="170">
        <v>0</v>
      </c>
      <c r="W287" s="170">
        <v>0</v>
      </c>
      <c r="X287" s="170" t="s">
        <v>1406</v>
      </c>
      <c r="Y287" s="171">
        <v>46000</v>
      </c>
      <c r="Z287" s="169" t="s">
        <v>32</v>
      </c>
      <c r="AA287" s="169"/>
      <c r="AB287" s="169">
        <v>0</v>
      </c>
      <c r="AC287" s="169">
        <v>0</v>
      </c>
      <c r="AD287" s="169">
        <v>0</v>
      </c>
      <c r="AE287" s="169" t="s">
        <v>1446</v>
      </c>
      <c r="AF287" s="169"/>
      <c r="AG287" s="169" t="s">
        <v>1446</v>
      </c>
      <c r="AH287" s="169"/>
      <c r="AI287" s="169"/>
      <c r="AJ287" s="169">
        <v>0</v>
      </c>
      <c r="AK287" s="169" t="s">
        <v>1410</v>
      </c>
      <c r="AL287" s="169">
        <v>28174</v>
      </c>
      <c r="AM287" s="169" t="s">
        <v>1418</v>
      </c>
      <c r="AN287" s="169" t="s">
        <v>1543</v>
      </c>
      <c r="AO287" s="169">
        <v>28</v>
      </c>
      <c r="AP287" s="169" t="s">
        <v>1416</v>
      </c>
      <c r="AQ287" s="169">
        <v>0</v>
      </c>
      <c r="AR287" s="169" t="s">
        <v>1410</v>
      </c>
      <c r="AS287" s="169"/>
      <c r="AT287" s="169" t="s">
        <v>1417</v>
      </c>
      <c r="AU287" s="169" t="s">
        <v>1412</v>
      </c>
    </row>
    <row r="288" spans="1:47" x14ac:dyDescent="0.45">
      <c r="A288" s="169">
        <v>2613050052</v>
      </c>
      <c r="B288" s="169">
        <v>130</v>
      </c>
      <c r="C288" s="169" t="s">
        <v>1401</v>
      </c>
      <c r="D288" s="169">
        <v>130</v>
      </c>
      <c r="E288" s="169" t="s">
        <v>1402</v>
      </c>
      <c r="F288" s="169" t="s">
        <v>3447</v>
      </c>
      <c r="G288" s="169" t="s">
        <v>3448</v>
      </c>
      <c r="H288" s="169">
        <v>1</v>
      </c>
      <c r="I288" s="169" t="s">
        <v>1858</v>
      </c>
      <c r="J288" s="169" t="s">
        <v>1403</v>
      </c>
      <c r="K288" s="169">
        <v>2026</v>
      </c>
      <c r="L288" s="170">
        <v>2026</v>
      </c>
      <c r="M288" s="171">
        <v>45951</v>
      </c>
      <c r="N288" s="169" t="s">
        <v>36</v>
      </c>
      <c r="O288" s="169" t="s">
        <v>501</v>
      </c>
      <c r="P288" s="169">
        <v>1726</v>
      </c>
      <c r="Q288" s="169" t="s">
        <v>1430</v>
      </c>
      <c r="R288" s="169">
        <v>2</v>
      </c>
      <c r="S288" s="169">
        <v>34</v>
      </c>
      <c r="T288" s="169" t="s">
        <v>1431</v>
      </c>
      <c r="U288" s="169">
        <v>12</v>
      </c>
      <c r="V288" s="170">
        <v>2622024</v>
      </c>
      <c r="W288" s="170">
        <v>0</v>
      </c>
      <c r="X288" s="170" t="s">
        <v>1406</v>
      </c>
      <c r="Y288" s="169"/>
      <c r="Z288" s="169" t="s">
        <v>32</v>
      </c>
      <c r="AA288" s="171">
        <v>45967</v>
      </c>
      <c r="AB288" s="169">
        <v>26</v>
      </c>
      <c r="AC288" s="169">
        <v>22024</v>
      </c>
      <c r="AD288" s="169">
        <v>130</v>
      </c>
      <c r="AE288" s="169" t="s">
        <v>1401</v>
      </c>
      <c r="AF288" s="169">
        <v>130</v>
      </c>
      <c r="AG288" s="169" t="s">
        <v>1402</v>
      </c>
      <c r="AH288" s="169" t="s">
        <v>36</v>
      </c>
      <c r="AI288" s="169" t="s">
        <v>501</v>
      </c>
      <c r="AJ288" s="169">
        <v>1726</v>
      </c>
      <c r="AK288" s="169" t="s">
        <v>1407</v>
      </c>
      <c r="AL288" s="169">
        <v>43091</v>
      </c>
      <c r="AM288" s="169" t="s">
        <v>1421</v>
      </c>
      <c r="AN288" s="169" t="s">
        <v>2833</v>
      </c>
      <c r="AO288" s="169">
        <v>43</v>
      </c>
      <c r="AP288" s="169" t="s">
        <v>2834</v>
      </c>
      <c r="AQ288" s="169">
        <v>0</v>
      </c>
      <c r="AR288" s="169" t="s">
        <v>1410</v>
      </c>
      <c r="AS288" s="169"/>
      <c r="AT288" s="169" t="s">
        <v>1417</v>
      </c>
      <c r="AU288" s="169" t="s">
        <v>1412</v>
      </c>
    </row>
    <row r="289" spans="1:47" x14ac:dyDescent="0.45">
      <c r="A289" s="169">
        <v>2605750148</v>
      </c>
      <c r="B289" s="169">
        <v>131</v>
      </c>
      <c r="C289" s="169" t="s">
        <v>1462</v>
      </c>
      <c r="D289" s="169">
        <v>130</v>
      </c>
      <c r="E289" s="169" t="s">
        <v>1402</v>
      </c>
      <c r="F289" s="169" t="s">
        <v>3278</v>
      </c>
      <c r="G289" s="169" t="s">
        <v>3279</v>
      </c>
      <c r="H289" s="169">
        <v>1</v>
      </c>
      <c r="I289" s="169" t="s">
        <v>3280</v>
      </c>
      <c r="J289" s="169" t="s">
        <v>1403</v>
      </c>
      <c r="K289" s="169">
        <v>2026</v>
      </c>
      <c r="L289" s="170">
        <v>2026</v>
      </c>
      <c r="M289" s="171">
        <v>45912</v>
      </c>
      <c r="N289" s="169" t="s">
        <v>36</v>
      </c>
      <c r="O289" s="169" t="s">
        <v>704</v>
      </c>
      <c r="P289" s="169">
        <v>428</v>
      </c>
      <c r="Q289" s="169" t="s">
        <v>1463</v>
      </c>
      <c r="R289" s="169">
        <v>2</v>
      </c>
      <c r="S289" s="169">
        <v>2</v>
      </c>
      <c r="T289" s="169" t="s">
        <v>1464</v>
      </c>
      <c r="U289" s="169">
        <v>1</v>
      </c>
      <c r="V289" s="170">
        <v>0</v>
      </c>
      <c r="W289" s="170">
        <v>0</v>
      </c>
      <c r="X289" s="170" t="s">
        <v>1406</v>
      </c>
      <c r="Y289" s="169"/>
      <c r="Z289" s="169" t="s">
        <v>32</v>
      </c>
      <c r="AA289" s="169"/>
      <c r="AB289" s="169">
        <v>0</v>
      </c>
      <c r="AC289" s="169">
        <v>0</v>
      </c>
      <c r="AD289" s="169">
        <v>0</v>
      </c>
      <c r="AE289" s="169" t="s">
        <v>1446</v>
      </c>
      <c r="AF289" s="169"/>
      <c r="AG289" s="169" t="s">
        <v>1446</v>
      </c>
      <c r="AH289" s="169"/>
      <c r="AI289" s="169"/>
      <c r="AJ289" s="169">
        <v>0</v>
      </c>
      <c r="AK289" s="169" t="s">
        <v>1473</v>
      </c>
      <c r="AL289" s="169">
        <v>28197</v>
      </c>
      <c r="AM289" s="169" t="s">
        <v>1421</v>
      </c>
      <c r="AN289" s="169" t="s">
        <v>1616</v>
      </c>
      <c r="AO289" s="169">
        <v>28</v>
      </c>
      <c r="AP289" s="169" t="s">
        <v>1416</v>
      </c>
      <c r="AQ289" s="169">
        <v>0</v>
      </c>
      <c r="AR289" s="169" t="s">
        <v>1410</v>
      </c>
      <c r="AS289" s="169"/>
      <c r="AT289" s="169" t="s">
        <v>1417</v>
      </c>
      <c r="AU289" s="169" t="s">
        <v>1412</v>
      </c>
    </row>
    <row r="290" spans="1:47" x14ac:dyDescent="0.45">
      <c r="A290" s="169">
        <v>2613100002</v>
      </c>
      <c r="B290" s="169">
        <v>131</v>
      </c>
      <c r="C290" s="169" t="s">
        <v>1462</v>
      </c>
      <c r="D290" s="169">
        <v>130</v>
      </c>
      <c r="E290" s="169" t="s">
        <v>1402</v>
      </c>
      <c r="F290" s="169" t="s">
        <v>3457</v>
      </c>
      <c r="G290" s="169" t="s">
        <v>3458</v>
      </c>
      <c r="H290" s="169">
        <v>2</v>
      </c>
      <c r="I290" s="169" t="s">
        <v>711</v>
      </c>
      <c r="J290" s="169" t="s">
        <v>1403</v>
      </c>
      <c r="K290" s="169">
        <v>2026</v>
      </c>
      <c r="L290" s="170">
        <v>2026</v>
      </c>
      <c r="M290" s="171">
        <v>45954</v>
      </c>
      <c r="N290" s="169" t="s">
        <v>36</v>
      </c>
      <c r="O290" s="169" t="s">
        <v>708</v>
      </c>
      <c r="P290" s="169">
        <v>65</v>
      </c>
      <c r="Q290" s="169" t="s">
        <v>3133</v>
      </c>
      <c r="R290" s="169">
        <v>2</v>
      </c>
      <c r="S290" s="169">
        <v>8</v>
      </c>
      <c r="T290" s="169" t="s">
        <v>1503</v>
      </c>
      <c r="U290" s="169">
        <v>6</v>
      </c>
      <c r="V290" s="170">
        <v>2622534</v>
      </c>
      <c r="W290" s="170">
        <v>0</v>
      </c>
      <c r="X290" s="170" t="s">
        <v>1406</v>
      </c>
      <c r="Y290" s="169"/>
      <c r="Z290" s="169" t="s">
        <v>1424</v>
      </c>
      <c r="AA290" s="171">
        <v>45987</v>
      </c>
      <c r="AB290" s="169">
        <v>26</v>
      </c>
      <c r="AC290" s="169">
        <v>22534</v>
      </c>
      <c r="AD290" s="169">
        <v>131</v>
      </c>
      <c r="AE290" s="169" t="s">
        <v>1462</v>
      </c>
      <c r="AF290" s="169">
        <v>130</v>
      </c>
      <c r="AG290" s="169" t="s">
        <v>1402</v>
      </c>
      <c r="AH290" s="169" t="s">
        <v>36</v>
      </c>
      <c r="AI290" s="169" t="s">
        <v>708</v>
      </c>
      <c r="AJ290" s="169">
        <v>65</v>
      </c>
      <c r="AK290" s="169" t="s">
        <v>1407</v>
      </c>
      <c r="AL290" s="169">
        <v>1347</v>
      </c>
      <c r="AM290" s="169" t="s">
        <v>1421</v>
      </c>
      <c r="AN290" s="169" t="s">
        <v>1445</v>
      </c>
      <c r="AO290" s="169">
        <v>1</v>
      </c>
      <c r="AP290" s="169" t="s">
        <v>1443</v>
      </c>
      <c r="AQ290" s="169">
        <v>0</v>
      </c>
      <c r="AR290" s="169" t="s">
        <v>1424</v>
      </c>
      <c r="AS290" s="169" t="s">
        <v>1410</v>
      </c>
      <c r="AT290" s="169" t="s">
        <v>1417</v>
      </c>
      <c r="AU290" s="169" t="s">
        <v>1412</v>
      </c>
    </row>
    <row r="291" spans="1:47" x14ac:dyDescent="0.45">
      <c r="A291" s="169">
        <v>2613100003</v>
      </c>
      <c r="B291" s="169">
        <v>131</v>
      </c>
      <c r="C291" s="169" t="s">
        <v>1462</v>
      </c>
      <c r="D291" s="169">
        <v>130</v>
      </c>
      <c r="E291" s="169" t="s">
        <v>1402</v>
      </c>
      <c r="F291" s="169" t="s">
        <v>3493</v>
      </c>
      <c r="G291" s="169" t="s">
        <v>3494</v>
      </c>
      <c r="H291" s="169">
        <v>1</v>
      </c>
      <c r="I291" s="169" t="s">
        <v>3495</v>
      </c>
      <c r="J291" s="169" t="s">
        <v>1403</v>
      </c>
      <c r="K291" s="169">
        <v>2026</v>
      </c>
      <c r="L291" s="170">
        <v>2026</v>
      </c>
      <c r="M291" s="171">
        <v>45971</v>
      </c>
      <c r="N291" s="169" t="s">
        <v>36</v>
      </c>
      <c r="O291" s="169" t="s">
        <v>793</v>
      </c>
      <c r="P291" s="169">
        <v>428</v>
      </c>
      <c r="Q291" s="169" t="s">
        <v>1463</v>
      </c>
      <c r="R291" s="169">
        <v>1</v>
      </c>
      <c r="S291" s="169">
        <v>2</v>
      </c>
      <c r="T291" s="169" t="s">
        <v>1464</v>
      </c>
      <c r="U291" s="169">
        <v>1</v>
      </c>
      <c r="V291" s="170">
        <v>2622554</v>
      </c>
      <c r="W291" s="170">
        <v>0</v>
      </c>
      <c r="X291" s="170" t="s">
        <v>1406</v>
      </c>
      <c r="Y291" s="169"/>
      <c r="Z291" s="169" t="s">
        <v>1407</v>
      </c>
      <c r="AA291" s="171">
        <v>46051</v>
      </c>
      <c r="AB291" s="169">
        <v>26</v>
      </c>
      <c r="AC291" s="169">
        <v>22554</v>
      </c>
      <c r="AD291" s="169">
        <v>131</v>
      </c>
      <c r="AE291" s="169" t="s">
        <v>1462</v>
      </c>
      <c r="AF291" s="169">
        <v>130</v>
      </c>
      <c r="AG291" s="169" t="s">
        <v>1402</v>
      </c>
      <c r="AH291" s="169" t="s">
        <v>36</v>
      </c>
      <c r="AI291" s="169" t="s">
        <v>793</v>
      </c>
      <c r="AJ291" s="169">
        <v>428</v>
      </c>
      <c r="AK291" s="169" t="s">
        <v>1473</v>
      </c>
      <c r="AL291" s="169">
        <v>28182</v>
      </c>
      <c r="AM291" s="169" t="s">
        <v>1418</v>
      </c>
      <c r="AN291" s="169" t="s">
        <v>2872</v>
      </c>
      <c r="AO291" s="169">
        <v>28</v>
      </c>
      <c r="AP291" s="169" t="s">
        <v>1416</v>
      </c>
      <c r="AQ291" s="169">
        <v>0</v>
      </c>
      <c r="AR291" s="169" t="s">
        <v>1410</v>
      </c>
      <c r="AS291" s="169"/>
      <c r="AT291" s="169" t="s">
        <v>1417</v>
      </c>
      <c r="AU291" s="169" t="s">
        <v>1412</v>
      </c>
    </row>
    <row r="292" spans="1:47" x14ac:dyDescent="0.45">
      <c r="A292" s="169">
        <v>2613100004</v>
      </c>
      <c r="B292" s="169">
        <v>131</v>
      </c>
      <c r="C292" s="169" t="s">
        <v>1462</v>
      </c>
      <c r="D292" s="169">
        <v>130</v>
      </c>
      <c r="E292" s="169" t="s">
        <v>1402</v>
      </c>
      <c r="F292" s="169" t="s">
        <v>3504</v>
      </c>
      <c r="G292" s="169" t="s">
        <v>3505</v>
      </c>
      <c r="H292" s="169">
        <v>2</v>
      </c>
      <c r="I292" s="169" t="s">
        <v>531</v>
      </c>
      <c r="J292" s="169" t="s">
        <v>1403</v>
      </c>
      <c r="K292" s="169">
        <v>2026</v>
      </c>
      <c r="L292" s="170">
        <v>2026</v>
      </c>
      <c r="M292" s="171">
        <v>46009</v>
      </c>
      <c r="N292" s="169" t="s">
        <v>36</v>
      </c>
      <c r="O292" s="169" t="s">
        <v>708</v>
      </c>
      <c r="P292" s="169">
        <v>1044</v>
      </c>
      <c r="Q292" s="169" t="s">
        <v>1476</v>
      </c>
      <c r="R292" s="169">
        <v>2</v>
      </c>
      <c r="S292" s="169">
        <v>3</v>
      </c>
      <c r="T292" s="169" t="s">
        <v>1477</v>
      </c>
      <c r="U292" s="169">
        <v>4</v>
      </c>
      <c r="V292" s="170">
        <v>2622552</v>
      </c>
      <c r="W292" s="170">
        <v>0</v>
      </c>
      <c r="X292" s="170" t="s">
        <v>1406</v>
      </c>
      <c r="Y292" s="169"/>
      <c r="Z292" s="169" t="s">
        <v>1424</v>
      </c>
      <c r="AA292" s="171">
        <v>46043</v>
      </c>
      <c r="AB292" s="169">
        <v>26</v>
      </c>
      <c r="AC292" s="169">
        <v>22552</v>
      </c>
      <c r="AD292" s="169">
        <v>131</v>
      </c>
      <c r="AE292" s="169" t="s">
        <v>1462</v>
      </c>
      <c r="AF292" s="169">
        <v>130</v>
      </c>
      <c r="AG292" s="169" t="s">
        <v>1402</v>
      </c>
      <c r="AH292" s="169" t="s">
        <v>36</v>
      </c>
      <c r="AI292" s="169" t="s">
        <v>708</v>
      </c>
      <c r="AJ292" s="169">
        <v>1044</v>
      </c>
      <c r="AK292" s="169" t="s">
        <v>1407</v>
      </c>
      <c r="AL292" s="169">
        <v>28174</v>
      </c>
      <c r="AM292" s="169" t="s">
        <v>1418</v>
      </c>
      <c r="AN292" s="169" t="s">
        <v>1543</v>
      </c>
      <c r="AO292" s="169">
        <v>28</v>
      </c>
      <c r="AP292" s="169" t="s">
        <v>1416</v>
      </c>
      <c r="AQ292" s="169">
        <v>0</v>
      </c>
      <c r="AR292" s="169" t="s">
        <v>1410</v>
      </c>
      <c r="AS292" s="169"/>
      <c r="AT292" s="169" t="s">
        <v>1417</v>
      </c>
      <c r="AU292" s="169" t="s">
        <v>1412</v>
      </c>
    </row>
    <row r="293" spans="1:47" x14ac:dyDescent="0.45">
      <c r="A293" s="169">
        <v>2613100005</v>
      </c>
      <c r="B293" s="169">
        <v>131</v>
      </c>
      <c r="C293" s="169" t="s">
        <v>1462</v>
      </c>
      <c r="D293" s="169">
        <v>130</v>
      </c>
      <c r="E293" s="169" t="s">
        <v>1402</v>
      </c>
      <c r="F293" s="169" t="s">
        <v>3506</v>
      </c>
      <c r="G293" s="169" t="s">
        <v>3507</v>
      </c>
      <c r="H293" s="169">
        <v>1</v>
      </c>
      <c r="I293" s="169" t="s">
        <v>2589</v>
      </c>
      <c r="J293" s="169" t="s">
        <v>1403</v>
      </c>
      <c r="K293" s="169">
        <v>2026</v>
      </c>
      <c r="L293" s="170">
        <v>2026</v>
      </c>
      <c r="M293" s="171">
        <v>46013</v>
      </c>
      <c r="N293" s="169" t="s">
        <v>36</v>
      </c>
      <c r="O293" s="169" t="s">
        <v>793</v>
      </c>
      <c r="P293" s="169">
        <v>968</v>
      </c>
      <c r="Q293" s="169" t="s">
        <v>1474</v>
      </c>
      <c r="R293" s="169">
        <v>1</v>
      </c>
      <c r="S293" s="169">
        <v>2</v>
      </c>
      <c r="T293" s="169" t="s">
        <v>1464</v>
      </c>
      <c r="U293" s="169">
        <v>1</v>
      </c>
      <c r="V293" s="170">
        <v>0</v>
      </c>
      <c r="W293" s="170">
        <v>0</v>
      </c>
      <c r="X293" s="170" t="s">
        <v>1406</v>
      </c>
      <c r="Y293" s="169"/>
      <c r="Z293" s="169" t="s">
        <v>1473</v>
      </c>
      <c r="AA293" s="169"/>
      <c r="AB293" s="169">
        <v>0</v>
      </c>
      <c r="AC293" s="169">
        <v>0</v>
      </c>
      <c r="AD293" s="169">
        <v>0</v>
      </c>
      <c r="AE293" s="169" t="s">
        <v>1446</v>
      </c>
      <c r="AF293" s="169"/>
      <c r="AG293" s="169" t="s">
        <v>1446</v>
      </c>
      <c r="AH293" s="169"/>
      <c r="AI293" s="169"/>
      <c r="AJ293" s="169">
        <v>0</v>
      </c>
      <c r="AK293" s="169" t="s">
        <v>1473</v>
      </c>
      <c r="AL293" s="169">
        <v>28247</v>
      </c>
      <c r="AM293" s="169" t="s">
        <v>1418</v>
      </c>
      <c r="AN293" s="169" t="s">
        <v>1419</v>
      </c>
      <c r="AO293" s="169">
        <v>28</v>
      </c>
      <c r="AP293" s="169" t="s">
        <v>1416</v>
      </c>
      <c r="AQ293" s="169">
        <v>0</v>
      </c>
      <c r="AR293" s="169" t="s">
        <v>1410</v>
      </c>
      <c r="AS293" s="169"/>
      <c r="AT293" s="169" t="s">
        <v>1417</v>
      </c>
      <c r="AU293" s="169" t="s">
        <v>1412</v>
      </c>
    </row>
    <row r="294" spans="1:47" x14ac:dyDescent="0.45">
      <c r="A294" s="169">
        <v>2613100006</v>
      </c>
      <c r="B294" s="169">
        <v>131</v>
      </c>
      <c r="C294" s="169" t="s">
        <v>1462</v>
      </c>
      <c r="D294" s="169">
        <v>130</v>
      </c>
      <c r="E294" s="169" t="s">
        <v>1402</v>
      </c>
      <c r="F294" s="169" t="s">
        <v>3514</v>
      </c>
      <c r="G294" s="169" t="s">
        <v>3515</v>
      </c>
      <c r="H294" s="169">
        <v>2</v>
      </c>
      <c r="I294" s="169" t="s">
        <v>3516</v>
      </c>
      <c r="J294" s="169" t="s">
        <v>1403</v>
      </c>
      <c r="K294" s="169">
        <v>2026</v>
      </c>
      <c r="L294" s="170">
        <v>2026</v>
      </c>
      <c r="M294" s="171">
        <v>46015</v>
      </c>
      <c r="N294" s="169" t="s">
        <v>36</v>
      </c>
      <c r="O294" s="169" t="s">
        <v>708</v>
      </c>
      <c r="P294" s="169">
        <v>1044</v>
      </c>
      <c r="Q294" s="169" t="s">
        <v>1476</v>
      </c>
      <c r="R294" s="169">
        <v>2</v>
      </c>
      <c r="S294" s="169">
        <v>3</v>
      </c>
      <c r="T294" s="169" t="s">
        <v>1477</v>
      </c>
      <c r="U294" s="169">
        <v>4</v>
      </c>
      <c r="V294" s="170">
        <v>0</v>
      </c>
      <c r="W294" s="170">
        <v>0</v>
      </c>
      <c r="X294" s="170" t="s">
        <v>1406</v>
      </c>
      <c r="Y294" s="169"/>
      <c r="Z294" s="169" t="s">
        <v>1407</v>
      </c>
      <c r="AA294" s="169"/>
      <c r="AB294" s="169">
        <v>0</v>
      </c>
      <c r="AC294" s="169">
        <v>0</v>
      </c>
      <c r="AD294" s="169">
        <v>0</v>
      </c>
      <c r="AE294" s="169" t="s">
        <v>1446</v>
      </c>
      <c r="AF294" s="169"/>
      <c r="AG294" s="169" t="s">
        <v>1446</v>
      </c>
      <c r="AH294" s="169"/>
      <c r="AI294" s="169"/>
      <c r="AJ294" s="169">
        <v>0</v>
      </c>
      <c r="AK294" s="169" t="s">
        <v>1407</v>
      </c>
      <c r="AL294" s="169">
        <v>28178</v>
      </c>
      <c r="AM294" s="169" t="s">
        <v>1418</v>
      </c>
      <c r="AN294" s="169" t="s">
        <v>1507</v>
      </c>
      <c r="AO294" s="169">
        <v>28</v>
      </c>
      <c r="AP294" s="169" t="s">
        <v>1416</v>
      </c>
      <c r="AQ294" s="169">
        <v>0</v>
      </c>
      <c r="AR294" s="169" t="s">
        <v>1410</v>
      </c>
      <c r="AS294" s="169"/>
      <c r="AT294" s="169" t="s">
        <v>1417</v>
      </c>
      <c r="AU294" s="169" t="s">
        <v>1412</v>
      </c>
    </row>
    <row r="295" spans="1:47" x14ac:dyDescent="0.45">
      <c r="A295" s="169">
        <v>2613100007</v>
      </c>
      <c r="B295" s="169">
        <v>131</v>
      </c>
      <c r="C295" s="169" t="s">
        <v>1462</v>
      </c>
      <c r="D295" s="169">
        <v>130</v>
      </c>
      <c r="E295" s="169" t="s">
        <v>1402</v>
      </c>
      <c r="F295" s="169" t="s">
        <v>3517</v>
      </c>
      <c r="G295" s="169" t="s">
        <v>3518</v>
      </c>
      <c r="H295" s="169">
        <v>1</v>
      </c>
      <c r="I295" s="169" t="s">
        <v>711</v>
      </c>
      <c r="J295" s="169" t="s">
        <v>1403</v>
      </c>
      <c r="K295" s="169">
        <v>2026</v>
      </c>
      <c r="L295" s="170">
        <v>2026</v>
      </c>
      <c r="M295" s="171">
        <v>46015</v>
      </c>
      <c r="N295" s="169" t="s">
        <v>36</v>
      </c>
      <c r="O295" s="169" t="s">
        <v>704</v>
      </c>
      <c r="P295" s="169">
        <v>290</v>
      </c>
      <c r="Q295" s="169" t="s">
        <v>1496</v>
      </c>
      <c r="R295" s="169">
        <v>2</v>
      </c>
      <c r="S295" s="169">
        <v>2</v>
      </c>
      <c r="T295" s="169" t="s">
        <v>1464</v>
      </c>
      <c r="U295" s="169">
        <v>1</v>
      </c>
      <c r="V295" s="170">
        <v>2622550</v>
      </c>
      <c r="W295" s="170">
        <v>0</v>
      </c>
      <c r="X295" s="170" t="s">
        <v>1406</v>
      </c>
      <c r="Y295" s="169"/>
      <c r="Z295" s="169" t="s">
        <v>3519</v>
      </c>
      <c r="AA295" s="171">
        <v>46041</v>
      </c>
      <c r="AB295" s="169">
        <v>26</v>
      </c>
      <c r="AC295" s="169">
        <v>22550</v>
      </c>
      <c r="AD295" s="169">
        <v>131</v>
      </c>
      <c r="AE295" s="169" t="s">
        <v>1462</v>
      </c>
      <c r="AF295" s="169">
        <v>130</v>
      </c>
      <c r="AG295" s="169" t="s">
        <v>1402</v>
      </c>
      <c r="AH295" s="169" t="s">
        <v>36</v>
      </c>
      <c r="AI295" s="169" t="s">
        <v>704</v>
      </c>
      <c r="AJ295" s="169">
        <v>290</v>
      </c>
      <c r="AK295" s="169" t="s">
        <v>1407</v>
      </c>
      <c r="AL295" s="169">
        <v>28099</v>
      </c>
      <c r="AM295" s="169" t="s">
        <v>1418</v>
      </c>
      <c r="AN295" s="169" t="s">
        <v>1447</v>
      </c>
      <c r="AO295" s="169">
        <v>28</v>
      </c>
      <c r="AP295" s="169" t="s">
        <v>1416</v>
      </c>
      <c r="AQ295" s="169">
        <v>0</v>
      </c>
      <c r="AR295" s="169" t="s">
        <v>1410</v>
      </c>
      <c r="AS295" s="169"/>
      <c r="AT295" s="169" t="s">
        <v>1417</v>
      </c>
      <c r="AU295" s="169" t="s">
        <v>1412</v>
      </c>
    </row>
    <row r="296" spans="1:47" x14ac:dyDescent="0.45">
      <c r="A296" s="169">
        <v>2613100008</v>
      </c>
      <c r="B296" s="169">
        <v>131</v>
      </c>
      <c r="C296" s="169" t="s">
        <v>1462</v>
      </c>
      <c r="D296" s="169">
        <v>130</v>
      </c>
      <c r="E296" s="169" t="s">
        <v>1402</v>
      </c>
      <c r="F296" s="169" t="s">
        <v>3522</v>
      </c>
      <c r="G296" s="169" t="s">
        <v>3523</v>
      </c>
      <c r="H296" s="169">
        <v>2</v>
      </c>
      <c r="I296" s="169" t="s">
        <v>3524</v>
      </c>
      <c r="J296" s="169" t="s">
        <v>1403</v>
      </c>
      <c r="K296" s="169">
        <v>0</v>
      </c>
      <c r="L296" s="170">
        <v>2026</v>
      </c>
      <c r="M296" s="171">
        <v>46035</v>
      </c>
      <c r="N296" s="169" t="s">
        <v>36</v>
      </c>
      <c r="O296" s="169" t="s">
        <v>704</v>
      </c>
      <c r="P296" s="169">
        <v>968</v>
      </c>
      <c r="Q296" s="169" t="s">
        <v>1474</v>
      </c>
      <c r="R296" s="169">
        <v>2</v>
      </c>
      <c r="S296" s="169">
        <v>2</v>
      </c>
      <c r="T296" s="169" t="s">
        <v>1464</v>
      </c>
      <c r="U296" s="169">
        <v>1</v>
      </c>
      <c r="V296" s="170">
        <v>2622553</v>
      </c>
      <c r="W296" s="170">
        <v>0</v>
      </c>
      <c r="X296" s="170" t="s">
        <v>1406</v>
      </c>
      <c r="Y296" s="169"/>
      <c r="Z296" s="169" t="s">
        <v>1407</v>
      </c>
      <c r="AA296" s="171">
        <v>46050</v>
      </c>
      <c r="AB296" s="169">
        <v>26</v>
      </c>
      <c r="AC296" s="169">
        <v>22553</v>
      </c>
      <c r="AD296" s="169">
        <v>131</v>
      </c>
      <c r="AE296" s="169" t="s">
        <v>1462</v>
      </c>
      <c r="AF296" s="169">
        <v>130</v>
      </c>
      <c r="AG296" s="169" t="s">
        <v>1402</v>
      </c>
      <c r="AH296" s="169" t="s">
        <v>36</v>
      </c>
      <c r="AI296" s="169" t="s">
        <v>704</v>
      </c>
      <c r="AJ296" s="169">
        <v>968</v>
      </c>
      <c r="AK296" s="169" t="s">
        <v>1407</v>
      </c>
      <c r="AL296" s="169">
        <v>28093</v>
      </c>
      <c r="AM296" s="169" t="s">
        <v>1421</v>
      </c>
      <c r="AN296" s="169" t="s">
        <v>3525</v>
      </c>
      <c r="AO296" s="169">
        <v>28</v>
      </c>
      <c r="AP296" s="169" t="s">
        <v>1416</v>
      </c>
      <c r="AQ296" s="169">
        <v>0</v>
      </c>
      <c r="AR296" s="169" t="s">
        <v>1410</v>
      </c>
      <c r="AS296" s="169"/>
      <c r="AT296" s="169" t="s">
        <v>1411</v>
      </c>
      <c r="AU296" s="169" t="s">
        <v>1412</v>
      </c>
    </row>
    <row r="297" spans="1:47" x14ac:dyDescent="0.45">
      <c r="A297" s="169">
        <v>2613100009</v>
      </c>
      <c r="B297" s="169">
        <v>131</v>
      </c>
      <c r="C297" s="169" t="s">
        <v>1462</v>
      </c>
      <c r="D297" s="169">
        <v>130</v>
      </c>
      <c r="E297" s="169" t="s">
        <v>1402</v>
      </c>
      <c r="F297" s="169" t="s">
        <v>3526</v>
      </c>
      <c r="G297" s="169" t="s">
        <v>3527</v>
      </c>
      <c r="H297" s="169">
        <v>2</v>
      </c>
      <c r="I297" s="169" t="s">
        <v>2389</v>
      </c>
      <c r="J297" s="169" t="s">
        <v>1403</v>
      </c>
      <c r="K297" s="169">
        <v>2026</v>
      </c>
      <c r="L297" s="170">
        <v>2026</v>
      </c>
      <c r="M297" s="171">
        <v>46036</v>
      </c>
      <c r="N297" s="169" t="s">
        <v>36</v>
      </c>
      <c r="O297" s="169" t="s">
        <v>704</v>
      </c>
      <c r="P297" s="169">
        <v>968</v>
      </c>
      <c r="Q297" s="169" t="s">
        <v>1474</v>
      </c>
      <c r="R297" s="169">
        <v>2</v>
      </c>
      <c r="S297" s="169">
        <v>2</v>
      </c>
      <c r="T297" s="169" t="s">
        <v>1464</v>
      </c>
      <c r="U297" s="169">
        <v>1</v>
      </c>
      <c r="V297" s="170">
        <v>2622555</v>
      </c>
      <c r="W297" s="170">
        <v>0</v>
      </c>
      <c r="X297" s="170" t="s">
        <v>1406</v>
      </c>
      <c r="Y297" s="169"/>
      <c r="Z297" s="169" t="s">
        <v>1424</v>
      </c>
      <c r="AA297" s="171">
        <v>46051</v>
      </c>
      <c r="AB297" s="169">
        <v>26</v>
      </c>
      <c r="AC297" s="169">
        <v>22555</v>
      </c>
      <c r="AD297" s="169">
        <v>131</v>
      </c>
      <c r="AE297" s="169" t="s">
        <v>1462</v>
      </c>
      <c r="AF297" s="169">
        <v>130</v>
      </c>
      <c r="AG297" s="169" t="s">
        <v>1402</v>
      </c>
      <c r="AH297" s="169" t="s">
        <v>36</v>
      </c>
      <c r="AI297" s="169" t="s">
        <v>704</v>
      </c>
      <c r="AJ297" s="169">
        <v>968</v>
      </c>
      <c r="AK297" s="169" t="s">
        <v>1407</v>
      </c>
      <c r="AL297" s="169">
        <v>28185</v>
      </c>
      <c r="AM297" s="169" t="s">
        <v>1418</v>
      </c>
      <c r="AN297" s="169" t="s">
        <v>1438</v>
      </c>
      <c r="AO297" s="169">
        <v>28</v>
      </c>
      <c r="AP297" s="169" t="s">
        <v>1416</v>
      </c>
      <c r="AQ297" s="169">
        <v>0</v>
      </c>
      <c r="AR297" s="169" t="s">
        <v>1410</v>
      </c>
      <c r="AS297" s="169"/>
      <c r="AT297" s="169" t="s">
        <v>1417</v>
      </c>
      <c r="AU297" s="169" t="s">
        <v>1412</v>
      </c>
    </row>
    <row r="298" spans="1:47" x14ac:dyDescent="0.45">
      <c r="A298" s="169">
        <v>2613100010</v>
      </c>
      <c r="B298" s="169">
        <v>131</v>
      </c>
      <c r="C298" s="169" t="s">
        <v>1462</v>
      </c>
      <c r="D298" s="169">
        <v>130</v>
      </c>
      <c r="E298" s="169" t="s">
        <v>1402</v>
      </c>
      <c r="F298" s="169" t="s">
        <v>3530</v>
      </c>
      <c r="G298" s="169" t="s">
        <v>3531</v>
      </c>
      <c r="H298" s="169">
        <v>2</v>
      </c>
      <c r="I298" s="169" t="s">
        <v>3532</v>
      </c>
      <c r="J298" s="169" t="s">
        <v>1403</v>
      </c>
      <c r="K298" s="169">
        <v>2026</v>
      </c>
      <c r="L298" s="170">
        <v>2026</v>
      </c>
      <c r="M298" s="171">
        <v>46038</v>
      </c>
      <c r="N298" s="169" t="s">
        <v>36</v>
      </c>
      <c r="O298" s="169" t="s">
        <v>704</v>
      </c>
      <c r="P298" s="169">
        <v>856</v>
      </c>
      <c r="Q298" s="169" t="s">
        <v>1533</v>
      </c>
      <c r="R298" s="169">
        <v>2</v>
      </c>
      <c r="S298" s="169">
        <v>2</v>
      </c>
      <c r="T298" s="169" t="s">
        <v>1464</v>
      </c>
      <c r="U298" s="169">
        <v>1</v>
      </c>
      <c r="V298" s="170">
        <v>0</v>
      </c>
      <c r="W298" s="170">
        <v>0</v>
      </c>
      <c r="X298" s="170" t="s">
        <v>1406</v>
      </c>
      <c r="Y298" s="169"/>
      <c r="Z298" s="169" t="s">
        <v>1407</v>
      </c>
      <c r="AA298" s="169"/>
      <c r="AB298" s="169">
        <v>0</v>
      </c>
      <c r="AC298" s="169">
        <v>0</v>
      </c>
      <c r="AD298" s="169">
        <v>0</v>
      </c>
      <c r="AE298" s="169" t="s">
        <v>1446</v>
      </c>
      <c r="AF298" s="169"/>
      <c r="AG298" s="169" t="s">
        <v>1446</v>
      </c>
      <c r="AH298" s="169"/>
      <c r="AI298" s="169"/>
      <c r="AJ298" s="169">
        <v>0</v>
      </c>
      <c r="AK298" s="169" t="s">
        <v>1410</v>
      </c>
      <c r="AL298" s="169">
        <v>28095</v>
      </c>
      <c r="AM298" s="169" t="s">
        <v>1421</v>
      </c>
      <c r="AN298" s="169" t="s">
        <v>1435</v>
      </c>
      <c r="AO298" s="169">
        <v>28</v>
      </c>
      <c r="AP298" s="169" t="s">
        <v>1416</v>
      </c>
      <c r="AQ298" s="169">
        <v>0</v>
      </c>
      <c r="AR298" s="169" t="s">
        <v>1410</v>
      </c>
      <c r="AS298" s="169"/>
      <c r="AT298" s="169" t="s">
        <v>1417</v>
      </c>
      <c r="AU298" s="169" t="s">
        <v>1412</v>
      </c>
    </row>
    <row r="299" spans="1:47" x14ac:dyDescent="0.45">
      <c r="A299" s="169">
        <v>2613100011</v>
      </c>
      <c r="B299" s="169">
        <v>131</v>
      </c>
      <c r="C299" s="169" t="s">
        <v>1462</v>
      </c>
      <c r="D299" s="169">
        <v>130</v>
      </c>
      <c r="E299" s="169" t="s">
        <v>1402</v>
      </c>
      <c r="F299" s="169" t="s">
        <v>3536</v>
      </c>
      <c r="G299" s="169" t="s">
        <v>3537</v>
      </c>
      <c r="H299" s="169">
        <v>2</v>
      </c>
      <c r="I299" s="169" t="s">
        <v>3538</v>
      </c>
      <c r="J299" s="169" t="s">
        <v>1403</v>
      </c>
      <c r="K299" s="169">
        <v>2026</v>
      </c>
      <c r="L299" s="170">
        <v>2026</v>
      </c>
      <c r="M299" s="171">
        <v>46048</v>
      </c>
      <c r="N299" s="169" t="s">
        <v>36</v>
      </c>
      <c r="O299" s="169" t="s">
        <v>793</v>
      </c>
      <c r="P299" s="169">
        <v>427</v>
      </c>
      <c r="Q299" s="169" t="s">
        <v>1479</v>
      </c>
      <c r="R299" s="169">
        <v>1</v>
      </c>
      <c r="S299" s="169">
        <v>2</v>
      </c>
      <c r="T299" s="169" t="s">
        <v>1464</v>
      </c>
      <c r="U299" s="169">
        <v>1</v>
      </c>
      <c r="V299" s="170">
        <v>0</v>
      </c>
      <c r="W299" s="170">
        <v>0</v>
      </c>
      <c r="X299" s="170" t="s">
        <v>1406</v>
      </c>
      <c r="Y299" s="169"/>
      <c r="Z299" s="169" t="s">
        <v>1407</v>
      </c>
      <c r="AA299" s="169"/>
      <c r="AB299" s="169">
        <v>0</v>
      </c>
      <c r="AC299" s="169">
        <v>0</v>
      </c>
      <c r="AD299" s="169">
        <v>0</v>
      </c>
      <c r="AE299" s="169" t="s">
        <v>1446</v>
      </c>
      <c r="AF299" s="169"/>
      <c r="AG299" s="169" t="s">
        <v>1446</v>
      </c>
      <c r="AH299" s="169"/>
      <c r="AI299" s="169"/>
      <c r="AJ299" s="169">
        <v>0</v>
      </c>
      <c r="AK299" s="169" t="s">
        <v>1473</v>
      </c>
      <c r="AL299" s="169">
        <v>28093</v>
      </c>
      <c r="AM299" s="169" t="s">
        <v>1421</v>
      </c>
      <c r="AN299" s="169" t="s">
        <v>3525</v>
      </c>
      <c r="AO299" s="169">
        <v>28</v>
      </c>
      <c r="AP299" s="169" t="s">
        <v>1416</v>
      </c>
      <c r="AQ299" s="169">
        <v>0</v>
      </c>
      <c r="AR299" s="169" t="s">
        <v>1410</v>
      </c>
      <c r="AS299" s="169"/>
      <c r="AT299" s="169" t="s">
        <v>1417</v>
      </c>
      <c r="AU299" s="169" t="s">
        <v>1412</v>
      </c>
    </row>
    <row r="300" spans="1:47" x14ac:dyDescent="0.45">
      <c r="A300" s="169">
        <v>2613100012</v>
      </c>
      <c r="B300" s="169">
        <v>131</v>
      </c>
      <c r="C300" s="169" t="s">
        <v>1462</v>
      </c>
      <c r="D300" s="169">
        <v>130</v>
      </c>
      <c r="E300" s="169" t="s">
        <v>1402</v>
      </c>
      <c r="F300" s="169" t="s">
        <v>3539</v>
      </c>
      <c r="G300" s="169" t="s">
        <v>3540</v>
      </c>
      <c r="H300" s="169">
        <v>2</v>
      </c>
      <c r="I300" s="169" t="s">
        <v>516</v>
      </c>
      <c r="J300" s="169" t="s">
        <v>1403</v>
      </c>
      <c r="K300" s="169">
        <v>0</v>
      </c>
      <c r="L300" s="170">
        <v>2026</v>
      </c>
      <c r="M300" s="171">
        <v>46048</v>
      </c>
      <c r="N300" s="169" t="s">
        <v>36</v>
      </c>
      <c r="O300" s="169" t="s">
        <v>741</v>
      </c>
      <c r="P300" s="169">
        <v>581</v>
      </c>
      <c r="Q300" s="169" t="s">
        <v>1489</v>
      </c>
      <c r="R300" s="169">
        <v>2</v>
      </c>
      <c r="S300" s="169">
        <v>10</v>
      </c>
      <c r="T300" s="169" t="s">
        <v>1490</v>
      </c>
      <c r="U300" s="169">
        <v>9</v>
      </c>
      <c r="V300" s="170">
        <v>2622560</v>
      </c>
      <c r="W300" s="170">
        <v>0</v>
      </c>
      <c r="X300" s="170" t="s">
        <v>1406</v>
      </c>
      <c r="Y300" s="169"/>
      <c r="Z300" s="169" t="s">
        <v>1407</v>
      </c>
      <c r="AA300" s="171">
        <v>46062</v>
      </c>
      <c r="AB300" s="169">
        <v>26</v>
      </c>
      <c r="AC300" s="169">
        <v>22560</v>
      </c>
      <c r="AD300" s="169">
        <v>131</v>
      </c>
      <c r="AE300" s="169" t="s">
        <v>1462</v>
      </c>
      <c r="AF300" s="169">
        <v>130</v>
      </c>
      <c r="AG300" s="169" t="s">
        <v>1402</v>
      </c>
      <c r="AH300" s="169" t="s">
        <v>36</v>
      </c>
      <c r="AI300" s="169" t="s">
        <v>741</v>
      </c>
      <c r="AJ300" s="169">
        <v>581</v>
      </c>
      <c r="AK300" s="169" t="s">
        <v>1407</v>
      </c>
      <c r="AL300" s="169">
        <v>37065</v>
      </c>
      <c r="AM300" s="169" t="s">
        <v>1421</v>
      </c>
      <c r="AN300" s="169" t="s">
        <v>3541</v>
      </c>
      <c r="AO300" s="169">
        <v>37</v>
      </c>
      <c r="AP300" s="169" t="s">
        <v>1573</v>
      </c>
      <c r="AQ300" s="169">
        <v>0</v>
      </c>
      <c r="AR300" s="169" t="s">
        <v>1410</v>
      </c>
      <c r="AS300" s="169"/>
      <c r="AT300" s="169" t="s">
        <v>1411</v>
      </c>
      <c r="AU300" s="169" t="s">
        <v>1412</v>
      </c>
    </row>
    <row r="301" spans="1:47" x14ac:dyDescent="0.45">
      <c r="A301" s="169">
        <v>2613100013</v>
      </c>
      <c r="B301" s="169">
        <v>131</v>
      </c>
      <c r="C301" s="169" t="s">
        <v>1462</v>
      </c>
      <c r="D301" s="169">
        <v>130</v>
      </c>
      <c r="E301" s="169" t="s">
        <v>1402</v>
      </c>
      <c r="F301" s="169" t="s">
        <v>4231</v>
      </c>
      <c r="G301" s="169" t="s">
        <v>4232</v>
      </c>
      <c r="H301" s="169">
        <v>2</v>
      </c>
      <c r="I301" s="169" t="s">
        <v>4233</v>
      </c>
      <c r="J301" s="169" t="s">
        <v>1403</v>
      </c>
      <c r="K301" s="169">
        <v>2026</v>
      </c>
      <c r="L301" s="170">
        <v>2026</v>
      </c>
      <c r="M301" s="171">
        <v>46056</v>
      </c>
      <c r="N301" s="169" t="s">
        <v>36</v>
      </c>
      <c r="O301" s="169" t="s">
        <v>704</v>
      </c>
      <c r="P301" s="169">
        <v>785</v>
      </c>
      <c r="Q301" s="169" t="s">
        <v>1491</v>
      </c>
      <c r="R301" s="169">
        <v>2</v>
      </c>
      <c r="S301" s="169">
        <v>2</v>
      </c>
      <c r="T301" s="169" t="s">
        <v>1464</v>
      </c>
      <c r="U301" s="169">
        <v>1</v>
      </c>
      <c r="V301" s="170">
        <v>0</v>
      </c>
      <c r="W301" s="170">
        <v>0</v>
      </c>
      <c r="X301" s="170" t="s">
        <v>1406</v>
      </c>
      <c r="Y301" s="169"/>
      <c r="Z301" s="169" t="s">
        <v>1424</v>
      </c>
      <c r="AA301" s="169"/>
      <c r="AB301" s="169">
        <v>0</v>
      </c>
      <c r="AC301" s="169">
        <v>0</v>
      </c>
      <c r="AD301" s="169">
        <v>0</v>
      </c>
      <c r="AE301" s="169" t="s">
        <v>1446</v>
      </c>
      <c r="AF301" s="169"/>
      <c r="AG301" s="169" t="s">
        <v>1446</v>
      </c>
      <c r="AH301" s="169"/>
      <c r="AI301" s="169"/>
      <c r="AJ301" s="169">
        <v>0</v>
      </c>
      <c r="AK301" s="169" t="s">
        <v>1407</v>
      </c>
      <c r="AL301" s="169">
        <v>28168</v>
      </c>
      <c r="AM301" s="169" t="s">
        <v>1418</v>
      </c>
      <c r="AN301" s="169" t="s">
        <v>1475</v>
      </c>
      <c r="AO301" s="169">
        <v>28</v>
      </c>
      <c r="AP301" s="169" t="s">
        <v>1416</v>
      </c>
      <c r="AQ301" s="169">
        <v>0</v>
      </c>
      <c r="AR301" s="169" t="s">
        <v>1410</v>
      </c>
      <c r="AS301" s="169"/>
      <c r="AT301" s="169" t="s">
        <v>1417</v>
      </c>
      <c r="AU301" s="169" t="s">
        <v>1412</v>
      </c>
    </row>
    <row r="302" spans="1:47" x14ac:dyDescent="0.45">
      <c r="A302" s="169">
        <v>2613150001</v>
      </c>
      <c r="B302" s="169">
        <v>131</v>
      </c>
      <c r="C302" s="169" t="s">
        <v>1462</v>
      </c>
      <c r="D302" s="169">
        <v>130</v>
      </c>
      <c r="E302" s="169" t="s">
        <v>1402</v>
      </c>
      <c r="F302" s="169" t="s">
        <v>3281</v>
      </c>
      <c r="G302" s="169" t="s">
        <v>3282</v>
      </c>
      <c r="H302" s="169">
        <v>2</v>
      </c>
      <c r="I302" s="169" t="s">
        <v>3283</v>
      </c>
      <c r="J302" s="169" t="s">
        <v>1403</v>
      </c>
      <c r="K302" s="169">
        <v>2026</v>
      </c>
      <c r="L302" s="170">
        <v>2026</v>
      </c>
      <c r="M302" s="171">
        <v>45921</v>
      </c>
      <c r="N302" s="169" t="s">
        <v>36</v>
      </c>
      <c r="O302" s="169" t="s">
        <v>708</v>
      </c>
      <c r="P302" s="169">
        <v>121</v>
      </c>
      <c r="Q302" s="169" t="s">
        <v>1502</v>
      </c>
      <c r="R302" s="169">
        <v>2</v>
      </c>
      <c r="S302" s="169">
        <v>8</v>
      </c>
      <c r="T302" s="169" t="s">
        <v>1503</v>
      </c>
      <c r="U302" s="169">
        <v>6</v>
      </c>
      <c r="V302" s="170">
        <v>2622538</v>
      </c>
      <c r="W302" s="170">
        <v>0</v>
      </c>
      <c r="X302" s="170" t="s">
        <v>1406</v>
      </c>
      <c r="Y302" s="169"/>
      <c r="Z302" s="169" t="s">
        <v>32</v>
      </c>
      <c r="AA302" s="171">
        <v>46002</v>
      </c>
      <c r="AB302" s="169">
        <v>26</v>
      </c>
      <c r="AC302" s="169">
        <v>22538</v>
      </c>
      <c r="AD302" s="169">
        <v>131</v>
      </c>
      <c r="AE302" s="169" t="s">
        <v>1462</v>
      </c>
      <c r="AF302" s="169">
        <v>130</v>
      </c>
      <c r="AG302" s="169" t="s">
        <v>1402</v>
      </c>
      <c r="AH302" s="169" t="s">
        <v>36</v>
      </c>
      <c r="AI302" s="169" t="s">
        <v>708</v>
      </c>
      <c r="AJ302" s="169">
        <v>121</v>
      </c>
      <c r="AK302" s="169" t="s">
        <v>1407</v>
      </c>
      <c r="AL302" s="169">
        <v>28170</v>
      </c>
      <c r="AM302" s="169" t="s">
        <v>1418</v>
      </c>
      <c r="AN302" s="169" t="s">
        <v>2844</v>
      </c>
      <c r="AO302" s="169">
        <v>28</v>
      </c>
      <c r="AP302" s="169" t="s">
        <v>1416</v>
      </c>
      <c r="AQ302" s="169">
        <v>0</v>
      </c>
      <c r="AR302" s="169" t="s">
        <v>1410</v>
      </c>
      <c r="AS302" s="169"/>
      <c r="AT302" s="169" t="s">
        <v>1417</v>
      </c>
      <c r="AU302" s="169" t="s">
        <v>1412</v>
      </c>
    </row>
    <row r="303" spans="1:47" x14ac:dyDescent="0.45">
      <c r="A303" s="169">
        <v>2613150002</v>
      </c>
      <c r="B303" s="169">
        <v>131</v>
      </c>
      <c r="C303" s="169" t="s">
        <v>1462</v>
      </c>
      <c r="D303" s="169">
        <v>130</v>
      </c>
      <c r="E303" s="169" t="s">
        <v>1402</v>
      </c>
      <c r="F303" s="169" t="s">
        <v>3284</v>
      </c>
      <c r="G303" s="169" t="s">
        <v>3285</v>
      </c>
      <c r="H303" s="169">
        <v>2</v>
      </c>
      <c r="I303" s="169" t="s">
        <v>2288</v>
      </c>
      <c r="J303" s="169" t="s">
        <v>1403</v>
      </c>
      <c r="K303" s="169">
        <v>2026</v>
      </c>
      <c r="L303" s="170">
        <v>2026</v>
      </c>
      <c r="M303" s="171">
        <v>45901</v>
      </c>
      <c r="N303" s="169" t="s">
        <v>36</v>
      </c>
      <c r="O303" s="169" t="s">
        <v>708</v>
      </c>
      <c r="P303" s="169">
        <v>273</v>
      </c>
      <c r="Q303" s="169" t="s">
        <v>1506</v>
      </c>
      <c r="R303" s="169">
        <v>2</v>
      </c>
      <c r="S303" s="169">
        <v>8</v>
      </c>
      <c r="T303" s="169" t="s">
        <v>1503</v>
      </c>
      <c r="U303" s="169">
        <v>6</v>
      </c>
      <c r="V303" s="170">
        <v>2622501</v>
      </c>
      <c r="W303" s="170">
        <v>0</v>
      </c>
      <c r="X303" s="170" t="s">
        <v>1406</v>
      </c>
      <c r="Y303" s="169"/>
      <c r="Z303" s="169" t="s">
        <v>32</v>
      </c>
      <c r="AA303" s="171">
        <v>45919</v>
      </c>
      <c r="AB303" s="169">
        <v>26</v>
      </c>
      <c r="AC303" s="169">
        <v>22501</v>
      </c>
      <c r="AD303" s="169">
        <v>131</v>
      </c>
      <c r="AE303" s="169" t="s">
        <v>1462</v>
      </c>
      <c r="AF303" s="169">
        <v>130</v>
      </c>
      <c r="AG303" s="169" t="s">
        <v>1402</v>
      </c>
      <c r="AH303" s="169" t="s">
        <v>36</v>
      </c>
      <c r="AI303" s="169" t="s">
        <v>708</v>
      </c>
      <c r="AJ303" s="169">
        <v>273</v>
      </c>
      <c r="AK303" s="169" t="s">
        <v>1407</v>
      </c>
      <c r="AL303" s="169">
        <v>28232</v>
      </c>
      <c r="AM303" s="169" t="s">
        <v>1418</v>
      </c>
      <c r="AN303" s="169" t="s">
        <v>1548</v>
      </c>
      <c r="AO303" s="169">
        <v>28</v>
      </c>
      <c r="AP303" s="169" t="s">
        <v>1416</v>
      </c>
      <c r="AQ303" s="169">
        <v>0</v>
      </c>
      <c r="AR303" s="169" t="s">
        <v>1410</v>
      </c>
      <c r="AS303" s="169"/>
      <c r="AT303" s="169" t="s">
        <v>1417</v>
      </c>
      <c r="AU303" s="169" t="s">
        <v>1412</v>
      </c>
    </row>
    <row r="304" spans="1:47" x14ac:dyDescent="0.45">
      <c r="A304" s="169">
        <v>2613150005</v>
      </c>
      <c r="B304" s="169">
        <v>131</v>
      </c>
      <c r="C304" s="169" t="s">
        <v>1462</v>
      </c>
      <c r="D304" s="169">
        <v>130</v>
      </c>
      <c r="E304" s="169" t="s">
        <v>1402</v>
      </c>
      <c r="F304" s="169" t="s">
        <v>3286</v>
      </c>
      <c r="G304" s="169" t="s">
        <v>3287</v>
      </c>
      <c r="H304" s="169">
        <v>2</v>
      </c>
      <c r="I304" s="169" t="s">
        <v>3288</v>
      </c>
      <c r="J304" s="169" t="s">
        <v>1403</v>
      </c>
      <c r="K304" s="169">
        <v>2026</v>
      </c>
      <c r="L304" s="170">
        <v>2026</v>
      </c>
      <c r="M304" s="171">
        <v>45901</v>
      </c>
      <c r="N304" s="169" t="s">
        <v>36</v>
      </c>
      <c r="O304" s="169" t="s">
        <v>698</v>
      </c>
      <c r="P304" s="169">
        <v>628</v>
      </c>
      <c r="Q304" s="169" t="s">
        <v>1530</v>
      </c>
      <c r="R304" s="169">
        <v>2</v>
      </c>
      <c r="S304" s="169">
        <v>5</v>
      </c>
      <c r="T304" s="169" t="s">
        <v>1470</v>
      </c>
      <c r="U304" s="169">
        <v>15</v>
      </c>
      <c r="V304" s="170">
        <v>2622506</v>
      </c>
      <c r="W304" s="170">
        <v>0</v>
      </c>
      <c r="X304" s="170" t="s">
        <v>1406</v>
      </c>
      <c r="Y304" s="169"/>
      <c r="Z304" s="169" t="s">
        <v>32</v>
      </c>
      <c r="AA304" s="171">
        <v>45934</v>
      </c>
      <c r="AB304" s="169">
        <v>26</v>
      </c>
      <c r="AC304" s="169">
        <v>22506</v>
      </c>
      <c r="AD304" s="169">
        <v>131</v>
      </c>
      <c r="AE304" s="169" t="s">
        <v>1462</v>
      </c>
      <c r="AF304" s="169">
        <v>130</v>
      </c>
      <c r="AG304" s="169" t="s">
        <v>1402</v>
      </c>
      <c r="AH304" s="169" t="s">
        <v>36</v>
      </c>
      <c r="AI304" s="169" t="s">
        <v>698</v>
      </c>
      <c r="AJ304" s="169">
        <v>628</v>
      </c>
      <c r="AK304" s="169" t="s">
        <v>1407</v>
      </c>
      <c r="AL304" s="169">
        <v>28269</v>
      </c>
      <c r="AM304" s="169" t="s">
        <v>1421</v>
      </c>
      <c r="AN304" s="169" t="s">
        <v>1450</v>
      </c>
      <c r="AO304" s="169">
        <v>28</v>
      </c>
      <c r="AP304" s="169" t="s">
        <v>1416</v>
      </c>
      <c r="AQ304" s="169">
        <v>0</v>
      </c>
      <c r="AR304" s="169" t="s">
        <v>1410</v>
      </c>
      <c r="AS304" s="169"/>
      <c r="AT304" s="169" t="s">
        <v>1417</v>
      </c>
      <c r="AU304" s="169" t="s">
        <v>1412</v>
      </c>
    </row>
    <row r="305" spans="1:47" x14ac:dyDescent="0.45">
      <c r="A305" s="169">
        <v>2613150006</v>
      </c>
      <c r="B305" s="169">
        <v>131</v>
      </c>
      <c r="C305" s="169" t="s">
        <v>1462</v>
      </c>
      <c r="D305" s="169">
        <v>130</v>
      </c>
      <c r="E305" s="169" t="s">
        <v>1402</v>
      </c>
      <c r="F305" s="169" t="s">
        <v>3289</v>
      </c>
      <c r="G305" s="169" t="s">
        <v>3290</v>
      </c>
      <c r="H305" s="169">
        <v>2</v>
      </c>
      <c r="I305" s="169" t="s">
        <v>1078</v>
      </c>
      <c r="J305" s="169" t="s">
        <v>1403</v>
      </c>
      <c r="K305" s="169">
        <v>2026</v>
      </c>
      <c r="L305" s="170">
        <v>2026</v>
      </c>
      <c r="M305" s="171">
        <v>45915</v>
      </c>
      <c r="N305" s="169" t="s">
        <v>36</v>
      </c>
      <c r="O305" s="169" t="s">
        <v>708</v>
      </c>
      <c r="P305" s="169">
        <v>1044</v>
      </c>
      <c r="Q305" s="169" t="s">
        <v>1476</v>
      </c>
      <c r="R305" s="169">
        <v>2</v>
      </c>
      <c r="S305" s="169">
        <v>3</v>
      </c>
      <c r="T305" s="169" t="s">
        <v>1477</v>
      </c>
      <c r="U305" s="169">
        <v>4</v>
      </c>
      <c r="V305" s="170">
        <v>2622511</v>
      </c>
      <c r="W305" s="170">
        <v>0</v>
      </c>
      <c r="X305" s="170" t="s">
        <v>1406</v>
      </c>
      <c r="Y305" s="169"/>
      <c r="Z305" s="169" t="s">
        <v>32</v>
      </c>
      <c r="AA305" s="171">
        <v>45944</v>
      </c>
      <c r="AB305" s="169">
        <v>26</v>
      </c>
      <c r="AC305" s="169">
        <v>22511</v>
      </c>
      <c r="AD305" s="169">
        <v>131</v>
      </c>
      <c r="AE305" s="169" t="s">
        <v>1462</v>
      </c>
      <c r="AF305" s="169">
        <v>130</v>
      </c>
      <c r="AG305" s="169" t="s">
        <v>1402</v>
      </c>
      <c r="AH305" s="169" t="s">
        <v>36</v>
      </c>
      <c r="AI305" s="169" t="s">
        <v>708</v>
      </c>
      <c r="AJ305" s="169">
        <v>1044</v>
      </c>
      <c r="AK305" s="169" t="s">
        <v>1407</v>
      </c>
      <c r="AL305" s="169">
        <v>28178</v>
      </c>
      <c r="AM305" s="169" t="s">
        <v>1418</v>
      </c>
      <c r="AN305" s="169" t="s">
        <v>1507</v>
      </c>
      <c r="AO305" s="169">
        <v>28</v>
      </c>
      <c r="AP305" s="169" t="s">
        <v>1416</v>
      </c>
      <c r="AQ305" s="169">
        <v>0</v>
      </c>
      <c r="AR305" s="169" t="s">
        <v>1410</v>
      </c>
      <c r="AS305" s="169"/>
      <c r="AT305" s="169" t="s">
        <v>1417</v>
      </c>
      <c r="AU305" s="169" t="s">
        <v>1412</v>
      </c>
    </row>
    <row r="306" spans="1:47" x14ac:dyDescent="0.45">
      <c r="A306" s="169">
        <v>2613150007</v>
      </c>
      <c r="B306" s="169">
        <v>131</v>
      </c>
      <c r="C306" s="169" t="s">
        <v>1462</v>
      </c>
      <c r="D306" s="169">
        <v>130</v>
      </c>
      <c r="E306" s="169" t="s">
        <v>1402</v>
      </c>
      <c r="F306" s="169" t="s">
        <v>3291</v>
      </c>
      <c r="G306" s="169" t="s">
        <v>3292</v>
      </c>
      <c r="H306" s="169">
        <v>2</v>
      </c>
      <c r="I306" s="169" t="s">
        <v>3293</v>
      </c>
      <c r="J306" s="169" t="s">
        <v>1403</v>
      </c>
      <c r="K306" s="169">
        <v>2026</v>
      </c>
      <c r="L306" s="170">
        <v>2026</v>
      </c>
      <c r="M306" s="171">
        <v>45915</v>
      </c>
      <c r="N306" s="169" t="s">
        <v>36</v>
      </c>
      <c r="O306" s="169" t="s">
        <v>708</v>
      </c>
      <c r="P306" s="169">
        <v>1044</v>
      </c>
      <c r="Q306" s="169" t="s">
        <v>1476</v>
      </c>
      <c r="R306" s="169">
        <v>2</v>
      </c>
      <c r="S306" s="169">
        <v>3</v>
      </c>
      <c r="T306" s="169" t="s">
        <v>1477</v>
      </c>
      <c r="U306" s="169">
        <v>4</v>
      </c>
      <c r="V306" s="170">
        <v>2622521</v>
      </c>
      <c r="W306" s="170">
        <v>0</v>
      </c>
      <c r="X306" s="170" t="s">
        <v>1406</v>
      </c>
      <c r="Y306" s="169"/>
      <c r="Z306" s="169" t="s">
        <v>32</v>
      </c>
      <c r="AA306" s="171">
        <v>45961</v>
      </c>
      <c r="AB306" s="169">
        <v>26</v>
      </c>
      <c r="AC306" s="169">
        <v>22521</v>
      </c>
      <c r="AD306" s="169">
        <v>131</v>
      </c>
      <c r="AE306" s="169" t="s">
        <v>1462</v>
      </c>
      <c r="AF306" s="169">
        <v>130</v>
      </c>
      <c r="AG306" s="169" t="s">
        <v>1402</v>
      </c>
      <c r="AH306" s="169" t="s">
        <v>36</v>
      </c>
      <c r="AI306" s="169" t="s">
        <v>708</v>
      </c>
      <c r="AJ306" s="169">
        <v>1044</v>
      </c>
      <c r="AK306" s="169" t="s">
        <v>1407</v>
      </c>
      <c r="AL306" s="169">
        <v>1347</v>
      </c>
      <c r="AM306" s="169" t="s">
        <v>1421</v>
      </c>
      <c r="AN306" s="169" t="s">
        <v>1445</v>
      </c>
      <c r="AO306" s="169">
        <v>1</v>
      </c>
      <c r="AP306" s="169" t="s">
        <v>1443</v>
      </c>
      <c r="AQ306" s="169">
        <v>0</v>
      </c>
      <c r="AR306" s="169" t="s">
        <v>1410</v>
      </c>
      <c r="AS306" s="169"/>
      <c r="AT306" s="169" t="s">
        <v>1417</v>
      </c>
      <c r="AU306" s="169" t="s">
        <v>1412</v>
      </c>
    </row>
    <row r="307" spans="1:47" x14ac:dyDescent="0.45">
      <c r="A307" s="169">
        <v>2613150008</v>
      </c>
      <c r="B307" s="169">
        <v>131</v>
      </c>
      <c r="C307" s="169" t="s">
        <v>1462</v>
      </c>
      <c r="D307" s="169">
        <v>130</v>
      </c>
      <c r="E307" s="169" t="s">
        <v>1402</v>
      </c>
      <c r="F307" s="169" t="s">
        <v>3294</v>
      </c>
      <c r="G307" s="169" t="s">
        <v>3295</v>
      </c>
      <c r="H307" s="169">
        <v>2</v>
      </c>
      <c r="I307" s="169" t="s">
        <v>954</v>
      </c>
      <c r="J307" s="169" t="s">
        <v>1403</v>
      </c>
      <c r="K307" s="169">
        <v>2026</v>
      </c>
      <c r="L307" s="170">
        <v>2026</v>
      </c>
      <c r="M307" s="171">
        <v>45915</v>
      </c>
      <c r="N307" s="169" t="s">
        <v>36</v>
      </c>
      <c r="O307" s="169" t="s">
        <v>708</v>
      </c>
      <c r="P307" s="169">
        <v>121</v>
      </c>
      <c r="Q307" s="169" t="s">
        <v>1502</v>
      </c>
      <c r="R307" s="169">
        <v>2</v>
      </c>
      <c r="S307" s="169">
        <v>8</v>
      </c>
      <c r="T307" s="169" t="s">
        <v>1503</v>
      </c>
      <c r="U307" s="169">
        <v>6</v>
      </c>
      <c r="V307" s="170">
        <v>0</v>
      </c>
      <c r="W307" s="170">
        <v>0</v>
      </c>
      <c r="X307" s="170" t="s">
        <v>1406</v>
      </c>
      <c r="Y307" s="169"/>
      <c r="Z307" s="169" t="s">
        <v>32</v>
      </c>
      <c r="AA307" s="169"/>
      <c r="AB307" s="169">
        <v>0</v>
      </c>
      <c r="AC307" s="169">
        <v>0</v>
      </c>
      <c r="AD307" s="169">
        <v>0</v>
      </c>
      <c r="AE307" s="169" t="s">
        <v>1446</v>
      </c>
      <c r="AF307" s="169"/>
      <c r="AG307" s="169" t="s">
        <v>1446</v>
      </c>
      <c r="AH307" s="169"/>
      <c r="AI307" s="169"/>
      <c r="AJ307" s="169">
        <v>0</v>
      </c>
      <c r="AK307" s="169" t="s">
        <v>1407</v>
      </c>
      <c r="AL307" s="169">
        <v>28175</v>
      </c>
      <c r="AM307" s="169" t="s">
        <v>1418</v>
      </c>
      <c r="AN307" s="169" t="s">
        <v>1459</v>
      </c>
      <c r="AO307" s="169">
        <v>28</v>
      </c>
      <c r="AP307" s="169" t="s">
        <v>1416</v>
      </c>
      <c r="AQ307" s="169">
        <v>0</v>
      </c>
      <c r="AR307" s="169" t="s">
        <v>1410</v>
      </c>
      <c r="AS307" s="169"/>
      <c r="AT307" s="169" t="s">
        <v>1417</v>
      </c>
      <c r="AU307" s="169" t="s">
        <v>1412</v>
      </c>
    </row>
    <row r="308" spans="1:47" x14ac:dyDescent="0.45">
      <c r="A308" s="169">
        <v>2613150010</v>
      </c>
      <c r="B308" s="169">
        <v>131</v>
      </c>
      <c r="C308" s="169" t="s">
        <v>1462</v>
      </c>
      <c r="D308" s="169">
        <v>130</v>
      </c>
      <c r="E308" s="169" t="s">
        <v>1402</v>
      </c>
      <c r="F308" s="169" t="s">
        <v>3296</v>
      </c>
      <c r="G308" s="169" t="s">
        <v>3297</v>
      </c>
      <c r="H308" s="169">
        <v>2</v>
      </c>
      <c r="I308" s="169" t="s">
        <v>2626</v>
      </c>
      <c r="J308" s="169" t="s">
        <v>1403</v>
      </c>
      <c r="K308" s="169">
        <v>2026</v>
      </c>
      <c r="L308" s="170">
        <v>2026</v>
      </c>
      <c r="M308" s="171">
        <v>45936</v>
      </c>
      <c r="N308" s="169" t="s">
        <v>36</v>
      </c>
      <c r="O308" s="169" t="s">
        <v>741</v>
      </c>
      <c r="P308" s="169">
        <v>581</v>
      </c>
      <c r="Q308" s="169" t="s">
        <v>1489</v>
      </c>
      <c r="R308" s="169">
        <v>2</v>
      </c>
      <c r="S308" s="169">
        <v>10</v>
      </c>
      <c r="T308" s="169" t="s">
        <v>1490</v>
      </c>
      <c r="U308" s="169">
        <v>9</v>
      </c>
      <c r="V308" s="170">
        <v>0</v>
      </c>
      <c r="W308" s="170">
        <v>0</v>
      </c>
      <c r="X308" s="170" t="s">
        <v>1406</v>
      </c>
      <c r="Y308" s="171">
        <v>45996</v>
      </c>
      <c r="Z308" s="169" t="s">
        <v>32</v>
      </c>
      <c r="AA308" s="169"/>
      <c r="AB308" s="169">
        <v>0</v>
      </c>
      <c r="AC308" s="169">
        <v>0</v>
      </c>
      <c r="AD308" s="169">
        <v>0</v>
      </c>
      <c r="AE308" s="169" t="s">
        <v>1446</v>
      </c>
      <c r="AF308" s="169"/>
      <c r="AG308" s="169" t="s">
        <v>1446</v>
      </c>
      <c r="AH308" s="169"/>
      <c r="AI308" s="169"/>
      <c r="AJ308" s="169">
        <v>0</v>
      </c>
      <c r="AK308" s="169" t="s">
        <v>1410</v>
      </c>
      <c r="AL308" s="169">
        <v>28092</v>
      </c>
      <c r="AM308" s="169" t="s">
        <v>1421</v>
      </c>
      <c r="AN308" s="169" t="s">
        <v>2824</v>
      </c>
      <c r="AO308" s="169">
        <v>28</v>
      </c>
      <c r="AP308" s="169" t="s">
        <v>1416</v>
      </c>
      <c r="AQ308" s="169">
        <v>0</v>
      </c>
      <c r="AR308" s="169" t="s">
        <v>1410</v>
      </c>
      <c r="AS308" s="169"/>
      <c r="AT308" s="169" t="s">
        <v>1417</v>
      </c>
      <c r="AU308" s="169" t="s">
        <v>1412</v>
      </c>
    </row>
    <row r="309" spans="1:47" x14ac:dyDescent="0.45">
      <c r="A309" s="169">
        <v>2613150011</v>
      </c>
      <c r="B309" s="169">
        <v>131</v>
      </c>
      <c r="C309" s="169" t="s">
        <v>1462</v>
      </c>
      <c r="D309" s="169">
        <v>130</v>
      </c>
      <c r="E309" s="169" t="s">
        <v>1402</v>
      </c>
      <c r="F309" s="169" t="s">
        <v>3298</v>
      </c>
      <c r="G309" s="169" t="s">
        <v>3299</v>
      </c>
      <c r="H309" s="169">
        <v>2</v>
      </c>
      <c r="I309" s="169" t="s">
        <v>800</v>
      </c>
      <c r="J309" s="169" t="s">
        <v>1403</v>
      </c>
      <c r="K309" s="169">
        <v>2026</v>
      </c>
      <c r="L309" s="170">
        <v>2026</v>
      </c>
      <c r="M309" s="171">
        <v>45925</v>
      </c>
      <c r="N309" s="169" t="s">
        <v>36</v>
      </c>
      <c r="O309" s="169" t="s">
        <v>741</v>
      </c>
      <c r="P309" s="169">
        <v>581</v>
      </c>
      <c r="Q309" s="169" t="s">
        <v>1489</v>
      </c>
      <c r="R309" s="169">
        <v>2</v>
      </c>
      <c r="S309" s="169">
        <v>10</v>
      </c>
      <c r="T309" s="169" t="s">
        <v>1490</v>
      </c>
      <c r="U309" s="169">
        <v>9</v>
      </c>
      <c r="V309" s="170">
        <v>2622513</v>
      </c>
      <c r="W309" s="170">
        <v>0</v>
      </c>
      <c r="X309" s="170" t="s">
        <v>1406</v>
      </c>
      <c r="Y309" s="169"/>
      <c r="Z309" s="169" t="s">
        <v>32</v>
      </c>
      <c r="AA309" s="171">
        <v>45945</v>
      </c>
      <c r="AB309" s="169">
        <v>26</v>
      </c>
      <c r="AC309" s="169">
        <v>22513</v>
      </c>
      <c r="AD309" s="169">
        <v>131</v>
      </c>
      <c r="AE309" s="169" t="s">
        <v>1462</v>
      </c>
      <c r="AF309" s="169">
        <v>130</v>
      </c>
      <c r="AG309" s="169" t="s">
        <v>1402</v>
      </c>
      <c r="AH309" s="169" t="s">
        <v>36</v>
      </c>
      <c r="AI309" s="169" t="s">
        <v>741</v>
      </c>
      <c r="AJ309" s="169">
        <v>581</v>
      </c>
      <c r="AK309" s="169" t="s">
        <v>1407</v>
      </c>
      <c r="AL309" s="169">
        <v>28107</v>
      </c>
      <c r="AM309" s="169" t="s">
        <v>1418</v>
      </c>
      <c r="AN309" s="169" t="s">
        <v>1484</v>
      </c>
      <c r="AO309" s="169">
        <v>28</v>
      </c>
      <c r="AP309" s="169" t="s">
        <v>1416</v>
      </c>
      <c r="AQ309" s="169">
        <v>0</v>
      </c>
      <c r="AR309" s="169" t="s">
        <v>1410</v>
      </c>
      <c r="AS309" s="169"/>
      <c r="AT309" s="169" t="s">
        <v>1417</v>
      </c>
      <c r="AU309" s="169" t="s">
        <v>1412</v>
      </c>
    </row>
    <row r="310" spans="1:47" x14ac:dyDescent="0.45">
      <c r="A310" s="169">
        <v>2613150012</v>
      </c>
      <c r="B310" s="169">
        <v>131</v>
      </c>
      <c r="C310" s="169" t="s">
        <v>1462</v>
      </c>
      <c r="D310" s="169">
        <v>130</v>
      </c>
      <c r="E310" s="169" t="s">
        <v>1402</v>
      </c>
      <c r="F310" s="169" t="s">
        <v>3300</v>
      </c>
      <c r="G310" s="169" t="s">
        <v>3301</v>
      </c>
      <c r="H310" s="169">
        <v>1</v>
      </c>
      <c r="I310" s="169" t="s">
        <v>593</v>
      </c>
      <c r="J310" s="169" t="s">
        <v>1403</v>
      </c>
      <c r="K310" s="169">
        <v>2026</v>
      </c>
      <c r="L310" s="170">
        <v>2026</v>
      </c>
      <c r="M310" s="171">
        <v>45934</v>
      </c>
      <c r="N310" s="169" t="s">
        <v>36</v>
      </c>
      <c r="O310" s="169" t="s">
        <v>793</v>
      </c>
      <c r="P310" s="169">
        <v>428</v>
      </c>
      <c r="Q310" s="169" t="s">
        <v>1463</v>
      </c>
      <c r="R310" s="169">
        <v>1</v>
      </c>
      <c r="S310" s="169">
        <v>2</v>
      </c>
      <c r="T310" s="169" t="s">
        <v>1464</v>
      </c>
      <c r="U310" s="169">
        <v>1</v>
      </c>
      <c r="V310" s="170">
        <v>0</v>
      </c>
      <c r="W310" s="170">
        <v>0</v>
      </c>
      <c r="X310" s="170" t="s">
        <v>1406</v>
      </c>
      <c r="Y310" s="171">
        <v>45971</v>
      </c>
      <c r="Z310" s="169" t="s">
        <v>32</v>
      </c>
      <c r="AA310" s="169"/>
      <c r="AB310" s="169">
        <v>0</v>
      </c>
      <c r="AC310" s="169">
        <v>0</v>
      </c>
      <c r="AD310" s="169">
        <v>0</v>
      </c>
      <c r="AE310" s="169" t="s">
        <v>1446</v>
      </c>
      <c r="AF310" s="169"/>
      <c r="AG310" s="169" t="s">
        <v>1446</v>
      </c>
      <c r="AH310" s="169"/>
      <c r="AI310" s="169"/>
      <c r="AJ310" s="169">
        <v>0</v>
      </c>
      <c r="AK310" s="169" t="s">
        <v>1473</v>
      </c>
      <c r="AL310" s="169">
        <v>28177</v>
      </c>
      <c r="AM310" s="169" t="s">
        <v>1418</v>
      </c>
      <c r="AN310" s="169" t="s">
        <v>2839</v>
      </c>
      <c r="AO310" s="169">
        <v>28</v>
      </c>
      <c r="AP310" s="169" t="s">
        <v>1416</v>
      </c>
      <c r="AQ310" s="169">
        <v>0</v>
      </c>
      <c r="AR310" s="169" t="s">
        <v>1410</v>
      </c>
      <c r="AS310" s="169"/>
      <c r="AT310" s="169" t="s">
        <v>1417</v>
      </c>
      <c r="AU310" s="169" t="s">
        <v>1412</v>
      </c>
    </row>
    <row r="311" spans="1:47" x14ac:dyDescent="0.45">
      <c r="A311" s="169">
        <v>2613150013</v>
      </c>
      <c r="B311" s="169">
        <v>131</v>
      </c>
      <c r="C311" s="169" t="s">
        <v>1462</v>
      </c>
      <c r="D311" s="169">
        <v>130</v>
      </c>
      <c r="E311" s="169" t="s">
        <v>1402</v>
      </c>
      <c r="F311" s="169" t="s">
        <v>3302</v>
      </c>
      <c r="G311" s="169" t="s">
        <v>3303</v>
      </c>
      <c r="H311" s="169">
        <v>2</v>
      </c>
      <c r="I311" s="169" t="s">
        <v>513</v>
      </c>
      <c r="J311" s="169" t="s">
        <v>1403</v>
      </c>
      <c r="K311" s="169">
        <v>2026</v>
      </c>
      <c r="L311" s="170">
        <v>2026</v>
      </c>
      <c r="M311" s="171">
        <v>45934</v>
      </c>
      <c r="N311" s="169" t="s">
        <v>36</v>
      </c>
      <c r="O311" s="169" t="s">
        <v>704</v>
      </c>
      <c r="P311" s="169">
        <v>427</v>
      </c>
      <c r="Q311" s="169" t="s">
        <v>1479</v>
      </c>
      <c r="R311" s="169">
        <v>2</v>
      </c>
      <c r="S311" s="169">
        <v>2</v>
      </c>
      <c r="T311" s="169" t="s">
        <v>1464</v>
      </c>
      <c r="U311" s="169">
        <v>1</v>
      </c>
      <c r="V311" s="170">
        <v>2622519</v>
      </c>
      <c r="W311" s="170">
        <v>0</v>
      </c>
      <c r="X311" s="170" t="s">
        <v>1406</v>
      </c>
      <c r="Y311" s="169"/>
      <c r="Z311" s="169" t="s">
        <v>32</v>
      </c>
      <c r="AA311" s="171">
        <v>45957</v>
      </c>
      <c r="AB311" s="169">
        <v>26</v>
      </c>
      <c r="AC311" s="169">
        <v>22519</v>
      </c>
      <c r="AD311" s="169">
        <v>131</v>
      </c>
      <c r="AE311" s="169" t="s">
        <v>1462</v>
      </c>
      <c r="AF311" s="169">
        <v>130</v>
      </c>
      <c r="AG311" s="169" t="s">
        <v>1402</v>
      </c>
      <c r="AH311" s="169" t="s">
        <v>36</v>
      </c>
      <c r="AI311" s="169" t="s">
        <v>704</v>
      </c>
      <c r="AJ311" s="169">
        <v>427</v>
      </c>
      <c r="AK311" s="169" t="s">
        <v>1407</v>
      </c>
      <c r="AL311" s="169">
        <v>27974</v>
      </c>
      <c r="AM311" s="169" t="s">
        <v>1421</v>
      </c>
      <c r="AN311" s="169" t="s">
        <v>3446</v>
      </c>
      <c r="AO311" s="169">
        <v>27</v>
      </c>
      <c r="AP311" s="169" t="s">
        <v>1581</v>
      </c>
      <c r="AQ311" s="169">
        <v>0</v>
      </c>
      <c r="AR311" s="169" t="s">
        <v>1410</v>
      </c>
      <c r="AS311" s="169"/>
      <c r="AT311" s="169" t="s">
        <v>1417</v>
      </c>
      <c r="AU311" s="169" t="s">
        <v>1412</v>
      </c>
    </row>
    <row r="312" spans="1:47" x14ac:dyDescent="0.45">
      <c r="A312" s="169">
        <v>2613150014</v>
      </c>
      <c r="B312" s="169">
        <v>131</v>
      </c>
      <c r="C312" s="169" t="s">
        <v>1462</v>
      </c>
      <c r="D312" s="169">
        <v>130</v>
      </c>
      <c r="E312" s="169" t="s">
        <v>1402</v>
      </c>
      <c r="F312" s="169" t="s">
        <v>3304</v>
      </c>
      <c r="G312" s="169" t="s">
        <v>3305</v>
      </c>
      <c r="H312" s="169">
        <v>2</v>
      </c>
      <c r="I312" s="169" t="s">
        <v>2353</v>
      </c>
      <c r="J312" s="169" t="s">
        <v>1403</v>
      </c>
      <c r="K312" s="169">
        <v>2026</v>
      </c>
      <c r="L312" s="170">
        <v>2026</v>
      </c>
      <c r="M312" s="171">
        <v>45921</v>
      </c>
      <c r="N312" s="169" t="s">
        <v>36</v>
      </c>
      <c r="O312" s="169" t="s">
        <v>698</v>
      </c>
      <c r="P312" s="169">
        <v>502</v>
      </c>
      <c r="Q312" s="169" t="s">
        <v>1500</v>
      </c>
      <c r="R312" s="169">
        <v>2</v>
      </c>
      <c r="S312" s="169">
        <v>5</v>
      </c>
      <c r="T312" s="169" t="s">
        <v>1470</v>
      </c>
      <c r="U312" s="169">
        <v>15</v>
      </c>
      <c r="V312" s="170">
        <v>0</v>
      </c>
      <c r="W312" s="170">
        <v>0</v>
      </c>
      <c r="X312" s="170" t="s">
        <v>1406</v>
      </c>
      <c r="Y312" s="169"/>
      <c r="Z312" s="169" t="s">
        <v>32</v>
      </c>
      <c r="AA312" s="169"/>
      <c r="AB312" s="169">
        <v>0</v>
      </c>
      <c r="AC312" s="169">
        <v>0</v>
      </c>
      <c r="AD312" s="169">
        <v>0</v>
      </c>
      <c r="AE312" s="169" t="s">
        <v>1446</v>
      </c>
      <c r="AF312" s="169"/>
      <c r="AG312" s="169" t="s">
        <v>1446</v>
      </c>
      <c r="AH312" s="169"/>
      <c r="AI312" s="169"/>
      <c r="AJ312" s="169">
        <v>0</v>
      </c>
      <c r="AK312" s="169" t="s">
        <v>1407</v>
      </c>
      <c r="AL312" s="169">
        <v>43091</v>
      </c>
      <c r="AM312" s="169" t="s">
        <v>1421</v>
      </c>
      <c r="AN312" s="169" t="s">
        <v>2833</v>
      </c>
      <c r="AO312" s="169">
        <v>43</v>
      </c>
      <c r="AP312" s="169" t="s">
        <v>2834</v>
      </c>
      <c r="AQ312" s="169">
        <v>0</v>
      </c>
      <c r="AR312" s="169" t="s">
        <v>1410</v>
      </c>
      <c r="AS312" s="169"/>
      <c r="AT312" s="169" t="s">
        <v>1417</v>
      </c>
      <c r="AU312" s="169" t="s">
        <v>1412</v>
      </c>
    </row>
    <row r="313" spans="1:47" x14ac:dyDescent="0.45">
      <c r="A313" s="169">
        <v>2613150015</v>
      </c>
      <c r="B313" s="169">
        <v>131</v>
      </c>
      <c r="C313" s="169" t="s">
        <v>1462</v>
      </c>
      <c r="D313" s="169">
        <v>130</v>
      </c>
      <c r="E313" s="169" t="s">
        <v>1402</v>
      </c>
      <c r="F313" s="169" t="s">
        <v>3306</v>
      </c>
      <c r="G313" s="169" t="s">
        <v>3307</v>
      </c>
      <c r="H313" s="169">
        <v>2</v>
      </c>
      <c r="I313" s="169" t="s">
        <v>3308</v>
      </c>
      <c r="J313" s="169" t="s">
        <v>1403</v>
      </c>
      <c r="K313" s="169">
        <v>2026</v>
      </c>
      <c r="L313" s="170">
        <v>2026</v>
      </c>
      <c r="M313" s="171">
        <v>45915</v>
      </c>
      <c r="N313" s="169" t="s">
        <v>36</v>
      </c>
      <c r="O313" s="169" t="s">
        <v>704</v>
      </c>
      <c r="P313" s="169">
        <v>290</v>
      </c>
      <c r="Q313" s="169" t="s">
        <v>1496</v>
      </c>
      <c r="R313" s="169">
        <v>2</v>
      </c>
      <c r="S313" s="169">
        <v>2</v>
      </c>
      <c r="T313" s="169" t="s">
        <v>1464</v>
      </c>
      <c r="U313" s="169">
        <v>1</v>
      </c>
      <c r="V313" s="170">
        <v>2622524</v>
      </c>
      <c r="W313" s="170">
        <v>0</v>
      </c>
      <c r="X313" s="170" t="s">
        <v>1406</v>
      </c>
      <c r="Y313" s="169"/>
      <c r="Z313" s="169" t="s">
        <v>32</v>
      </c>
      <c r="AA313" s="171">
        <v>45967</v>
      </c>
      <c r="AB313" s="169">
        <v>26</v>
      </c>
      <c r="AC313" s="169">
        <v>22524</v>
      </c>
      <c r="AD313" s="169">
        <v>131</v>
      </c>
      <c r="AE313" s="169" t="s">
        <v>1462</v>
      </c>
      <c r="AF313" s="169">
        <v>130</v>
      </c>
      <c r="AG313" s="169" t="s">
        <v>1402</v>
      </c>
      <c r="AH313" s="169" t="s">
        <v>36</v>
      </c>
      <c r="AI313" s="169" t="s">
        <v>704</v>
      </c>
      <c r="AJ313" s="169">
        <v>290</v>
      </c>
      <c r="AK313" s="169" t="s">
        <v>1407</v>
      </c>
      <c r="AL313" s="169">
        <v>28231</v>
      </c>
      <c r="AM313" s="169" t="s">
        <v>1418</v>
      </c>
      <c r="AN313" s="169" t="s">
        <v>1517</v>
      </c>
      <c r="AO313" s="169">
        <v>28</v>
      </c>
      <c r="AP313" s="169" t="s">
        <v>1416</v>
      </c>
      <c r="AQ313" s="169">
        <v>0</v>
      </c>
      <c r="AR313" s="169" t="s">
        <v>1410</v>
      </c>
      <c r="AS313" s="169"/>
      <c r="AT313" s="169" t="s">
        <v>1417</v>
      </c>
      <c r="AU313" s="169" t="s">
        <v>1412</v>
      </c>
    </row>
    <row r="314" spans="1:47" x14ac:dyDescent="0.45">
      <c r="A314" s="169">
        <v>2613150016</v>
      </c>
      <c r="B314" s="169">
        <v>131</v>
      </c>
      <c r="C314" s="169" t="s">
        <v>1462</v>
      </c>
      <c r="D314" s="169">
        <v>130</v>
      </c>
      <c r="E314" s="169" t="s">
        <v>1402</v>
      </c>
      <c r="F314" s="169" t="s">
        <v>3309</v>
      </c>
      <c r="G314" s="169" t="s">
        <v>3310</v>
      </c>
      <c r="H314" s="169">
        <v>1</v>
      </c>
      <c r="I314" s="169" t="s">
        <v>3158</v>
      </c>
      <c r="J314" s="169" t="s">
        <v>1403</v>
      </c>
      <c r="K314" s="169">
        <v>2026</v>
      </c>
      <c r="L314" s="170">
        <v>2026</v>
      </c>
      <c r="M314" s="171">
        <v>45921</v>
      </c>
      <c r="N314" s="169" t="s">
        <v>36</v>
      </c>
      <c r="O314" s="169" t="s">
        <v>704</v>
      </c>
      <c r="P314" s="169">
        <v>428</v>
      </c>
      <c r="Q314" s="169" t="s">
        <v>1463</v>
      </c>
      <c r="R314" s="169">
        <v>2</v>
      </c>
      <c r="S314" s="169">
        <v>2</v>
      </c>
      <c r="T314" s="169" t="s">
        <v>1464</v>
      </c>
      <c r="U314" s="169">
        <v>1</v>
      </c>
      <c r="V314" s="170">
        <v>0</v>
      </c>
      <c r="W314" s="170">
        <v>0</v>
      </c>
      <c r="X314" s="170" t="s">
        <v>1406</v>
      </c>
      <c r="Y314" s="171">
        <v>45967</v>
      </c>
      <c r="Z314" s="169" t="s">
        <v>32</v>
      </c>
      <c r="AA314" s="169"/>
      <c r="AB314" s="169">
        <v>0</v>
      </c>
      <c r="AC314" s="169">
        <v>0</v>
      </c>
      <c r="AD314" s="169">
        <v>0</v>
      </c>
      <c r="AE314" s="169" t="s">
        <v>1446</v>
      </c>
      <c r="AF314" s="169"/>
      <c r="AG314" s="169" t="s">
        <v>1446</v>
      </c>
      <c r="AH314" s="169"/>
      <c r="AI314" s="169"/>
      <c r="AJ314" s="169">
        <v>0</v>
      </c>
      <c r="AK314" s="169" t="s">
        <v>1473</v>
      </c>
      <c r="AL314" s="169">
        <v>28255</v>
      </c>
      <c r="AM314" s="169" t="s">
        <v>1421</v>
      </c>
      <c r="AN314" s="169" t="s">
        <v>2825</v>
      </c>
      <c r="AO314" s="169">
        <v>28</v>
      </c>
      <c r="AP314" s="169" t="s">
        <v>1416</v>
      </c>
      <c r="AQ314" s="169">
        <v>0</v>
      </c>
      <c r="AR314" s="169" t="s">
        <v>1410</v>
      </c>
      <c r="AS314" s="169"/>
      <c r="AT314" s="169" t="s">
        <v>1417</v>
      </c>
      <c r="AU314" s="169" t="s">
        <v>1412</v>
      </c>
    </row>
    <row r="315" spans="1:47" x14ac:dyDescent="0.45">
      <c r="A315" s="169">
        <v>2613150017</v>
      </c>
      <c r="B315" s="169">
        <v>131</v>
      </c>
      <c r="C315" s="169" t="s">
        <v>1462</v>
      </c>
      <c r="D315" s="169">
        <v>130</v>
      </c>
      <c r="E315" s="169" t="s">
        <v>1402</v>
      </c>
      <c r="F315" s="169" t="s">
        <v>3311</v>
      </c>
      <c r="G315" s="169" t="s">
        <v>3312</v>
      </c>
      <c r="H315" s="169">
        <v>1</v>
      </c>
      <c r="I315" s="169" t="s">
        <v>3313</v>
      </c>
      <c r="J315" s="169" t="s">
        <v>1403</v>
      </c>
      <c r="K315" s="169">
        <v>2026</v>
      </c>
      <c r="L315" s="170">
        <v>2026</v>
      </c>
      <c r="M315" s="171">
        <v>45936</v>
      </c>
      <c r="N315" s="169" t="s">
        <v>36</v>
      </c>
      <c r="O315" s="169" t="s">
        <v>704</v>
      </c>
      <c r="P315" s="169">
        <v>260</v>
      </c>
      <c r="Q315" s="169" t="s">
        <v>1519</v>
      </c>
      <c r="R315" s="169">
        <v>2</v>
      </c>
      <c r="S315" s="169">
        <v>2</v>
      </c>
      <c r="T315" s="169" t="s">
        <v>1464</v>
      </c>
      <c r="U315" s="169">
        <v>1</v>
      </c>
      <c r="V315" s="170">
        <v>0</v>
      </c>
      <c r="W315" s="170">
        <v>0</v>
      </c>
      <c r="X315" s="170" t="s">
        <v>1406</v>
      </c>
      <c r="Y315" s="171">
        <v>45965</v>
      </c>
      <c r="Z315" s="169" t="s">
        <v>32</v>
      </c>
      <c r="AA315" s="169"/>
      <c r="AB315" s="169">
        <v>0</v>
      </c>
      <c r="AC315" s="169">
        <v>0</v>
      </c>
      <c r="AD315" s="169">
        <v>0</v>
      </c>
      <c r="AE315" s="169" t="s">
        <v>1446</v>
      </c>
      <c r="AF315" s="169"/>
      <c r="AG315" s="169" t="s">
        <v>1446</v>
      </c>
      <c r="AH315" s="169"/>
      <c r="AI315" s="169"/>
      <c r="AJ315" s="169">
        <v>0</v>
      </c>
      <c r="AK315" s="169" t="s">
        <v>1410</v>
      </c>
      <c r="AL315" s="169">
        <v>28168</v>
      </c>
      <c r="AM315" s="169" t="s">
        <v>1418</v>
      </c>
      <c r="AN315" s="169" t="s">
        <v>1475</v>
      </c>
      <c r="AO315" s="169">
        <v>28</v>
      </c>
      <c r="AP315" s="169" t="s">
        <v>1416</v>
      </c>
      <c r="AQ315" s="169">
        <v>0</v>
      </c>
      <c r="AR315" s="169" t="s">
        <v>1410</v>
      </c>
      <c r="AS315" s="169"/>
      <c r="AT315" s="169" t="s">
        <v>1417</v>
      </c>
      <c r="AU315" s="169" t="s">
        <v>1412</v>
      </c>
    </row>
    <row r="316" spans="1:47" x14ac:dyDescent="0.45">
      <c r="A316" s="169">
        <v>2613150018</v>
      </c>
      <c r="B316" s="169">
        <v>131</v>
      </c>
      <c r="C316" s="169" t="s">
        <v>1462</v>
      </c>
      <c r="D316" s="169">
        <v>130</v>
      </c>
      <c r="E316" s="169" t="s">
        <v>1402</v>
      </c>
      <c r="F316" s="169" t="s">
        <v>3314</v>
      </c>
      <c r="G316" s="169" t="s">
        <v>3315</v>
      </c>
      <c r="H316" s="169">
        <v>2</v>
      </c>
      <c r="I316" s="169" t="s">
        <v>539</v>
      </c>
      <c r="J316" s="169" t="s">
        <v>1403</v>
      </c>
      <c r="K316" s="169">
        <v>2026</v>
      </c>
      <c r="L316" s="170">
        <v>2026</v>
      </c>
      <c r="M316" s="171">
        <v>45901</v>
      </c>
      <c r="N316" s="169" t="s">
        <v>36</v>
      </c>
      <c r="O316" s="169" t="s">
        <v>741</v>
      </c>
      <c r="P316" s="169">
        <v>581</v>
      </c>
      <c r="Q316" s="169" t="s">
        <v>1489</v>
      </c>
      <c r="R316" s="169">
        <v>2</v>
      </c>
      <c r="S316" s="169">
        <v>10</v>
      </c>
      <c r="T316" s="169" t="s">
        <v>1490</v>
      </c>
      <c r="U316" s="169">
        <v>9</v>
      </c>
      <c r="V316" s="170">
        <v>2622505</v>
      </c>
      <c r="W316" s="170">
        <v>0</v>
      </c>
      <c r="X316" s="170" t="s">
        <v>1406</v>
      </c>
      <c r="Y316" s="169"/>
      <c r="Z316" s="169" t="s">
        <v>32</v>
      </c>
      <c r="AA316" s="171">
        <v>45928</v>
      </c>
      <c r="AB316" s="169">
        <v>26</v>
      </c>
      <c r="AC316" s="169">
        <v>22505</v>
      </c>
      <c r="AD316" s="169">
        <v>131</v>
      </c>
      <c r="AE316" s="169" t="s">
        <v>1462</v>
      </c>
      <c r="AF316" s="169">
        <v>130</v>
      </c>
      <c r="AG316" s="169" t="s">
        <v>1402</v>
      </c>
      <c r="AH316" s="169" t="s">
        <v>36</v>
      </c>
      <c r="AI316" s="169" t="s">
        <v>741</v>
      </c>
      <c r="AJ316" s="169">
        <v>581</v>
      </c>
      <c r="AK316" s="169" t="s">
        <v>1407</v>
      </c>
      <c r="AL316" s="169">
        <v>28098</v>
      </c>
      <c r="AM316" s="169" t="s">
        <v>1418</v>
      </c>
      <c r="AN316" s="169" t="s">
        <v>1448</v>
      </c>
      <c r="AO316" s="169">
        <v>28</v>
      </c>
      <c r="AP316" s="169" t="s">
        <v>1416</v>
      </c>
      <c r="AQ316" s="169">
        <v>0</v>
      </c>
      <c r="AR316" s="169" t="s">
        <v>1410</v>
      </c>
      <c r="AS316" s="169"/>
      <c r="AT316" s="169" t="s">
        <v>1417</v>
      </c>
      <c r="AU316" s="169" t="s">
        <v>1412</v>
      </c>
    </row>
    <row r="317" spans="1:47" x14ac:dyDescent="0.45">
      <c r="A317" s="169">
        <v>2613150019</v>
      </c>
      <c r="B317" s="169">
        <v>131</v>
      </c>
      <c r="C317" s="169" t="s">
        <v>1462</v>
      </c>
      <c r="D317" s="169">
        <v>130</v>
      </c>
      <c r="E317" s="169" t="s">
        <v>1402</v>
      </c>
      <c r="F317" s="169" t="s">
        <v>3316</v>
      </c>
      <c r="G317" s="169" t="s">
        <v>3317</v>
      </c>
      <c r="H317" s="169">
        <v>2</v>
      </c>
      <c r="I317" s="169" t="s">
        <v>3318</v>
      </c>
      <c r="J317" s="169" t="s">
        <v>1403</v>
      </c>
      <c r="K317" s="169">
        <v>2026</v>
      </c>
      <c r="L317" s="170">
        <v>2026</v>
      </c>
      <c r="M317" s="171">
        <v>45934</v>
      </c>
      <c r="N317" s="169" t="s">
        <v>36</v>
      </c>
      <c r="O317" s="169" t="s">
        <v>708</v>
      </c>
      <c r="P317" s="169">
        <v>202</v>
      </c>
      <c r="Q317" s="169" t="s">
        <v>1504</v>
      </c>
      <c r="R317" s="169">
        <v>2</v>
      </c>
      <c r="S317" s="169">
        <v>8</v>
      </c>
      <c r="T317" s="169" t="s">
        <v>1503</v>
      </c>
      <c r="U317" s="169">
        <v>6</v>
      </c>
      <c r="V317" s="170">
        <v>2622512</v>
      </c>
      <c r="W317" s="170">
        <v>0</v>
      </c>
      <c r="X317" s="170" t="s">
        <v>1406</v>
      </c>
      <c r="Y317" s="169"/>
      <c r="Z317" s="169" t="s">
        <v>32</v>
      </c>
      <c r="AA317" s="171">
        <v>45944</v>
      </c>
      <c r="AB317" s="169">
        <v>26</v>
      </c>
      <c r="AC317" s="169">
        <v>22512</v>
      </c>
      <c r="AD317" s="169">
        <v>131</v>
      </c>
      <c r="AE317" s="169" t="s">
        <v>1462</v>
      </c>
      <c r="AF317" s="169">
        <v>130</v>
      </c>
      <c r="AG317" s="169" t="s">
        <v>1402</v>
      </c>
      <c r="AH317" s="169" t="s">
        <v>36</v>
      </c>
      <c r="AI317" s="169" t="s">
        <v>708</v>
      </c>
      <c r="AJ317" s="169">
        <v>202</v>
      </c>
      <c r="AK317" s="169" t="s">
        <v>1407</v>
      </c>
      <c r="AL317" s="169">
        <v>28296</v>
      </c>
      <c r="AM317" s="169" t="s">
        <v>1421</v>
      </c>
      <c r="AN317" s="169" t="s">
        <v>2807</v>
      </c>
      <c r="AO317" s="169">
        <v>28</v>
      </c>
      <c r="AP317" s="169" t="s">
        <v>1416</v>
      </c>
      <c r="AQ317" s="169">
        <v>0</v>
      </c>
      <c r="AR317" s="169" t="s">
        <v>1410</v>
      </c>
      <c r="AS317" s="169"/>
      <c r="AT317" s="169" t="s">
        <v>1417</v>
      </c>
      <c r="AU317" s="169" t="s">
        <v>1412</v>
      </c>
    </row>
    <row r="318" spans="1:47" x14ac:dyDescent="0.45">
      <c r="A318" s="169">
        <v>2613150020</v>
      </c>
      <c r="B318" s="169">
        <v>131</v>
      </c>
      <c r="C318" s="169" t="s">
        <v>1462</v>
      </c>
      <c r="D318" s="169">
        <v>130</v>
      </c>
      <c r="E318" s="169" t="s">
        <v>1402</v>
      </c>
      <c r="F318" s="169" t="s">
        <v>3319</v>
      </c>
      <c r="G318" s="169" t="s">
        <v>3320</v>
      </c>
      <c r="H318" s="169">
        <v>2</v>
      </c>
      <c r="I318" s="169" t="s">
        <v>707</v>
      </c>
      <c r="J318" s="169" t="s">
        <v>1403</v>
      </c>
      <c r="K318" s="169">
        <v>2026</v>
      </c>
      <c r="L318" s="170">
        <v>2026</v>
      </c>
      <c r="M318" s="171">
        <v>45936</v>
      </c>
      <c r="N318" s="169" t="s">
        <v>36</v>
      </c>
      <c r="O318" s="169" t="s">
        <v>704</v>
      </c>
      <c r="P318" s="169">
        <v>427</v>
      </c>
      <c r="Q318" s="169" t="s">
        <v>1479</v>
      </c>
      <c r="R318" s="169">
        <v>2</v>
      </c>
      <c r="S318" s="169">
        <v>2</v>
      </c>
      <c r="T318" s="169" t="s">
        <v>1464</v>
      </c>
      <c r="U318" s="169">
        <v>1</v>
      </c>
      <c r="V318" s="170">
        <v>0</v>
      </c>
      <c r="W318" s="170">
        <v>0</v>
      </c>
      <c r="X318" s="170" t="s">
        <v>1406</v>
      </c>
      <c r="Y318" s="171">
        <v>46027</v>
      </c>
      <c r="Z318" s="169" t="s">
        <v>32</v>
      </c>
      <c r="AA318" s="169"/>
      <c r="AB318" s="169">
        <v>0</v>
      </c>
      <c r="AC318" s="169">
        <v>0</v>
      </c>
      <c r="AD318" s="169">
        <v>0</v>
      </c>
      <c r="AE318" s="169" t="s">
        <v>1446</v>
      </c>
      <c r="AF318" s="169"/>
      <c r="AG318" s="169" t="s">
        <v>1446</v>
      </c>
      <c r="AH318" s="169"/>
      <c r="AI318" s="169"/>
      <c r="AJ318" s="169">
        <v>0</v>
      </c>
      <c r="AK318" s="169" t="s">
        <v>1473</v>
      </c>
      <c r="AL318" s="169">
        <v>28098</v>
      </c>
      <c r="AM318" s="169" t="s">
        <v>1418</v>
      </c>
      <c r="AN318" s="169" t="s">
        <v>1448</v>
      </c>
      <c r="AO318" s="169">
        <v>28</v>
      </c>
      <c r="AP318" s="169" t="s">
        <v>1416</v>
      </c>
      <c r="AQ318" s="169">
        <v>0</v>
      </c>
      <c r="AR318" s="169" t="s">
        <v>1410</v>
      </c>
      <c r="AS318" s="169"/>
      <c r="AT318" s="169" t="s">
        <v>1417</v>
      </c>
      <c r="AU318" s="169" t="s">
        <v>1412</v>
      </c>
    </row>
    <row r="319" spans="1:47" x14ac:dyDescent="0.45">
      <c r="A319" s="169">
        <v>2613150021</v>
      </c>
      <c r="B319" s="169">
        <v>131</v>
      </c>
      <c r="C319" s="169" t="s">
        <v>1462</v>
      </c>
      <c r="D319" s="169">
        <v>130</v>
      </c>
      <c r="E319" s="169" t="s">
        <v>1402</v>
      </c>
      <c r="F319" s="169" t="s">
        <v>3321</v>
      </c>
      <c r="G319" s="169" t="s">
        <v>3322</v>
      </c>
      <c r="H319" s="169">
        <v>1</v>
      </c>
      <c r="I319" s="169" t="s">
        <v>3323</v>
      </c>
      <c r="J319" s="169" t="s">
        <v>1468</v>
      </c>
      <c r="K319" s="169">
        <v>2026</v>
      </c>
      <c r="L319" s="170">
        <v>2026</v>
      </c>
      <c r="M319" s="171">
        <v>45919</v>
      </c>
      <c r="N319" s="169" t="s">
        <v>36</v>
      </c>
      <c r="O319" s="169" t="s">
        <v>698</v>
      </c>
      <c r="P319" s="169">
        <v>502</v>
      </c>
      <c r="Q319" s="169" t="s">
        <v>1500</v>
      </c>
      <c r="R319" s="169">
        <v>2</v>
      </c>
      <c r="S319" s="169">
        <v>5</v>
      </c>
      <c r="T319" s="169" t="s">
        <v>1470</v>
      </c>
      <c r="U319" s="169">
        <v>15</v>
      </c>
      <c r="V319" s="170">
        <v>2622514</v>
      </c>
      <c r="W319" s="170">
        <v>0</v>
      </c>
      <c r="X319" s="170" t="s">
        <v>1406</v>
      </c>
      <c r="Y319" s="169"/>
      <c r="Z319" s="169" t="s">
        <v>32</v>
      </c>
      <c r="AA319" s="171">
        <v>45946</v>
      </c>
      <c r="AB319" s="169">
        <v>26</v>
      </c>
      <c r="AC319" s="169">
        <v>22514</v>
      </c>
      <c r="AD319" s="169">
        <v>131</v>
      </c>
      <c r="AE319" s="169" t="s">
        <v>1462</v>
      </c>
      <c r="AF319" s="169">
        <v>130</v>
      </c>
      <c r="AG319" s="169" t="s">
        <v>1402</v>
      </c>
      <c r="AH319" s="169" t="s">
        <v>36</v>
      </c>
      <c r="AI319" s="169" t="s">
        <v>698</v>
      </c>
      <c r="AJ319" s="169">
        <v>502</v>
      </c>
      <c r="AK319" s="169" t="s">
        <v>1407</v>
      </c>
      <c r="AL319" s="169">
        <v>33022</v>
      </c>
      <c r="AM319" s="169" t="s">
        <v>1418</v>
      </c>
      <c r="AN319" s="169" t="s">
        <v>3324</v>
      </c>
      <c r="AO319" s="169">
        <v>33</v>
      </c>
      <c r="AP319" s="169" t="s">
        <v>1427</v>
      </c>
      <c r="AQ319" s="169">
        <v>0</v>
      </c>
      <c r="AR319" s="169" t="s">
        <v>1410</v>
      </c>
      <c r="AS319" s="169"/>
      <c r="AT319" s="169" t="s">
        <v>1417</v>
      </c>
      <c r="AU319" s="169" t="s">
        <v>1412</v>
      </c>
    </row>
    <row r="320" spans="1:47" x14ac:dyDescent="0.45">
      <c r="A320" s="169">
        <v>2613150022</v>
      </c>
      <c r="B320" s="169">
        <v>131</v>
      </c>
      <c r="C320" s="169" t="s">
        <v>1462</v>
      </c>
      <c r="D320" s="169">
        <v>130</v>
      </c>
      <c r="E320" s="169" t="s">
        <v>1402</v>
      </c>
      <c r="F320" s="169" t="s">
        <v>3325</v>
      </c>
      <c r="G320" s="169" t="s">
        <v>3326</v>
      </c>
      <c r="H320" s="169">
        <v>2</v>
      </c>
      <c r="I320" s="169" t="s">
        <v>3118</v>
      </c>
      <c r="J320" s="169" t="s">
        <v>1403</v>
      </c>
      <c r="K320" s="169">
        <v>2026</v>
      </c>
      <c r="L320" s="170">
        <v>2026</v>
      </c>
      <c r="M320" s="171">
        <v>45901</v>
      </c>
      <c r="N320" s="169" t="s">
        <v>36</v>
      </c>
      <c r="O320" s="169" t="s">
        <v>698</v>
      </c>
      <c r="P320" s="169">
        <v>502</v>
      </c>
      <c r="Q320" s="169" t="s">
        <v>1500</v>
      </c>
      <c r="R320" s="169">
        <v>2</v>
      </c>
      <c r="S320" s="169">
        <v>5</v>
      </c>
      <c r="T320" s="169" t="s">
        <v>1470</v>
      </c>
      <c r="U320" s="169">
        <v>15</v>
      </c>
      <c r="V320" s="170">
        <v>2622546</v>
      </c>
      <c r="W320" s="170">
        <v>165</v>
      </c>
      <c r="X320" s="170" t="s">
        <v>1549</v>
      </c>
      <c r="Y320" s="169"/>
      <c r="Z320" s="169" t="s">
        <v>32</v>
      </c>
      <c r="AA320" s="171">
        <v>46029</v>
      </c>
      <c r="AB320" s="169">
        <v>26</v>
      </c>
      <c r="AC320" s="169">
        <v>22546</v>
      </c>
      <c r="AD320" s="169">
        <v>131</v>
      </c>
      <c r="AE320" s="169" t="s">
        <v>1462</v>
      </c>
      <c r="AF320" s="169">
        <v>130</v>
      </c>
      <c r="AG320" s="169" t="s">
        <v>1402</v>
      </c>
      <c r="AH320" s="169" t="s">
        <v>36</v>
      </c>
      <c r="AI320" s="169" t="s">
        <v>698</v>
      </c>
      <c r="AJ320" s="169">
        <v>502</v>
      </c>
      <c r="AK320" s="169" t="s">
        <v>1407</v>
      </c>
      <c r="AL320" s="169">
        <v>28173</v>
      </c>
      <c r="AM320" s="169" t="s">
        <v>1418</v>
      </c>
      <c r="AN320" s="169" t="s">
        <v>1456</v>
      </c>
      <c r="AO320" s="169">
        <v>28</v>
      </c>
      <c r="AP320" s="169" t="s">
        <v>1416</v>
      </c>
      <c r="AQ320" s="169">
        <v>0</v>
      </c>
      <c r="AR320" s="169" t="s">
        <v>1410</v>
      </c>
      <c r="AS320" s="169"/>
      <c r="AT320" s="169" t="s">
        <v>1417</v>
      </c>
      <c r="AU320" s="169" t="s">
        <v>1412</v>
      </c>
    </row>
    <row r="321" spans="1:47" x14ac:dyDescent="0.45">
      <c r="A321" s="169">
        <v>2613150023</v>
      </c>
      <c r="B321" s="169">
        <v>131</v>
      </c>
      <c r="C321" s="169" t="s">
        <v>1462</v>
      </c>
      <c r="D321" s="169">
        <v>130</v>
      </c>
      <c r="E321" s="169" t="s">
        <v>1402</v>
      </c>
      <c r="F321" s="169" t="s">
        <v>3327</v>
      </c>
      <c r="G321" s="169" t="s">
        <v>3328</v>
      </c>
      <c r="H321" s="169">
        <v>1</v>
      </c>
      <c r="I321" s="169" t="s">
        <v>3329</v>
      </c>
      <c r="J321" s="169" t="s">
        <v>1403</v>
      </c>
      <c r="K321" s="169">
        <v>2026</v>
      </c>
      <c r="L321" s="170">
        <v>2026</v>
      </c>
      <c r="M321" s="171">
        <v>45934</v>
      </c>
      <c r="N321" s="169" t="s">
        <v>36</v>
      </c>
      <c r="O321" s="169" t="s">
        <v>704</v>
      </c>
      <c r="P321" s="169">
        <v>427</v>
      </c>
      <c r="Q321" s="169" t="s">
        <v>1479</v>
      </c>
      <c r="R321" s="169">
        <v>2</v>
      </c>
      <c r="S321" s="169">
        <v>2</v>
      </c>
      <c r="T321" s="169" t="s">
        <v>1464</v>
      </c>
      <c r="U321" s="169">
        <v>1</v>
      </c>
      <c r="V321" s="170">
        <v>2622543</v>
      </c>
      <c r="W321" s="170">
        <v>0</v>
      </c>
      <c r="X321" s="170" t="s">
        <v>1406</v>
      </c>
      <c r="Y321" s="169"/>
      <c r="Z321" s="169" t="s">
        <v>32</v>
      </c>
      <c r="AA321" s="171">
        <v>46009</v>
      </c>
      <c r="AB321" s="169">
        <v>26</v>
      </c>
      <c r="AC321" s="169">
        <v>22543</v>
      </c>
      <c r="AD321" s="169">
        <v>131</v>
      </c>
      <c r="AE321" s="169" t="s">
        <v>1462</v>
      </c>
      <c r="AF321" s="169">
        <v>130</v>
      </c>
      <c r="AG321" s="169" t="s">
        <v>1402</v>
      </c>
      <c r="AH321" s="169" t="s">
        <v>36</v>
      </c>
      <c r="AI321" s="169" t="s">
        <v>704</v>
      </c>
      <c r="AJ321" s="169">
        <v>427</v>
      </c>
      <c r="AK321" s="169" t="s">
        <v>1473</v>
      </c>
      <c r="AL321" s="169">
        <v>28087</v>
      </c>
      <c r="AM321" s="169" t="s">
        <v>1418</v>
      </c>
      <c r="AN321" s="169" t="s">
        <v>1518</v>
      </c>
      <c r="AO321" s="169">
        <v>28</v>
      </c>
      <c r="AP321" s="169" t="s">
        <v>1416</v>
      </c>
      <c r="AQ321" s="169">
        <v>0</v>
      </c>
      <c r="AR321" s="169" t="s">
        <v>1410</v>
      </c>
      <c r="AS321" s="169"/>
      <c r="AT321" s="169" t="s">
        <v>1417</v>
      </c>
      <c r="AU321" s="169" t="s">
        <v>1412</v>
      </c>
    </row>
    <row r="322" spans="1:47" x14ac:dyDescent="0.45">
      <c r="A322" s="169">
        <v>2613150024</v>
      </c>
      <c r="B322" s="169">
        <v>131</v>
      </c>
      <c r="C322" s="169" t="s">
        <v>1462</v>
      </c>
      <c r="D322" s="169">
        <v>130</v>
      </c>
      <c r="E322" s="169" t="s">
        <v>1402</v>
      </c>
      <c r="F322" s="169" t="s">
        <v>3330</v>
      </c>
      <c r="G322" s="169" t="s">
        <v>3331</v>
      </c>
      <c r="H322" s="169">
        <v>1</v>
      </c>
      <c r="I322" s="169" t="s">
        <v>3332</v>
      </c>
      <c r="J322" s="169" t="s">
        <v>1403</v>
      </c>
      <c r="K322" s="169">
        <v>2026</v>
      </c>
      <c r="L322" s="170">
        <v>2026</v>
      </c>
      <c r="M322" s="171">
        <v>45944</v>
      </c>
      <c r="N322" s="169" t="s">
        <v>36</v>
      </c>
      <c r="O322" s="169" t="s">
        <v>793</v>
      </c>
      <c r="P322" s="169">
        <v>428</v>
      </c>
      <c r="Q322" s="169" t="s">
        <v>1463</v>
      </c>
      <c r="R322" s="169">
        <v>1</v>
      </c>
      <c r="S322" s="169">
        <v>2</v>
      </c>
      <c r="T322" s="169" t="s">
        <v>1464</v>
      </c>
      <c r="U322" s="169">
        <v>1</v>
      </c>
      <c r="V322" s="170">
        <v>2622520</v>
      </c>
      <c r="W322" s="170">
        <v>0</v>
      </c>
      <c r="X322" s="170" t="s">
        <v>1406</v>
      </c>
      <c r="Y322" s="169"/>
      <c r="Z322" s="169" t="s">
        <v>32</v>
      </c>
      <c r="AA322" s="171">
        <v>45960</v>
      </c>
      <c r="AB322" s="169">
        <v>26</v>
      </c>
      <c r="AC322" s="169">
        <v>22520</v>
      </c>
      <c r="AD322" s="169">
        <v>131</v>
      </c>
      <c r="AE322" s="169" t="s">
        <v>1462</v>
      </c>
      <c r="AF322" s="169">
        <v>130</v>
      </c>
      <c r="AG322" s="169" t="s">
        <v>1402</v>
      </c>
      <c r="AH322" s="169" t="s">
        <v>36</v>
      </c>
      <c r="AI322" s="169" t="s">
        <v>793</v>
      </c>
      <c r="AJ322" s="169">
        <v>428</v>
      </c>
      <c r="AK322" s="169" t="s">
        <v>1407</v>
      </c>
      <c r="AL322" s="169">
        <v>29010</v>
      </c>
      <c r="AM322" s="169" t="s">
        <v>1421</v>
      </c>
      <c r="AN322" s="169" t="s">
        <v>3333</v>
      </c>
      <c r="AO322" s="169">
        <v>29</v>
      </c>
      <c r="AP322" s="169" t="s">
        <v>1589</v>
      </c>
      <c r="AQ322" s="169">
        <v>0</v>
      </c>
      <c r="AR322" s="169" t="s">
        <v>1410</v>
      </c>
      <c r="AS322" s="169"/>
      <c r="AT322" s="169" t="s">
        <v>1417</v>
      </c>
      <c r="AU322" s="169" t="s">
        <v>1412</v>
      </c>
    </row>
    <row r="323" spans="1:47" x14ac:dyDescent="0.45">
      <c r="A323" s="169">
        <v>2613150025</v>
      </c>
      <c r="B323" s="169">
        <v>131</v>
      </c>
      <c r="C323" s="169" t="s">
        <v>1462</v>
      </c>
      <c r="D323" s="169">
        <v>130</v>
      </c>
      <c r="E323" s="169" t="s">
        <v>1402</v>
      </c>
      <c r="F323" s="169" t="s">
        <v>3334</v>
      </c>
      <c r="G323" s="169" t="s">
        <v>3335</v>
      </c>
      <c r="H323" s="169">
        <v>2</v>
      </c>
      <c r="I323" s="169" t="s">
        <v>2650</v>
      </c>
      <c r="J323" s="169" t="s">
        <v>1403</v>
      </c>
      <c r="K323" s="169">
        <v>2026</v>
      </c>
      <c r="L323" s="170">
        <v>2026</v>
      </c>
      <c r="M323" s="171">
        <v>45908</v>
      </c>
      <c r="N323" s="169" t="s">
        <v>36</v>
      </c>
      <c r="O323" s="169" t="s">
        <v>793</v>
      </c>
      <c r="P323" s="169">
        <v>785</v>
      </c>
      <c r="Q323" s="169" t="s">
        <v>1491</v>
      </c>
      <c r="R323" s="169">
        <v>1</v>
      </c>
      <c r="S323" s="169">
        <v>2</v>
      </c>
      <c r="T323" s="169" t="s">
        <v>1464</v>
      </c>
      <c r="U323" s="169">
        <v>1</v>
      </c>
      <c r="V323" s="170">
        <v>0</v>
      </c>
      <c r="W323" s="170">
        <v>0</v>
      </c>
      <c r="X323" s="170" t="s">
        <v>1406</v>
      </c>
      <c r="Y323" s="171">
        <v>45996</v>
      </c>
      <c r="Z323" s="169" t="s">
        <v>32</v>
      </c>
      <c r="AA323" s="169"/>
      <c r="AB323" s="169">
        <v>0</v>
      </c>
      <c r="AC323" s="169">
        <v>0</v>
      </c>
      <c r="AD323" s="169">
        <v>0</v>
      </c>
      <c r="AE323" s="169" t="s">
        <v>1446</v>
      </c>
      <c r="AF323" s="169"/>
      <c r="AG323" s="169" t="s">
        <v>1446</v>
      </c>
      <c r="AH323" s="169"/>
      <c r="AI323" s="169"/>
      <c r="AJ323" s="169">
        <v>0</v>
      </c>
      <c r="AK323" s="169" t="s">
        <v>1473</v>
      </c>
      <c r="AL323" s="169">
        <v>28174</v>
      </c>
      <c r="AM323" s="169" t="s">
        <v>1418</v>
      </c>
      <c r="AN323" s="169" t="s">
        <v>1543</v>
      </c>
      <c r="AO323" s="169">
        <v>28</v>
      </c>
      <c r="AP323" s="169" t="s">
        <v>1416</v>
      </c>
      <c r="AQ323" s="169">
        <v>0</v>
      </c>
      <c r="AR323" s="169" t="s">
        <v>1410</v>
      </c>
      <c r="AS323" s="169"/>
      <c r="AT323" s="169" t="s">
        <v>1417</v>
      </c>
      <c r="AU323" s="169" t="s">
        <v>1412</v>
      </c>
    </row>
    <row r="324" spans="1:47" x14ac:dyDescent="0.45">
      <c r="A324" s="169">
        <v>2613150027</v>
      </c>
      <c r="B324" s="169">
        <v>131</v>
      </c>
      <c r="C324" s="169" t="s">
        <v>1462</v>
      </c>
      <c r="D324" s="169">
        <v>130</v>
      </c>
      <c r="E324" s="169" t="s">
        <v>1402</v>
      </c>
      <c r="F324" s="169" t="s">
        <v>3336</v>
      </c>
      <c r="G324" s="169" t="s">
        <v>3337</v>
      </c>
      <c r="H324" s="169">
        <v>2</v>
      </c>
      <c r="I324" s="169" t="s">
        <v>651</v>
      </c>
      <c r="J324" s="169" t="s">
        <v>1403</v>
      </c>
      <c r="K324" s="169">
        <v>2026</v>
      </c>
      <c r="L324" s="170">
        <v>2026</v>
      </c>
      <c r="M324" s="171">
        <v>45908</v>
      </c>
      <c r="N324" s="169" t="s">
        <v>36</v>
      </c>
      <c r="O324" s="169" t="s">
        <v>704</v>
      </c>
      <c r="P324" s="169">
        <v>785</v>
      </c>
      <c r="Q324" s="169" t="s">
        <v>1491</v>
      </c>
      <c r="R324" s="169">
        <v>2</v>
      </c>
      <c r="S324" s="169">
        <v>2</v>
      </c>
      <c r="T324" s="169" t="s">
        <v>1464</v>
      </c>
      <c r="U324" s="169">
        <v>1</v>
      </c>
      <c r="V324" s="170">
        <v>0</v>
      </c>
      <c r="W324" s="170">
        <v>0</v>
      </c>
      <c r="X324" s="170" t="s">
        <v>1406</v>
      </c>
      <c r="Y324" s="171">
        <v>45987</v>
      </c>
      <c r="Z324" s="169" t="s">
        <v>32</v>
      </c>
      <c r="AA324" s="169"/>
      <c r="AB324" s="169">
        <v>0</v>
      </c>
      <c r="AC324" s="169">
        <v>0</v>
      </c>
      <c r="AD324" s="169">
        <v>0</v>
      </c>
      <c r="AE324" s="169" t="s">
        <v>1446</v>
      </c>
      <c r="AF324" s="169"/>
      <c r="AG324" s="169" t="s">
        <v>1446</v>
      </c>
      <c r="AH324" s="169"/>
      <c r="AI324" s="169"/>
      <c r="AJ324" s="169">
        <v>0</v>
      </c>
      <c r="AK324" s="169" t="s">
        <v>1473</v>
      </c>
      <c r="AL324" s="169">
        <v>28122</v>
      </c>
      <c r="AM324" s="169" t="s">
        <v>1418</v>
      </c>
      <c r="AN324" s="169" t="s">
        <v>1428</v>
      </c>
      <c r="AO324" s="169">
        <v>28</v>
      </c>
      <c r="AP324" s="169" t="s">
        <v>1416</v>
      </c>
      <c r="AQ324" s="169">
        <v>0</v>
      </c>
      <c r="AR324" s="169" t="s">
        <v>1410</v>
      </c>
      <c r="AS324" s="169"/>
      <c r="AT324" s="169" t="s">
        <v>1417</v>
      </c>
      <c r="AU324" s="169" t="s">
        <v>1412</v>
      </c>
    </row>
    <row r="325" spans="1:47" x14ac:dyDescent="0.45">
      <c r="A325" s="169">
        <v>2613150028</v>
      </c>
      <c r="B325" s="169">
        <v>131</v>
      </c>
      <c r="C325" s="169" t="s">
        <v>1462</v>
      </c>
      <c r="D325" s="169">
        <v>130</v>
      </c>
      <c r="E325" s="169" t="s">
        <v>1402</v>
      </c>
      <c r="F325" s="169" t="s">
        <v>3338</v>
      </c>
      <c r="G325" s="169" t="s">
        <v>3339</v>
      </c>
      <c r="H325" s="169">
        <v>2</v>
      </c>
      <c r="I325" s="169" t="s">
        <v>3340</v>
      </c>
      <c r="J325" s="169" t="s">
        <v>1403</v>
      </c>
      <c r="K325" s="169">
        <v>2026</v>
      </c>
      <c r="L325" s="170">
        <v>2026</v>
      </c>
      <c r="M325" s="171">
        <v>45921</v>
      </c>
      <c r="N325" s="169" t="s">
        <v>36</v>
      </c>
      <c r="O325" s="169" t="s">
        <v>708</v>
      </c>
      <c r="P325" s="169">
        <v>1044</v>
      </c>
      <c r="Q325" s="169" t="s">
        <v>1476</v>
      </c>
      <c r="R325" s="169">
        <v>2</v>
      </c>
      <c r="S325" s="169">
        <v>3</v>
      </c>
      <c r="T325" s="169" t="s">
        <v>1477</v>
      </c>
      <c r="U325" s="169">
        <v>4</v>
      </c>
      <c r="V325" s="170">
        <v>0</v>
      </c>
      <c r="W325" s="170">
        <v>0</v>
      </c>
      <c r="X325" s="170" t="s">
        <v>1406</v>
      </c>
      <c r="Y325" s="169"/>
      <c r="Z325" s="169" t="s">
        <v>32</v>
      </c>
      <c r="AA325" s="169"/>
      <c r="AB325" s="169">
        <v>0</v>
      </c>
      <c r="AC325" s="169">
        <v>0</v>
      </c>
      <c r="AD325" s="169">
        <v>0</v>
      </c>
      <c r="AE325" s="169" t="s">
        <v>1446</v>
      </c>
      <c r="AF325" s="169"/>
      <c r="AG325" s="169" t="s">
        <v>1446</v>
      </c>
      <c r="AH325" s="169"/>
      <c r="AI325" s="169"/>
      <c r="AJ325" s="169">
        <v>0</v>
      </c>
      <c r="AK325" s="169" t="s">
        <v>1407</v>
      </c>
      <c r="AL325" s="169">
        <v>28091</v>
      </c>
      <c r="AM325" s="169" t="s">
        <v>1421</v>
      </c>
      <c r="AN325" s="169" t="s">
        <v>1452</v>
      </c>
      <c r="AO325" s="169">
        <v>28</v>
      </c>
      <c r="AP325" s="169" t="s">
        <v>1416</v>
      </c>
      <c r="AQ325" s="169">
        <v>0</v>
      </c>
      <c r="AR325" s="169" t="s">
        <v>1410</v>
      </c>
      <c r="AS325" s="169"/>
      <c r="AT325" s="169" t="s">
        <v>1417</v>
      </c>
      <c r="AU325" s="169" t="s">
        <v>1412</v>
      </c>
    </row>
    <row r="326" spans="1:47" x14ac:dyDescent="0.45">
      <c r="A326" s="169">
        <v>2613150029</v>
      </c>
      <c r="B326" s="169">
        <v>131</v>
      </c>
      <c r="C326" s="169" t="s">
        <v>1462</v>
      </c>
      <c r="D326" s="169">
        <v>130</v>
      </c>
      <c r="E326" s="169" t="s">
        <v>1402</v>
      </c>
      <c r="F326" s="169" t="s">
        <v>3341</v>
      </c>
      <c r="G326" s="169" t="s">
        <v>3342</v>
      </c>
      <c r="H326" s="169">
        <v>2</v>
      </c>
      <c r="I326" s="169" t="s">
        <v>1363</v>
      </c>
      <c r="J326" s="169" t="s">
        <v>1403</v>
      </c>
      <c r="K326" s="169">
        <v>2026</v>
      </c>
      <c r="L326" s="170">
        <v>2026</v>
      </c>
      <c r="M326" s="171">
        <v>45901</v>
      </c>
      <c r="N326" s="169" t="s">
        <v>36</v>
      </c>
      <c r="O326" s="169" t="s">
        <v>708</v>
      </c>
      <c r="P326" s="169">
        <v>121</v>
      </c>
      <c r="Q326" s="169" t="s">
        <v>1502</v>
      </c>
      <c r="R326" s="169">
        <v>2</v>
      </c>
      <c r="S326" s="169">
        <v>8</v>
      </c>
      <c r="T326" s="169" t="s">
        <v>1503</v>
      </c>
      <c r="U326" s="169">
        <v>6</v>
      </c>
      <c r="V326" s="170">
        <v>2622536</v>
      </c>
      <c r="W326" s="170">
        <v>0</v>
      </c>
      <c r="X326" s="170" t="s">
        <v>1406</v>
      </c>
      <c r="Y326" s="169"/>
      <c r="Z326" s="169" t="s">
        <v>32</v>
      </c>
      <c r="AA326" s="171">
        <v>45994</v>
      </c>
      <c r="AB326" s="169">
        <v>26</v>
      </c>
      <c r="AC326" s="169">
        <v>22536</v>
      </c>
      <c r="AD326" s="169">
        <v>131</v>
      </c>
      <c r="AE326" s="169" t="s">
        <v>1462</v>
      </c>
      <c r="AF326" s="169">
        <v>130</v>
      </c>
      <c r="AG326" s="169" t="s">
        <v>1402</v>
      </c>
      <c r="AH326" s="169" t="s">
        <v>36</v>
      </c>
      <c r="AI326" s="169" t="s">
        <v>708</v>
      </c>
      <c r="AJ326" s="169">
        <v>121</v>
      </c>
      <c r="AK326" s="169" t="s">
        <v>1407</v>
      </c>
      <c r="AL326" s="169">
        <v>28200</v>
      </c>
      <c r="AM326" s="169" t="s">
        <v>1418</v>
      </c>
      <c r="AN326" s="169" t="s">
        <v>1520</v>
      </c>
      <c r="AO326" s="169">
        <v>28</v>
      </c>
      <c r="AP326" s="169" t="s">
        <v>1416</v>
      </c>
      <c r="AQ326" s="169">
        <v>0</v>
      </c>
      <c r="AR326" s="169" t="s">
        <v>1410</v>
      </c>
      <c r="AS326" s="169"/>
      <c r="AT326" s="169" t="s">
        <v>1417</v>
      </c>
      <c r="AU326" s="169" t="s">
        <v>1412</v>
      </c>
    </row>
    <row r="327" spans="1:47" x14ac:dyDescent="0.45">
      <c r="A327" s="169">
        <v>2613150031</v>
      </c>
      <c r="B327" s="169">
        <v>131</v>
      </c>
      <c r="C327" s="169" t="s">
        <v>1462</v>
      </c>
      <c r="D327" s="169">
        <v>130</v>
      </c>
      <c r="E327" s="169" t="s">
        <v>1402</v>
      </c>
      <c r="F327" s="169" t="s">
        <v>3343</v>
      </c>
      <c r="G327" s="169" t="s">
        <v>3344</v>
      </c>
      <c r="H327" s="169">
        <v>1</v>
      </c>
      <c r="I327" s="169" t="s">
        <v>3345</v>
      </c>
      <c r="J327" s="169" t="s">
        <v>1403</v>
      </c>
      <c r="K327" s="169">
        <v>2026</v>
      </c>
      <c r="L327" s="170">
        <v>2026</v>
      </c>
      <c r="M327" s="171">
        <v>45915</v>
      </c>
      <c r="N327" s="169" t="s">
        <v>36</v>
      </c>
      <c r="O327" s="169" t="s">
        <v>698</v>
      </c>
      <c r="P327" s="169">
        <v>628</v>
      </c>
      <c r="Q327" s="169" t="s">
        <v>1530</v>
      </c>
      <c r="R327" s="169">
        <v>2</v>
      </c>
      <c r="S327" s="169">
        <v>5</v>
      </c>
      <c r="T327" s="169" t="s">
        <v>1470</v>
      </c>
      <c r="U327" s="169">
        <v>15</v>
      </c>
      <c r="V327" s="170">
        <v>2622516</v>
      </c>
      <c r="W327" s="170">
        <v>0</v>
      </c>
      <c r="X327" s="170" t="s">
        <v>1406</v>
      </c>
      <c r="Y327" s="169"/>
      <c r="Z327" s="169" t="s">
        <v>32</v>
      </c>
      <c r="AA327" s="171">
        <v>45948</v>
      </c>
      <c r="AB327" s="169">
        <v>26</v>
      </c>
      <c r="AC327" s="169">
        <v>22516</v>
      </c>
      <c r="AD327" s="169">
        <v>131</v>
      </c>
      <c r="AE327" s="169" t="s">
        <v>1462</v>
      </c>
      <c r="AF327" s="169">
        <v>130</v>
      </c>
      <c r="AG327" s="169" t="s">
        <v>1402</v>
      </c>
      <c r="AH327" s="169" t="s">
        <v>36</v>
      </c>
      <c r="AI327" s="169" t="s">
        <v>698</v>
      </c>
      <c r="AJ327" s="169">
        <v>628</v>
      </c>
      <c r="AK327" s="169" t="s">
        <v>1407</v>
      </c>
      <c r="AL327" s="169">
        <v>46118</v>
      </c>
      <c r="AM327" s="169" t="s">
        <v>1421</v>
      </c>
      <c r="AN327" s="169" t="s">
        <v>1432</v>
      </c>
      <c r="AO327" s="169">
        <v>46</v>
      </c>
      <c r="AP327" s="169" t="s">
        <v>1433</v>
      </c>
      <c r="AQ327" s="169">
        <v>0</v>
      </c>
      <c r="AR327" s="169" t="s">
        <v>1410</v>
      </c>
      <c r="AS327" s="169"/>
      <c r="AT327" s="169" t="s">
        <v>1417</v>
      </c>
      <c r="AU327" s="169" t="s">
        <v>1412</v>
      </c>
    </row>
    <row r="328" spans="1:47" x14ac:dyDescent="0.45">
      <c r="A328" s="169">
        <v>2613150034</v>
      </c>
      <c r="B328" s="169">
        <v>131</v>
      </c>
      <c r="C328" s="169" t="s">
        <v>1462</v>
      </c>
      <c r="D328" s="169">
        <v>130</v>
      </c>
      <c r="E328" s="169" t="s">
        <v>1402</v>
      </c>
      <c r="F328" s="169" t="s">
        <v>3346</v>
      </c>
      <c r="G328" s="169" t="s">
        <v>3347</v>
      </c>
      <c r="H328" s="169">
        <v>2</v>
      </c>
      <c r="I328" s="169" t="s">
        <v>3348</v>
      </c>
      <c r="J328" s="169" t="s">
        <v>1403</v>
      </c>
      <c r="K328" s="169">
        <v>2026</v>
      </c>
      <c r="L328" s="170">
        <v>2026</v>
      </c>
      <c r="M328" s="171">
        <v>45901</v>
      </c>
      <c r="N328" s="169" t="s">
        <v>36</v>
      </c>
      <c r="O328" s="169" t="s">
        <v>741</v>
      </c>
      <c r="P328" s="169">
        <v>581</v>
      </c>
      <c r="Q328" s="169" t="s">
        <v>1489</v>
      </c>
      <c r="R328" s="169">
        <v>2</v>
      </c>
      <c r="S328" s="169">
        <v>10</v>
      </c>
      <c r="T328" s="169" t="s">
        <v>1490</v>
      </c>
      <c r="U328" s="169">
        <v>9</v>
      </c>
      <c r="V328" s="170">
        <v>2622504</v>
      </c>
      <c r="W328" s="170">
        <v>0</v>
      </c>
      <c r="X328" s="170" t="s">
        <v>1406</v>
      </c>
      <c r="Y328" s="169"/>
      <c r="Z328" s="169" t="s">
        <v>32</v>
      </c>
      <c r="AA328" s="171">
        <v>45928</v>
      </c>
      <c r="AB328" s="169">
        <v>26</v>
      </c>
      <c r="AC328" s="169">
        <v>22504</v>
      </c>
      <c r="AD328" s="169">
        <v>131</v>
      </c>
      <c r="AE328" s="169" t="s">
        <v>1462</v>
      </c>
      <c r="AF328" s="169">
        <v>130</v>
      </c>
      <c r="AG328" s="169" t="s">
        <v>1402</v>
      </c>
      <c r="AH328" s="169" t="s">
        <v>36</v>
      </c>
      <c r="AI328" s="169" t="s">
        <v>741</v>
      </c>
      <c r="AJ328" s="169">
        <v>581</v>
      </c>
      <c r="AK328" s="169" t="s">
        <v>1407</v>
      </c>
      <c r="AL328" s="169">
        <v>32061</v>
      </c>
      <c r="AM328" s="169" t="s">
        <v>1421</v>
      </c>
      <c r="AN328" s="169" t="s">
        <v>3349</v>
      </c>
      <c r="AO328" s="169">
        <v>32</v>
      </c>
      <c r="AP328" s="169" t="s">
        <v>1570</v>
      </c>
      <c r="AQ328" s="169">
        <v>0</v>
      </c>
      <c r="AR328" s="169" t="s">
        <v>1410</v>
      </c>
      <c r="AS328" s="169"/>
      <c r="AT328" s="169" t="s">
        <v>1417</v>
      </c>
      <c r="AU328" s="169" t="s">
        <v>1412</v>
      </c>
    </row>
    <row r="329" spans="1:47" x14ac:dyDescent="0.45">
      <c r="A329" s="169">
        <v>2613150035</v>
      </c>
      <c r="B329" s="169">
        <v>131</v>
      </c>
      <c r="C329" s="169" t="s">
        <v>1462</v>
      </c>
      <c r="D329" s="169">
        <v>130</v>
      </c>
      <c r="E329" s="169" t="s">
        <v>1402</v>
      </c>
      <c r="F329" s="169" t="s">
        <v>3350</v>
      </c>
      <c r="G329" s="169" t="s">
        <v>3351</v>
      </c>
      <c r="H329" s="169">
        <v>1</v>
      </c>
      <c r="I329" s="169" t="s">
        <v>3352</v>
      </c>
      <c r="J329" s="169" t="s">
        <v>1403</v>
      </c>
      <c r="K329" s="169">
        <v>2026</v>
      </c>
      <c r="L329" s="170">
        <v>2026</v>
      </c>
      <c r="M329" s="171">
        <v>45925</v>
      </c>
      <c r="N329" s="169" t="s">
        <v>36</v>
      </c>
      <c r="O329" s="169" t="s">
        <v>708</v>
      </c>
      <c r="P329" s="169">
        <v>645</v>
      </c>
      <c r="Q329" s="169" t="s">
        <v>1544</v>
      </c>
      <c r="R329" s="169">
        <v>2</v>
      </c>
      <c r="S329" s="169">
        <v>3</v>
      </c>
      <c r="T329" s="169" t="s">
        <v>1477</v>
      </c>
      <c r="U329" s="169">
        <v>4</v>
      </c>
      <c r="V329" s="170">
        <v>2622523</v>
      </c>
      <c r="W329" s="170">
        <v>0</v>
      </c>
      <c r="X329" s="170" t="s">
        <v>1406</v>
      </c>
      <c r="Y329" s="169"/>
      <c r="Z329" s="169" t="s">
        <v>32</v>
      </c>
      <c r="AA329" s="171">
        <v>45967</v>
      </c>
      <c r="AB329" s="169">
        <v>26</v>
      </c>
      <c r="AC329" s="169">
        <v>22523</v>
      </c>
      <c r="AD329" s="169">
        <v>131</v>
      </c>
      <c r="AE329" s="169" t="s">
        <v>1462</v>
      </c>
      <c r="AF329" s="169">
        <v>130</v>
      </c>
      <c r="AG329" s="169" t="s">
        <v>1402</v>
      </c>
      <c r="AH329" s="169" t="s">
        <v>36</v>
      </c>
      <c r="AI329" s="169" t="s">
        <v>708</v>
      </c>
      <c r="AJ329" s="169">
        <v>645</v>
      </c>
      <c r="AK329" s="169" t="s">
        <v>1407</v>
      </c>
      <c r="AL329" s="169">
        <v>28094</v>
      </c>
      <c r="AM329" s="169" t="s">
        <v>1421</v>
      </c>
      <c r="AN329" s="169" t="s">
        <v>1437</v>
      </c>
      <c r="AO329" s="169">
        <v>28</v>
      </c>
      <c r="AP329" s="169" t="s">
        <v>1416</v>
      </c>
      <c r="AQ329" s="169">
        <v>0</v>
      </c>
      <c r="AR329" s="169" t="s">
        <v>1410</v>
      </c>
      <c r="AS329" s="169"/>
      <c r="AT329" s="169" t="s">
        <v>1417</v>
      </c>
      <c r="AU329" s="169" t="s">
        <v>1412</v>
      </c>
    </row>
    <row r="330" spans="1:47" x14ac:dyDescent="0.45">
      <c r="A330" s="169">
        <v>2613150036</v>
      </c>
      <c r="B330" s="169">
        <v>131</v>
      </c>
      <c r="C330" s="169" t="s">
        <v>1462</v>
      </c>
      <c r="D330" s="169">
        <v>130</v>
      </c>
      <c r="E330" s="169" t="s">
        <v>1402</v>
      </c>
      <c r="F330" s="169" t="s">
        <v>3353</v>
      </c>
      <c r="G330" s="169" t="s">
        <v>3354</v>
      </c>
      <c r="H330" s="169">
        <v>2</v>
      </c>
      <c r="I330" s="169" t="s">
        <v>510</v>
      </c>
      <c r="J330" s="169" t="s">
        <v>1403</v>
      </c>
      <c r="K330" s="169">
        <v>2026</v>
      </c>
      <c r="L330" s="170">
        <v>2026</v>
      </c>
      <c r="M330" s="171">
        <v>45912</v>
      </c>
      <c r="N330" s="169" t="s">
        <v>36</v>
      </c>
      <c r="O330" s="169" t="s">
        <v>741</v>
      </c>
      <c r="P330" s="169">
        <v>581</v>
      </c>
      <c r="Q330" s="169" t="s">
        <v>1489</v>
      </c>
      <c r="R330" s="169">
        <v>2</v>
      </c>
      <c r="S330" s="169">
        <v>10</v>
      </c>
      <c r="T330" s="169" t="s">
        <v>1490</v>
      </c>
      <c r="U330" s="169">
        <v>9</v>
      </c>
      <c r="V330" s="170">
        <v>2622527</v>
      </c>
      <c r="W330" s="170">
        <v>0</v>
      </c>
      <c r="X330" s="170" t="s">
        <v>1406</v>
      </c>
      <c r="Y330" s="169"/>
      <c r="Z330" s="169" t="s">
        <v>32</v>
      </c>
      <c r="AA330" s="171">
        <v>45979</v>
      </c>
      <c r="AB330" s="169">
        <v>26</v>
      </c>
      <c r="AC330" s="169">
        <v>22527</v>
      </c>
      <c r="AD330" s="169">
        <v>131</v>
      </c>
      <c r="AE330" s="169" t="s">
        <v>1462</v>
      </c>
      <c r="AF330" s="169">
        <v>130</v>
      </c>
      <c r="AG330" s="169" t="s">
        <v>1402</v>
      </c>
      <c r="AH330" s="169" t="s">
        <v>36</v>
      </c>
      <c r="AI330" s="169" t="s">
        <v>741</v>
      </c>
      <c r="AJ330" s="169">
        <v>581</v>
      </c>
      <c r="AK330" s="169" t="s">
        <v>1407</v>
      </c>
      <c r="AL330" s="169">
        <v>28178</v>
      </c>
      <c r="AM330" s="169" t="s">
        <v>1418</v>
      </c>
      <c r="AN330" s="169" t="s">
        <v>1507</v>
      </c>
      <c r="AO330" s="169">
        <v>28</v>
      </c>
      <c r="AP330" s="169" t="s">
        <v>1416</v>
      </c>
      <c r="AQ330" s="169">
        <v>0</v>
      </c>
      <c r="AR330" s="169" t="s">
        <v>1410</v>
      </c>
      <c r="AS330" s="169"/>
      <c r="AT330" s="169" t="s">
        <v>1417</v>
      </c>
      <c r="AU330" s="169" t="s">
        <v>1412</v>
      </c>
    </row>
    <row r="331" spans="1:47" x14ac:dyDescent="0.45">
      <c r="A331" s="169">
        <v>2613150037</v>
      </c>
      <c r="B331" s="169">
        <v>131</v>
      </c>
      <c r="C331" s="169" t="s">
        <v>1462</v>
      </c>
      <c r="D331" s="169">
        <v>130</v>
      </c>
      <c r="E331" s="169" t="s">
        <v>1402</v>
      </c>
      <c r="F331" s="169" t="s">
        <v>3355</v>
      </c>
      <c r="G331" s="169" t="s">
        <v>3356</v>
      </c>
      <c r="H331" s="169">
        <v>2</v>
      </c>
      <c r="I331" s="169" t="s">
        <v>3357</v>
      </c>
      <c r="J331" s="169" t="s">
        <v>1403</v>
      </c>
      <c r="K331" s="169">
        <v>2026</v>
      </c>
      <c r="L331" s="170">
        <v>2026</v>
      </c>
      <c r="M331" s="171">
        <v>45912</v>
      </c>
      <c r="N331" s="169" t="s">
        <v>36</v>
      </c>
      <c r="O331" s="169" t="s">
        <v>741</v>
      </c>
      <c r="P331" s="169">
        <v>581</v>
      </c>
      <c r="Q331" s="169" t="s">
        <v>1489</v>
      </c>
      <c r="R331" s="169">
        <v>2</v>
      </c>
      <c r="S331" s="169">
        <v>10</v>
      </c>
      <c r="T331" s="169" t="s">
        <v>1490</v>
      </c>
      <c r="U331" s="169">
        <v>9</v>
      </c>
      <c r="V331" s="170">
        <v>2622540</v>
      </c>
      <c r="W331" s="170">
        <v>0</v>
      </c>
      <c r="X331" s="170" t="s">
        <v>1406</v>
      </c>
      <c r="Y331" s="169"/>
      <c r="Z331" s="169" t="s">
        <v>32</v>
      </c>
      <c r="AA331" s="171">
        <v>46003</v>
      </c>
      <c r="AB331" s="169">
        <v>26</v>
      </c>
      <c r="AC331" s="169">
        <v>22540</v>
      </c>
      <c r="AD331" s="169">
        <v>131</v>
      </c>
      <c r="AE331" s="169" t="s">
        <v>1462</v>
      </c>
      <c r="AF331" s="169">
        <v>130</v>
      </c>
      <c r="AG331" s="169" t="s">
        <v>1402</v>
      </c>
      <c r="AH331" s="169" t="s">
        <v>36</v>
      </c>
      <c r="AI331" s="169" t="s">
        <v>741</v>
      </c>
      <c r="AJ331" s="169">
        <v>581</v>
      </c>
      <c r="AK331" s="169" t="s">
        <v>1407</v>
      </c>
      <c r="AL331" s="169">
        <v>28178</v>
      </c>
      <c r="AM331" s="169" t="s">
        <v>1418</v>
      </c>
      <c r="AN331" s="169" t="s">
        <v>1507</v>
      </c>
      <c r="AO331" s="169">
        <v>28</v>
      </c>
      <c r="AP331" s="169" t="s">
        <v>1416</v>
      </c>
      <c r="AQ331" s="169">
        <v>0</v>
      </c>
      <c r="AR331" s="169" t="s">
        <v>1410</v>
      </c>
      <c r="AS331" s="169"/>
      <c r="AT331" s="169" t="s">
        <v>1417</v>
      </c>
      <c r="AU331" s="169" t="s">
        <v>1412</v>
      </c>
    </row>
    <row r="332" spans="1:47" x14ac:dyDescent="0.45">
      <c r="A332" s="169">
        <v>2613150038</v>
      </c>
      <c r="B332" s="169">
        <v>131</v>
      </c>
      <c r="C332" s="169" t="s">
        <v>1462</v>
      </c>
      <c r="D332" s="169">
        <v>130</v>
      </c>
      <c r="E332" s="169" t="s">
        <v>1402</v>
      </c>
      <c r="F332" s="169" t="s">
        <v>3358</v>
      </c>
      <c r="G332" s="169" t="s">
        <v>3359</v>
      </c>
      <c r="H332" s="169">
        <v>1</v>
      </c>
      <c r="I332" s="169" t="s">
        <v>3246</v>
      </c>
      <c r="J332" s="169" t="s">
        <v>1403</v>
      </c>
      <c r="K332" s="169">
        <v>2026</v>
      </c>
      <c r="L332" s="170">
        <v>2026</v>
      </c>
      <c r="M332" s="171">
        <v>45939</v>
      </c>
      <c r="N332" s="169" t="s">
        <v>36</v>
      </c>
      <c r="O332" s="169" t="s">
        <v>704</v>
      </c>
      <c r="P332" s="169">
        <v>428</v>
      </c>
      <c r="Q332" s="169" t="s">
        <v>1463</v>
      </c>
      <c r="R332" s="169">
        <v>2</v>
      </c>
      <c r="S332" s="169">
        <v>2</v>
      </c>
      <c r="T332" s="169" t="s">
        <v>1464</v>
      </c>
      <c r="U332" s="169">
        <v>1</v>
      </c>
      <c r="V332" s="170">
        <v>0</v>
      </c>
      <c r="W332" s="170">
        <v>0</v>
      </c>
      <c r="X332" s="170" t="s">
        <v>1406</v>
      </c>
      <c r="Y332" s="171">
        <v>46003</v>
      </c>
      <c r="Z332" s="169" t="s">
        <v>32</v>
      </c>
      <c r="AA332" s="169"/>
      <c r="AB332" s="169">
        <v>0</v>
      </c>
      <c r="AC332" s="169">
        <v>0</v>
      </c>
      <c r="AD332" s="169">
        <v>0</v>
      </c>
      <c r="AE332" s="169" t="s">
        <v>1446</v>
      </c>
      <c r="AF332" s="169"/>
      <c r="AG332" s="169" t="s">
        <v>1446</v>
      </c>
      <c r="AH332" s="169"/>
      <c r="AI332" s="169"/>
      <c r="AJ332" s="169">
        <v>0</v>
      </c>
      <c r="AK332" s="169" t="s">
        <v>1473</v>
      </c>
      <c r="AL332" s="169">
        <v>28099</v>
      </c>
      <c r="AM332" s="169" t="s">
        <v>1418</v>
      </c>
      <c r="AN332" s="169" t="s">
        <v>1447</v>
      </c>
      <c r="AO332" s="169">
        <v>28</v>
      </c>
      <c r="AP332" s="169" t="s">
        <v>1416</v>
      </c>
      <c r="AQ332" s="169">
        <v>0</v>
      </c>
      <c r="AR332" s="169" t="s">
        <v>1410</v>
      </c>
      <c r="AS332" s="169"/>
      <c r="AT332" s="169" t="s">
        <v>1417</v>
      </c>
      <c r="AU332" s="169" t="s">
        <v>1412</v>
      </c>
    </row>
    <row r="333" spans="1:47" x14ac:dyDescent="0.45">
      <c r="A333" s="169">
        <v>2613150039</v>
      </c>
      <c r="B333" s="169">
        <v>131</v>
      </c>
      <c r="C333" s="169" t="s">
        <v>1462</v>
      </c>
      <c r="D333" s="169">
        <v>130</v>
      </c>
      <c r="E333" s="169" t="s">
        <v>1402</v>
      </c>
      <c r="F333" s="169" t="s">
        <v>3360</v>
      </c>
      <c r="G333" s="169" t="s">
        <v>3361</v>
      </c>
      <c r="H333" s="169">
        <v>1</v>
      </c>
      <c r="I333" s="169" t="s">
        <v>3362</v>
      </c>
      <c r="J333" s="169" t="s">
        <v>1403</v>
      </c>
      <c r="K333" s="169">
        <v>2026</v>
      </c>
      <c r="L333" s="170">
        <v>2026</v>
      </c>
      <c r="M333" s="171">
        <v>45915</v>
      </c>
      <c r="N333" s="169" t="s">
        <v>36</v>
      </c>
      <c r="O333" s="169" t="s">
        <v>708</v>
      </c>
      <c r="P333" s="169">
        <v>1044</v>
      </c>
      <c r="Q333" s="169" t="s">
        <v>1476</v>
      </c>
      <c r="R333" s="169">
        <v>2</v>
      </c>
      <c r="S333" s="169">
        <v>3</v>
      </c>
      <c r="T333" s="169" t="s">
        <v>1477</v>
      </c>
      <c r="U333" s="169">
        <v>4</v>
      </c>
      <c r="V333" s="170">
        <v>2622509</v>
      </c>
      <c r="W333" s="170">
        <v>0</v>
      </c>
      <c r="X333" s="170" t="s">
        <v>1406</v>
      </c>
      <c r="Y333" s="169"/>
      <c r="Z333" s="169" t="s">
        <v>32</v>
      </c>
      <c r="AA333" s="171">
        <v>45940</v>
      </c>
      <c r="AB333" s="169">
        <v>26</v>
      </c>
      <c r="AC333" s="169">
        <v>22509</v>
      </c>
      <c r="AD333" s="169">
        <v>131</v>
      </c>
      <c r="AE333" s="169" t="s">
        <v>1462</v>
      </c>
      <c r="AF333" s="169">
        <v>130</v>
      </c>
      <c r="AG333" s="169" t="s">
        <v>1402</v>
      </c>
      <c r="AH333" s="169" t="s">
        <v>36</v>
      </c>
      <c r="AI333" s="169" t="s">
        <v>708</v>
      </c>
      <c r="AJ333" s="169">
        <v>1044</v>
      </c>
      <c r="AK333" s="169" t="s">
        <v>1407</v>
      </c>
      <c r="AL333" s="169">
        <v>1355</v>
      </c>
      <c r="AM333" s="169" t="s">
        <v>1421</v>
      </c>
      <c r="AN333" s="169" t="s">
        <v>1442</v>
      </c>
      <c r="AO333" s="169">
        <v>1</v>
      </c>
      <c r="AP333" s="169" t="s">
        <v>1443</v>
      </c>
      <c r="AQ333" s="169">
        <v>0</v>
      </c>
      <c r="AR333" s="169" t="s">
        <v>1410</v>
      </c>
      <c r="AS333" s="169"/>
      <c r="AT333" s="169" t="s">
        <v>1417</v>
      </c>
      <c r="AU333" s="169" t="s">
        <v>1412</v>
      </c>
    </row>
    <row r="334" spans="1:47" x14ac:dyDescent="0.45">
      <c r="A334" s="169">
        <v>2613150040</v>
      </c>
      <c r="B334" s="169">
        <v>131</v>
      </c>
      <c r="C334" s="169" t="s">
        <v>1462</v>
      </c>
      <c r="D334" s="169">
        <v>130</v>
      </c>
      <c r="E334" s="169" t="s">
        <v>1402</v>
      </c>
      <c r="F334" s="169" t="s">
        <v>3363</v>
      </c>
      <c r="G334" s="169" t="s">
        <v>3364</v>
      </c>
      <c r="H334" s="169">
        <v>2</v>
      </c>
      <c r="I334" s="169" t="s">
        <v>3365</v>
      </c>
      <c r="J334" s="169" t="s">
        <v>1403</v>
      </c>
      <c r="K334" s="169">
        <v>2026</v>
      </c>
      <c r="L334" s="170">
        <v>2026</v>
      </c>
      <c r="M334" s="171">
        <v>45921</v>
      </c>
      <c r="N334" s="169" t="s">
        <v>36</v>
      </c>
      <c r="O334" s="169" t="s">
        <v>708</v>
      </c>
      <c r="P334" s="169">
        <v>121</v>
      </c>
      <c r="Q334" s="169" t="s">
        <v>1502</v>
      </c>
      <c r="R334" s="169">
        <v>2</v>
      </c>
      <c r="S334" s="169">
        <v>8</v>
      </c>
      <c r="T334" s="169" t="s">
        <v>1503</v>
      </c>
      <c r="U334" s="169">
        <v>6</v>
      </c>
      <c r="V334" s="170">
        <v>2622535</v>
      </c>
      <c r="W334" s="170">
        <v>0</v>
      </c>
      <c r="X334" s="170" t="s">
        <v>1406</v>
      </c>
      <c r="Y334" s="169"/>
      <c r="Z334" s="169" t="s">
        <v>32</v>
      </c>
      <c r="AA334" s="171">
        <v>45992</v>
      </c>
      <c r="AB334" s="169">
        <v>26</v>
      </c>
      <c r="AC334" s="169">
        <v>22535</v>
      </c>
      <c r="AD334" s="169">
        <v>131</v>
      </c>
      <c r="AE334" s="169" t="s">
        <v>1462</v>
      </c>
      <c r="AF334" s="169">
        <v>130</v>
      </c>
      <c r="AG334" s="169" t="s">
        <v>1402</v>
      </c>
      <c r="AH334" s="169" t="s">
        <v>36</v>
      </c>
      <c r="AI334" s="169" t="s">
        <v>708</v>
      </c>
      <c r="AJ334" s="169">
        <v>121</v>
      </c>
      <c r="AK334" s="169" t="s">
        <v>1407</v>
      </c>
      <c r="AL334" s="169">
        <v>28124</v>
      </c>
      <c r="AM334" s="169" t="s">
        <v>1414</v>
      </c>
      <c r="AN334" s="169" t="s">
        <v>1483</v>
      </c>
      <c r="AO334" s="169">
        <v>28</v>
      </c>
      <c r="AP334" s="169" t="s">
        <v>1416</v>
      </c>
      <c r="AQ334" s="169">
        <v>0</v>
      </c>
      <c r="AR334" s="169" t="s">
        <v>1410</v>
      </c>
      <c r="AS334" s="169"/>
      <c r="AT334" s="169" t="s">
        <v>1417</v>
      </c>
      <c r="AU334" s="169" t="s">
        <v>1412</v>
      </c>
    </row>
    <row r="335" spans="1:47" x14ac:dyDescent="0.45">
      <c r="A335" s="169">
        <v>2613150041</v>
      </c>
      <c r="B335" s="169">
        <v>131</v>
      </c>
      <c r="C335" s="169" t="s">
        <v>1462</v>
      </c>
      <c r="D335" s="169">
        <v>130</v>
      </c>
      <c r="E335" s="169" t="s">
        <v>1402</v>
      </c>
      <c r="F335" s="169" t="s">
        <v>3366</v>
      </c>
      <c r="G335" s="169" t="s">
        <v>3367</v>
      </c>
      <c r="H335" s="169">
        <v>2</v>
      </c>
      <c r="I335" s="169" t="s">
        <v>3158</v>
      </c>
      <c r="J335" s="169" t="s">
        <v>1403</v>
      </c>
      <c r="K335" s="169">
        <v>2026</v>
      </c>
      <c r="L335" s="170">
        <v>2026</v>
      </c>
      <c r="M335" s="171">
        <v>45901</v>
      </c>
      <c r="N335" s="169" t="s">
        <v>36</v>
      </c>
      <c r="O335" s="169" t="s">
        <v>708</v>
      </c>
      <c r="P335" s="169">
        <v>1067</v>
      </c>
      <c r="Q335" s="169" t="s">
        <v>2838</v>
      </c>
      <c r="R335" s="169">
        <v>2</v>
      </c>
      <c r="S335" s="169">
        <v>8</v>
      </c>
      <c r="T335" s="169" t="s">
        <v>1503</v>
      </c>
      <c r="U335" s="169">
        <v>6</v>
      </c>
      <c r="V335" s="170">
        <v>2622503</v>
      </c>
      <c r="W335" s="170">
        <v>0</v>
      </c>
      <c r="X335" s="170" t="s">
        <v>1406</v>
      </c>
      <c r="Y335" s="169"/>
      <c r="Z335" s="169" t="s">
        <v>32</v>
      </c>
      <c r="AA335" s="171">
        <v>45919</v>
      </c>
      <c r="AB335" s="169">
        <v>26</v>
      </c>
      <c r="AC335" s="169">
        <v>22503</v>
      </c>
      <c r="AD335" s="169">
        <v>131</v>
      </c>
      <c r="AE335" s="169" t="s">
        <v>1462</v>
      </c>
      <c r="AF335" s="169">
        <v>130</v>
      </c>
      <c r="AG335" s="169" t="s">
        <v>1402</v>
      </c>
      <c r="AH335" s="169" t="s">
        <v>36</v>
      </c>
      <c r="AI335" s="169" t="s">
        <v>708</v>
      </c>
      <c r="AJ335" s="169">
        <v>1067</v>
      </c>
      <c r="AK335" s="169" t="s">
        <v>1407</v>
      </c>
      <c r="AL335" s="169">
        <v>28193</v>
      </c>
      <c r="AM335" s="169" t="s">
        <v>1418</v>
      </c>
      <c r="AN335" s="169" t="s">
        <v>1439</v>
      </c>
      <c r="AO335" s="169">
        <v>28</v>
      </c>
      <c r="AP335" s="169" t="s">
        <v>1416</v>
      </c>
      <c r="AQ335" s="169">
        <v>0</v>
      </c>
      <c r="AR335" s="169" t="s">
        <v>1410</v>
      </c>
      <c r="AS335" s="169"/>
      <c r="AT335" s="169" t="s">
        <v>1417</v>
      </c>
      <c r="AU335" s="169" t="s">
        <v>1412</v>
      </c>
    </row>
    <row r="336" spans="1:47" x14ac:dyDescent="0.45">
      <c r="A336" s="169">
        <v>2613150042</v>
      </c>
      <c r="B336" s="169">
        <v>131</v>
      </c>
      <c r="C336" s="169" t="s">
        <v>1462</v>
      </c>
      <c r="D336" s="169">
        <v>130</v>
      </c>
      <c r="E336" s="169" t="s">
        <v>1402</v>
      </c>
      <c r="F336" s="169" t="s">
        <v>3368</v>
      </c>
      <c r="G336" s="169" t="s">
        <v>3369</v>
      </c>
      <c r="H336" s="169">
        <v>2</v>
      </c>
      <c r="I336" s="169" t="s">
        <v>3318</v>
      </c>
      <c r="J336" s="169" t="s">
        <v>1403</v>
      </c>
      <c r="K336" s="169">
        <v>2026</v>
      </c>
      <c r="L336" s="170">
        <v>2026</v>
      </c>
      <c r="M336" s="171">
        <v>45904</v>
      </c>
      <c r="N336" s="169" t="s">
        <v>36</v>
      </c>
      <c r="O336" s="169" t="s">
        <v>698</v>
      </c>
      <c r="P336" s="169">
        <v>112</v>
      </c>
      <c r="Q336" s="169" t="s">
        <v>1522</v>
      </c>
      <c r="R336" s="169">
        <v>2</v>
      </c>
      <c r="S336" s="169">
        <v>5</v>
      </c>
      <c r="T336" s="169" t="s">
        <v>1470</v>
      </c>
      <c r="U336" s="169">
        <v>15</v>
      </c>
      <c r="V336" s="170">
        <v>2622557</v>
      </c>
      <c r="W336" s="170">
        <v>0</v>
      </c>
      <c r="X336" s="170" t="s">
        <v>1406</v>
      </c>
      <c r="Y336" s="169"/>
      <c r="Z336" s="169" t="s">
        <v>32</v>
      </c>
      <c r="AA336" s="171">
        <v>46055</v>
      </c>
      <c r="AB336" s="169">
        <v>26</v>
      </c>
      <c r="AC336" s="169">
        <v>22557</v>
      </c>
      <c r="AD336" s="169">
        <v>131</v>
      </c>
      <c r="AE336" s="169" t="s">
        <v>1462</v>
      </c>
      <c r="AF336" s="169">
        <v>130</v>
      </c>
      <c r="AG336" s="169" t="s">
        <v>1402</v>
      </c>
      <c r="AH336" s="169" t="s">
        <v>36</v>
      </c>
      <c r="AI336" s="169" t="s">
        <v>698</v>
      </c>
      <c r="AJ336" s="169">
        <v>112</v>
      </c>
      <c r="AK336" s="169" t="s">
        <v>1407</v>
      </c>
      <c r="AL336" s="169">
        <v>28108</v>
      </c>
      <c r="AM336" s="169" t="s">
        <v>1418</v>
      </c>
      <c r="AN336" s="169" t="s">
        <v>1534</v>
      </c>
      <c r="AO336" s="169">
        <v>28</v>
      </c>
      <c r="AP336" s="169" t="s">
        <v>1416</v>
      </c>
      <c r="AQ336" s="169">
        <v>0</v>
      </c>
      <c r="AR336" s="169" t="s">
        <v>1410</v>
      </c>
      <c r="AS336" s="169"/>
      <c r="AT336" s="169" t="s">
        <v>1417</v>
      </c>
      <c r="AU336" s="169" t="s">
        <v>1412</v>
      </c>
    </row>
    <row r="337" spans="1:47" x14ac:dyDescent="0.45">
      <c r="A337" s="169">
        <v>2613150044</v>
      </c>
      <c r="B337" s="169">
        <v>131</v>
      </c>
      <c r="C337" s="169" t="s">
        <v>1462</v>
      </c>
      <c r="D337" s="169">
        <v>130</v>
      </c>
      <c r="E337" s="169" t="s">
        <v>1402</v>
      </c>
      <c r="F337" s="169" t="s">
        <v>3370</v>
      </c>
      <c r="G337" s="169" t="s">
        <v>3371</v>
      </c>
      <c r="H337" s="169">
        <v>2</v>
      </c>
      <c r="I337" s="169" t="s">
        <v>3372</v>
      </c>
      <c r="J337" s="169" t="s">
        <v>1403</v>
      </c>
      <c r="K337" s="169">
        <v>2026</v>
      </c>
      <c r="L337" s="170">
        <v>2026</v>
      </c>
      <c r="M337" s="171">
        <v>45901</v>
      </c>
      <c r="N337" s="169" t="s">
        <v>36</v>
      </c>
      <c r="O337" s="169" t="s">
        <v>741</v>
      </c>
      <c r="P337" s="169">
        <v>581</v>
      </c>
      <c r="Q337" s="169" t="s">
        <v>1489</v>
      </c>
      <c r="R337" s="169">
        <v>2</v>
      </c>
      <c r="S337" s="169">
        <v>10</v>
      </c>
      <c r="T337" s="169" t="s">
        <v>1490</v>
      </c>
      <c r="U337" s="169">
        <v>9</v>
      </c>
      <c r="V337" s="170">
        <v>2622559</v>
      </c>
      <c r="W337" s="170">
        <v>0</v>
      </c>
      <c r="X337" s="170" t="s">
        <v>1406</v>
      </c>
      <c r="Y337" s="169"/>
      <c r="Z337" s="169" t="s">
        <v>32</v>
      </c>
      <c r="AA337" s="171">
        <v>46058</v>
      </c>
      <c r="AB337" s="169">
        <v>26</v>
      </c>
      <c r="AC337" s="169">
        <v>22559</v>
      </c>
      <c r="AD337" s="169">
        <v>131</v>
      </c>
      <c r="AE337" s="169" t="s">
        <v>1462</v>
      </c>
      <c r="AF337" s="169">
        <v>130</v>
      </c>
      <c r="AG337" s="169" t="s">
        <v>1402</v>
      </c>
      <c r="AH337" s="169" t="s">
        <v>36</v>
      </c>
      <c r="AI337" s="169" t="s">
        <v>741</v>
      </c>
      <c r="AJ337" s="169">
        <v>581</v>
      </c>
      <c r="AK337" s="169" t="s">
        <v>1407</v>
      </c>
      <c r="AL337" s="169">
        <v>28167</v>
      </c>
      <c r="AM337" s="169" t="s">
        <v>1418</v>
      </c>
      <c r="AN337" s="169" t="s">
        <v>2810</v>
      </c>
      <c r="AO337" s="169">
        <v>28</v>
      </c>
      <c r="AP337" s="169" t="s">
        <v>1416</v>
      </c>
      <c r="AQ337" s="169">
        <v>0</v>
      </c>
      <c r="AR337" s="169" t="s">
        <v>1410</v>
      </c>
      <c r="AS337" s="169"/>
      <c r="AT337" s="169" t="s">
        <v>1417</v>
      </c>
      <c r="AU337" s="169" t="s">
        <v>1412</v>
      </c>
    </row>
    <row r="338" spans="1:47" x14ac:dyDescent="0.45">
      <c r="A338" s="169">
        <v>2613150046</v>
      </c>
      <c r="B338" s="169">
        <v>131</v>
      </c>
      <c r="C338" s="169" t="s">
        <v>1462</v>
      </c>
      <c r="D338" s="169">
        <v>130</v>
      </c>
      <c r="E338" s="169" t="s">
        <v>1402</v>
      </c>
      <c r="F338" s="169" t="s">
        <v>3373</v>
      </c>
      <c r="G338" s="169" t="s">
        <v>3374</v>
      </c>
      <c r="H338" s="169">
        <v>2</v>
      </c>
      <c r="I338" s="169" t="s">
        <v>655</v>
      </c>
      <c r="J338" s="169" t="s">
        <v>1403</v>
      </c>
      <c r="K338" s="169">
        <v>2026</v>
      </c>
      <c r="L338" s="170">
        <v>2026</v>
      </c>
      <c r="M338" s="171">
        <v>45921</v>
      </c>
      <c r="N338" s="169" t="s">
        <v>36</v>
      </c>
      <c r="O338" s="169" t="s">
        <v>793</v>
      </c>
      <c r="P338" s="169">
        <v>428</v>
      </c>
      <c r="Q338" s="169" t="s">
        <v>1463</v>
      </c>
      <c r="R338" s="169">
        <v>1</v>
      </c>
      <c r="S338" s="169">
        <v>2</v>
      </c>
      <c r="T338" s="169" t="s">
        <v>1464</v>
      </c>
      <c r="U338" s="169">
        <v>1</v>
      </c>
      <c r="V338" s="170">
        <v>0</v>
      </c>
      <c r="W338" s="170">
        <v>0</v>
      </c>
      <c r="X338" s="170" t="s">
        <v>1406</v>
      </c>
      <c r="Y338" s="171">
        <v>46001</v>
      </c>
      <c r="Z338" s="169" t="s">
        <v>32</v>
      </c>
      <c r="AA338" s="169"/>
      <c r="AB338" s="169">
        <v>0</v>
      </c>
      <c r="AC338" s="169">
        <v>0</v>
      </c>
      <c r="AD338" s="169">
        <v>0</v>
      </c>
      <c r="AE338" s="169" t="s">
        <v>1446</v>
      </c>
      <c r="AF338" s="169"/>
      <c r="AG338" s="169" t="s">
        <v>1446</v>
      </c>
      <c r="AH338" s="169"/>
      <c r="AI338" s="169"/>
      <c r="AJ338" s="169">
        <v>0</v>
      </c>
      <c r="AK338" s="169" t="s">
        <v>1473</v>
      </c>
      <c r="AL338" s="169">
        <v>28092</v>
      </c>
      <c r="AM338" s="169" t="s">
        <v>1421</v>
      </c>
      <c r="AN338" s="169" t="s">
        <v>2824</v>
      </c>
      <c r="AO338" s="169">
        <v>28</v>
      </c>
      <c r="AP338" s="169" t="s">
        <v>1416</v>
      </c>
      <c r="AQ338" s="169">
        <v>0</v>
      </c>
      <c r="AR338" s="169" t="s">
        <v>1410</v>
      </c>
      <c r="AS338" s="169"/>
      <c r="AT338" s="169" t="s">
        <v>1417</v>
      </c>
      <c r="AU338" s="169" t="s">
        <v>1412</v>
      </c>
    </row>
    <row r="339" spans="1:47" x14ac:dyDescent="0.45">
      <c r="A339" s="169">
        <v>2613150049</v>
      </c>
      <c r="B339" s="169">
        <v>131</v>
      </c>
      <c r="C339" s="169" t="s">
        <v>1462</v>
      </c>
      <c r="D339" s="169">
        <v>130</v>
      </c>
      <c r="E339" s="169" t="s">
        <v>1402</v>
      </c>
      <c r="F339" s="169" t="s">
        <v>3375</v>
      </c>
      <c r="G339" s="169" t="s">
        <v>3376</v>
      </c>
      <c r="H339" s="169">
        <v>1</v>
      </c>
      <c r="I339" s="169" t="s">
        <v>513</v>
      </c>
      <c r="J339" s="169" t="s">
        <v>1403</v>
      </c>
      <c r="K339" s="169">
        <v>2026</v>
      </c>
      <c r="L339" s="170">
        <v>2026</v>
      </c>
      <c r="M339" s="171">
        <v>45910</v>
      </c>
      <c r="N339" s="169" t="s">
        <v>36</v>
      </c>
      <c r="O339" s="169" t="s">
        <v>704</v>
      </c>
      <c r="P339" s="169">
        <v>856</v>
      </c>
      <c r="Q339" s="169" t="s">
        <v>1533</v>
      </c>
      <c r="R339" s="169">
        <v>2</v>
      </c>
      <c r="S339" s="169">
        <v>2</v>
      </c>
      <c r="T339" s="169" t="s">
        <v>1464</v>
      </c>
      <c r="U339" s="169">
        <v>1</v>
      </c>
      <c r="V339" s="170">
        <v>2622517</v>
      </c>
      <c r="W339" s="170">
        <v>0</v>
      </c>
      <c r="X339" s="170" t="s">
        <v>1406</v>
      </c>
      <c r="Y339" s="169"/>
      <c r="Z339" s="169" t="s">
        <v>32</v>
      </c>
      <c r="AA339" s="171">
        <v>45950</v>
      </c>
      <c r="AB339" s="169">
        <v>26</v>
      </c>
      <c r="AC339" s="169">
        <v>22517</v>
      </c>
      <c r="AD339" s="169">
        <v>131</v>
      </c>
      <c r="AE339" s="169" t="s">
        <v>1462</v>
      </c>
      <c r="AF339" s="169">
        <v>130</v>
      </c>
      <c r="AG339" s="169" t="s">
        <v>1402</v>
      </c>
      <c r="AH339" s="169" t="s">
        <v>36</v>
      </c>
      <c r="AI339" s="169" t="s">
        <v>704</v>
      </c>
      <c r="AJ339" s="169">
        <v>856</v>
      </c>
      <c r="AK339" s="169" t="s">
        <v>1407</v>
      </c>
      <c r="AL339" s="169">
        <v>28185</v>
      </c>
      <c r="AM339" s="169" t="s">
        <v>1418</v>
      </c>
      <c r="AN339" s="169" t="s">
        <v>1438</v>
      </c>
      <c r="AO339" s="169">
        <v>28</v>
      </c>
      <c r="AP339" s="169" t="s">
        <v>1416</v>
      </c>
      <c r="AQ339" s="169">
        <v>0</v>
      </c>
      <c r="AR339" s="169" t="s">
        <v>1410</v>
      </c>
      <c r="AS339" s="169"/>
      <c r="AT339" s="169" t="s">
        <v>1417</v>
      </c>
      <c r="AU339" s="169" t="s">
        <v>1412</v>
      </c>
    </row>
    <row r="340" spans="1:47" x14ac:dyDescent="0.45">
      <c r="A340" s="169">
        <v>2613150050</v>
      </c>
      <c r="B340" s="169">
        <v>131</v>
      </c>
      <c r="C340" s="169" t="s">
        <v>1462</v>
      </c>
      <c r="D340" s="169">
        <v>130</v>
      </c>
      <c r="E340" s="169" t="s">
        <v>1402</v>
      </c>
      <c r="F340" s="169" t="s">
        <v>3377</v>
      </c>
      <c r="G340" s="169" t="s">
        <v>3378</v>
      </c>
      <c r="H340" s="169">
        <v>2</v>
      </c>
      <c r="I340" s="169" t="s">
        <v>179</v>
      </c>
      <c r="J340" s="169" t="s">
        <v>1403</v>
      </c>
      <c r="K340" s="169">
        <v>2026</v>
      </c>
      <c r="L340" s="170">
        <v>2026</v>
      </c>
      <c r="M340" s="171">
        <v>45916</v>
      </c>
      <c r="N340" s="169" t="s">
        <v>36</v>
      </c>
      <c r="O340" s="169" t="s">
        <v>698</v>
      </c>
      <c r="P340" s="169">
        <v>1046</v>
      </c>
      <c r="Q340" s="169" t="s">
        <v>2790</v>
      </c>
      <c r="R340" s="169">
        <v>2</v>
      </c>
      <c r="S340" s="169">
        <v>5</v>
      </c>
      <c r="T340" s="169" t="s">
        <v>1470</v>
      </c>
      <c r="U340" s="169">
        <v>15</v>
      </c>
      <c r="V340" s="170">
        <v>2622549</v>
      </c>
      <c r="W340" s="170">
        <v>0</v>
      </c>
      <c r="X340" s="170" t="s">
        <v>1406</v>
      </c>
      <c r="Y340" s="169"/>
      <c r="Z340" s="169" t="s">
        <v>32</v>
      </c>
      <c r="AA340" s="171">
        <v>46036</v>
      </c>
      <c r="AB340" s="169">
        <v>26</v>
      </c>
      <c r="AC340" s="169">
        <v>22549</v>
      </c>
      <c r="AD340" s="169">
        <v>131</v>
      </c>
      <c r="AE340" s="169" t="s">
        <v>1462</v>
      </c>
      <c r="AF340" s="169">
        <v>130</v>
      </c>
      <c r="AG340" s="169" t="s">
        <v>1402</v>
      </c>
      <c r="AH340" s="169" t="s">
        <v>36</v>
      </c>
      <c r="AI340" s="169" t="s">
        <v>698</v>
      </c>
      <c r="AJ340" s="169">
        <v>1046</v>
      </c>
      <c r="AK340" s="169" t="s">
        <v>1407</v>
      </c>
      <c r="AL340" s="169">
        <v>28284</v>
      </c>
      <c r="AM340" s="169" t="s">
        <v>1418</v>
      </c>
      <c r="AN340" s="169" t="s">
        <v>2866</v>
      </c>
      <c r="AO340" s="169">
        <v>28</v>
      </c>
      <c r="AP340" s="169" t="s">
        <v>1416</v>
      </c>
      <c r="AQ340" s="169">
        <v>0</v>
      </c>
      <c r="AR340" s="169" t="s">
        <v>1410</v>
      </c>
      <c r="AS340" s="169"/>
      <c r="AT340" s="169" t="s">
        <v>1417</v>
      </c>
      <c r="AU340" s="169" t="s">
        <v>1412</v>
      </c>
    </row>
    <row r="341" spans="1:47" x14ac:dyDescent="0.45">
      <c r="A341" s="169">
        <v>2613150052</v>
      </c>
      <c r="B341" s="169">
        <v>131</v>
      </c>
      <c r="C341" s="169" t="s">
        <v>1462</v>
      </c>
      <c r="D341" s="169">
        <v>130</v>
      </c>
      <c r="E341" s="169" t="s">
        <v>1402</v>
      </c>
      <c r="F341" s="169" t="s">
        <v>3379</v>
      </c>
      <c r="G341" s="169" t="s">
        <v>3380</v>
      </c>
      <c r="H341" s="169">
        <v>1</v>
      </c>
      <c r="I341" s="169" t="s">
        <v>3381</v>
      </c>
      <c r="J341" s="169" t="s">
        <v>1403</v>
      </c>
      <c r="K341" s="169">
        <v>2026</v>
      </c>
      <c r="L341" s="170">
        <v>2026</v>
      </c>
      <c r="M341" s="171">
        <v>45936</v>
      </c>
      <c r="N341" s="169" t="s">
        <v>36</v>
      </c>
      <c r="O341" s="169" t="s">
        <v>704</v>
      </c>
      <c r="P341" s="169">
        <v>968</v>
      </c>
      <c r="Q341" s="169" t="s">
        <v>1474</v>
      </c>
      <c r="R341" s="169">
        <v>2</v>
      </c>
      <c r="S341" s="169">
        <v>2</v>
      </c>
      <c r="T341" s="169" t="s">
        <v>1464</v>
      </c>
      <c r="U341" s="169">
        <v>1</v>
      </c>
      <c r="V341" s="170">
        <v>2622542</v>
      </c>
      <c r="W341" s="170">
        <v>0</v>
      </c>
      <c r="X341" s="170" t="s">
        <v>1406</v>
      </c>
      <c r="Y341" s="169"/>
      <c r="Z341" s="169" t="s">
        <v>32</v>
      </c>
      <c r="AA341" s="171">
        <v>46006</v>
      </c>
      <c r="AB341" s="169">
        <v>26</v>
      </c>
      <c r="AC341" s="169">
        <v>22542</v>
      </c>
      <c r="AD341" s="169">
        <v>131</v>
      </c>
      <c r="AE341" s="169" t="s">
        <v>1462</v>
      </c>
      <c r="AF341" s="169">
        <v>130</v>
      </c>
      <c r="AG341" s="169" t="s">
        <v>1402</v>
      </c>
      <c r="AH341" s="169" t="s">
        <v>36</v>
      </c>
      <c r="AI341" s="169" t="s">
        <v>704</v>
      </c>
      <c r="AJ341" s="169">
        <v>968</v>
      </c>
      <c r="AK341" s="169" t="s">
        <v>1473</v>
      </c>
      <c r="AL341" s="169">
        <v>28168</v>
      </c>
      <c r="AM341" s="169" t="s">
        <v>1418</v>
      </c>
      <c r="AN341" s="169" t="s">
        <v>1475</v>
      </c>
      <c r="AO341" s="169">
        <v>28</v>
      </c>
      <c r="AP341" s="169" t="s">
        <v>1416</v>
      </c>
      <c r="AQ341" s="169">
        <v>0</v>
      </c>
      <c r="AR341" s="169" t="s">
        <v>1410</v>
      </c>
      <c r="AS341" s="169"/>
      <c r="AT341" s="169" t="s">
        <v>1417</v>
      </c>
      <c r="AU341" s="169" t="s">
        <v>1412</v>
      </c>
    </row>
    <row r="342" spans="1:47" x14ac:dyDescent="0.45">
      <c r="A342" s="169">
        <v>2613150053</v>
      </c>
      <c r="B342" s="169">
        <v>131</v>
      </c>
      <c r="C342" s="169" t="s">
        <v>1462</v>
      </c>
      <c r="D342" s="169">
        <v>130</v>
      </c>
      <c r="E342" s="169" t="s">
        <v>1402</v>
      </c>
      <c r="F342" s="169" t="s">
        <v>3382</v>
      </c>
      <c r="G342" s="169" t="s">
        <v>3383</v>
      </c>
      <c r="H342" s="169">
        <v>2</v>
      </c>
      <c r="I342" s="169" t="s">
        <v>3384</v>
      </c>
      <c r="J342" s="169" t="s">
        <v>1403</v>
      </c>
      <c r="K342" s="169">
        <v>2026</v>
      </c>
      <c r="L342" s="170">
        <v>2026</v>
      </c>
      <c r="M342" s="171">
        <v>45903</v>
      </c>
      <c r="N342" s="169" t="s">
        <v>36</v>
      </c>
      <c r="O342" s="169" t="s">
        <v>704</v>
      </c>
      <c r="P342" s="169">
        <v>785</v>
      </c>
      <c r="Q342" s="169" t="s">
        <v>1491</v>
      </c>
      <c r="R342" s="169">
        <v>2</v>
      </c>
      <c r="S342" s="169">
        <v>2</v>
      </c>
      <c r="T342" s="169" t="s">
        <v>1464</v>
      </c>
      <c r="U342" s="169">
        <v>1</v>
      </c>
      <c r="V342" s="170">
        <v>2622508</v>
      </c>
      <c r="W342" s="170">
        <v>0</v>
      </c>
      <c r="X342" s="170" t="s">
        <v>1406</v>
      </c>
      <c r="Y342" s="169"/>
      <c r="Z342" s="169" t="s">
        <v>32</v>
      </c>
      <c r="AA342" s="171">
        <v>45938</v>
      </c>
      <c r="AB342" s="169">
        <v>26</v>
      </c>
      <c r="AC342" s="169">
        <v>22508</v>
      </c>
      <c r="AD342" s="169">
        <v>131</v>
      </c>
      <c r="AE342" s="169" t="s">
        <v>1462</v>
      </c>
      <c r="AF342" s="169">
        <v>130</v>
      </c>
      <c r="AG342" s="169" t="s">
        <v>1402</v>
      </c>
      <c r="AH342" s="169" t="s">
        <v>36</v>
      </c>
      <c r="AI342" s="169" t="s">
        <v>704</v>
      </c>
      <c r="AJ342" s="169">
        <v>785</v>
      </c>
      <c r="AK342" s="169" t="s">
        <v>1407</v>
      </c>
      <c r="AL342" s="169">
        <v>28168</v>
      </c>
      <c r="AM342" s="169" t="s">
        <v>1418</v>
      </c>
      <c r="AN342" s="169" t="s">
        <v>1475</v>
      </c>
      <c r="AO342" s="169">
        <v>28</v>
      </c>
      <c r="AP342" s="169" t="s">
        <v>1416</v>
      </c>
      <c r="AQ342" s="169">
        <v>0</v>
      </c>
      <c r="AR342" s="169" t="s">
        <v>1410</v>
      </c>
      <c r="AS342" s="169"/>
      <c r="AT342" s="169" t="s">
        <v>1417</v>
      </c>
      <c r="AU342" s="169" t="s">
        <v>1412</v>
      </c>
    </row>
    <row r="343" spans="1:47" x14ac:dyDescent="0.45">
      <c r="A343" s="169">
        <v>2613150056</v>
      </c>
      <c r="B343" s="169">
        <v>131</v>
      </c>
      <c r="C343" s="169" t="s">
        <v>1462</v>
      </c>
      <c r="D343" s="169">
        <v>130</v>
      </c>
      <c r="E343" s="169" t="s">
        <v>1402</v>
      </c>
      <c r="F343" s="169" t="s">
        <v>3385</v>
      </c>
      <c r="G343" s="169" t="s">
        <v>3386</v>
      </c>
      <c r="H343" s="169">
        <v>2</v>
      </c>
      <c r="I343" s="169" t="s">
        <v>3387</v>
      </c>
      <c r="J343" s="169" t="s">
        <v>1403</v>
      </c>
      <c r="K343" s="169">
        <v>2026</v>
      </c>
      <c r="L343" s="170">
        <v>2026</v>
      </c>
      <c r="M343" s="171">
        <v>45918</v>
      </c>
      <c r="N343" s="169" t="s">
        <v>36</v>
      </c>
      <c r="O343" s="169" t="s">
        <v>793</v>
      </c>
      <c r="P343" s="169">
        <v>785</v>
      </c>
      <c r="Q343" s="169" t="s">
        <v>1491</v>
      </c>
      <c r="R343" s="169">
        <v>1</v>
      </c>
      <c r="S343" s="169">
        <v>2</v>
      </c>
      <c r="T343" s="169" t="s">
        <v>1464</v>
      </c>
      <c r="U343" s="169">
        <v>1</v>
      </c>
      <c r="V343" s="170">
        <v>2622541</v>
      </c>
      <c r="W343" s="170">
        <v>0</v>
      </c>
      <c r="X343" s="170" t="s">
        <v>1406</v>
      </c>
      <c r="Y343" s="169"/>
      <c r="Z343" s="169" t="s">
        <v>32</v>
      </c>
      <c r="AA343" s="171">
        <v>46006</v>
      </c>
      <c r="AB343" s="169">
        <v>26</v>
      </c>
      <c r="AC343" s="169">
        <v>22541</v>
      </c>
      <c r="AD343" s="169">
        <v>131</v>
      </c>
      <c r="AE343" s="169" t="s">
        <v>1462</v>
      </c>
      <c r="AF343" s="169">
        <v>130</v>
      </c>
      <c r="AG343" s="169" t="s">
        <v>1402</v>
      </c>
      <c r="AH343" s="169" t="s">
        <v>36</v>
      </c>
      <c r="AI343" s="169" t="s">
        <v>793</v>
      </c>
      <c r="AJ343" s="169">
        <v>785</v>
      </c>
      <c r="AK343" s="169" t="s">
        <v>1410</v>
      </c>
      <c r="AL343" s="169">
        <v>28174</v>
      </c>
      <c r="AM343" s="169" t="s">
        <v>1418</v>
      </c>
      <c r="AN343" s="169" t="s">
        <v>1543</v>
      </c>
      <c r="AO343" s="169">
        <v>28</v>
      </c>
      <c r="AP343" s="169" t="s">
        <v>1416</v>
      </c>
      <c r="AQ343" s="169">
        <v>0</v>
      </c>
      <c r="AR343" s="169" t="s">
        <v>1410</v>
      </c>
      <c r="AS343" s="169"/>
      <c r="AT343" s="169" t="s">
        <v>1417</v>
      </c>
      <c r="AU343" s="169" t="s">
        <v>1412</v>
      </c>
    </row>
    <row r="344" spans="1:47" x14ac:dyDescent="0.45">
      <c r="A344" s="169">
        <v>2613150058</v>
      </c>
      <c r="B344" s="169">
        <v>131</v>
      </c>
      <c r="C344" s="169" t="s">
        <v>1462</v>
      </c>
      <c r="D344" s="169">
        <v>130</v>
      </c>
      <c r="E344" s="169" t="s">
        <v>1402</v>
      </c>
      <c r="F344" s="169" t="s">
        <v>3388</v>
      </c>
      <c r="G344" s="169" t="s">
        <v>3389</v>
      </c>
      <c r="H344" s="169">
        <v>1</v>
      </c>
      <c r="I344" s="169" t="s">
        <v>3390</v>
      </c>
      <c r="J344" s="169" t="s">
        <v>1403</v>
      </c>
      <c r="K344" s="169">
        <v>2026</v>
      </c>
      <c r="L344" s="170">
        <v>2026</v>
      </c>
      <c r="M344" s="171">
        <v>45936</v>
      </c>
      <c r="N344" s="169" t="s">
        <v>36</v>
      </c>
      <c r="O344" s="169" t="s">
        <v>793</v>
      </c>
      <c r="P344" s="169">
        <v>857</v>
      </c>
      <c r="Q344" s="169" t="s">
        <v>1481</v>
      </c>
      <c r="R344" s="169">
        <v>1</v>
      </c>
      <c r="S344" s="169">
        <v>2</v>
      </c>
      <c r="T344" s="169" t="s">
        <v>1464</v>
      </c>
      <c r="U344" s="169">
        <v>1</v>
      </c>
      <c r="V344" s="170">
        <v>0</v>
      </c>
      <c r="W344" s="170">
        <v>0</v>
      </c>
      <c r="X344" s="170" t="s">
        <v>1406</v>
      </c>
      <c r="Y344" s="171">
        <v>46010</v>
      </c>
      <c r="Z344" s="169" t="s">
        <v>32</v>
      </c>
      <c r="AA344" s="169"/>
      <c r="AB344" s="169">
        <v>0</v>
      </c>
      <c r="AC344" s="169">
        <v>0</v>
      </c>
      <c r="AD344" s="169">
        <v>0</v>
      </c>
      <c r="AE344" s="169" t="s">
        <v>1446</v>
      </c>
      <c r="AF344" s="169"/>
      <c r="AG344" s="169" t="s">
        <v>1446</v>
      </c>
      <c r="AH344" s="169"/>
      <c r="AI344" s="169"/>
      <c r="AJ344" s="169">
        <v>0</v>
      </c>
      <c r="AK344" s="169" t="s">
        <v>1473</v>
      </c>
      <c r="AL344" s="169">
        <v>28209</v>
      </c>
      <c r="AM344" s="169" t="s">
        <v>1418</v>
      </c>
      <c r="AN344" s="169" t="s">
        <v>1429</v>
      </c>
      <c r="AO344" s="169">
        <v>28</v>
      </c>
      <c r="AP344" s="169" t="s">
        <v>1416</v>
      </c>
      <c r="AQ344" s="169">
        <v>0</v>
      </c>
      <c r="AR344" s="169" t="s">
        <v>1410</v>
      </c>
      <c r="AS344" s="169"/>
      <c r="AT344" s="169" t="s">
        <v>1417</v>
      </c>
      <c r="AU344" s="169" t="s">
        <v>1412</v>
      </c>
    </row>
    <row r="345" spans="1:47" x14ac:dyDescent="0.45">
      <c r="A345" s="169">
        <v>2613150059</v>
      </c>
      <c r="B345" s="169">
        <v>131</v>
      </c>
      <c r="C345" s="169" t="s">
        <v>1462</v>
      </c>
      <c r="D345" s="169">
        <v>130</v>
      </c>
      <c r="E345" s="169" t="s">
        <v>1402</v>
      </c>
      <c r="F345" s="169" t="s">
        <v>3391</v>
      </c>
      <c r="G345" s="169" t="s">
        <v>3392</v>
      </c>
      <c r="H345" s="169">
        <v>2</v>
      </c>
      <c r="I345" s="169" t="s">
        <v>573</v>
      </c>
      <c r="J345" s="169" t="s">
        <v>1403</v>
      </c>
      <c r="K345" s="169">
        <v>2026</v>
      </c>
      <c r="L345" s="170">
        <v>2026</v>
      </c>
      <c r="M345" s="171">
        <v>45915</v>
      </c>
      <c r="N345" s="169" t="s">
        <v>36</v>
      </c>
      <c r="O345" s="169" t="s">
        <v>708</v>
      </c>
      <c r="P345" s="169">
        <v>813</v>
      </c>
      <c r="Q345" s="169" t="s">
        <v>1580</v>
      </c>
      <c r="R345" s="169">
        <v>2</v>
      </c>
      <c r="S345" s="169">
        <v>3</v>
      </c>
      <c r="T345" s="169" t="s">
        <v>1477</v>
      </c>
      <c r="U345" s="169">
        <v>4</v>
      </c>
      <c r="V345" s="170">
        <v>2622518</v>
      </c>
      <c r="W345" s="170">
        <v>0</v>
      </c>
      <c r="X345" s="170" t="s">
        <v>1406</v>
      </c>
      <c r="Y345" s="169"/>
      <c r="Z345" s="169" t="s">
        <v>32</v>
      </c>
      <c r="AA345" s="171">
        <v>45957</v>
      </c>
      <c r="AB345" s="169">
        <v>26</v>
      </c>
      <c r="AC345" s="169">
        <v>22518</v>
      </c>
      <c r="AD345" s="169">
        <v>131</v>
      </c>
      <c r="AE345" s="169" t="s">
        <v>1462</v>
      </c>
      <c r="AF345" s="169">
        <v>130</v>
      </c>
      <c r="AG345" s="169" t="s">
        <v>1402</v>
      </c>
      <c r="AH345" s="169" t="s">
        <v>36</v>
      </c>
      <c r="AI345" s="169" t="s">
        <v>708</v>
      </c>
      <c r="AJ345" s="169">
        <v>813</v>
      </c>
      <c r="AK345" s="169" t="s">
        <v>1407</v>
      </c>
      <c r="AL345" s="169">
        <v>28091</v>
      </c>
      <c r="AM345" s="169" t="s">
        <v>1421</v>
      </c>
      <c r="AN345" s="169" t="s">
        <v>1452</v>
      </c>
      <c r="AO345" s="169">
        <v>28</v>
      </c>
      <c r="AP345" s="169" t="s">
        <v>1416</v>
      </c>
      <c r="AQ345" s="169">
        <v>0</v>
      </c>
      <c r="AR345" s="169" t="s">
        <v>1410</v>
      </c>
      <c r="AS345" s="169"/>
      <c r="AT345" s="169" t="s">
        <v>1417</v>
      </c>
      <c r="AU345" s="169" t="s">
        <v>1412</v>
      </c>
    </row>
    <row r="346" spans="1:47" x14ac:dyDescent="0.45">
      <c r="A346" s="169">
        <v>2613150060</v>
      </c>
      <c r="B346" s="169">
        <v>131</v>
      </c>
      <c r="C346" s="169" t="s">
        <v>1462</v>
      </c>
      <c r="D346" s="169">
        <v>130</v>
      </c>
      <c r="E346" s="169" t="s">
        <v>1402</v>
      </c>
      <c r="F346" s="169" t="s">
        <v>3393</v>
      </c>
      <c r="G346" s="169" t="s">
        <v>3394</v>
      </c>
      <c r="H346" s="169">
        <v>2</v>
      </c>
      <c r="I346" s="169" t="s">
        <v>3395</v>
      </c>
      <c r="J346" s="169" t="s">
        <v>1403</v>
      </c>
      <c r="K346" s="169">
        <v>2026</v>
      </c>
      <c r="L346" s="170">
        <v>2026</v>
      </c>
      <c r="M346" s="171">
        <v>45950</v>
      </c>
      <c r="N346" s="169" t="s">
        <v>36</v>
      </c>
      <c r="O346" s="169" t="s">
        <v>698</v>
      </c>
      <c r="P346" s="169">
        <v>502</v>
      </c>
      <c r="Q346" s="169" t="s">
        <v>1500</v>
      </c>
      <c r="R346" s="169">
        <v>2</v>
      </c>
      <c r="S346" s="169">
        <v>5</v>
      </c>
      <c r="T346" s="169" t="s">
        <v>1470</v>
      </c>
      <c r="U346" s="169">
        <v>15</v>
      </c>
      <c r="V346" s="170">
        <v>2622522</v>
      </c>
      <c r="W346" s="170">
        <v>0</v>
      </c>
      <c r="X346" s="170" t="s">
        <v>1406</v>
      </c>
      <c r="Y346" s="169"/>
      <c r="Z346" s="169" t="s">
        <v>32</v>
      </c>
      <c r="AA346" s="171">
        <v>45965</v>
      </c>
      <c r="AB346" s="169">
        <v>26</v>
      </c>
      <c r="AC346" s="169">
        <v>22522</v>
      </c>
      <c r="AD346" s="169">
        <v>131</v>
      </c>
      <c r="AE346" s="169" t="s">
        <v>1462</v>
      </c>
      <c r="AF346" s="169">
        <v>130</v>
      </c>
      <c r="AG346" s="169" t="s">
        <v>1402</v>
      </c>
      <c r="AH346" s="169" t="s">
        <v>36</v>
      </c>
      <c r="AI346" s="169" t="s">
        <v>698</v>
      </c>
      <c r="AJ346" s="169">
        <v>502</v>
      </c>
      <c r="AK346" s="169" t="s">
        <v>1407</v>
      </c>
      <c r="AL346" s="169">
        <v>33030</v>
      </c>
      <c r="AM346" s="169" t="s">
        <v>1421</v>
      </c>
      <c r="AN346" s="169" t="s">
        <v>1460</v>
      </c>
      <c r="AO346" s="169">
        <v>33</v>
      </c>
      <c r="AP346" s="169" t="s">
        <v>1427</v>
      </c>
      <c r="AQ346" s="169">
        <v>0</v>
      </c>
      <c r="AR346" s="169" t="s">
        <v>1410</v>
      </c>
      <c r="AS346" s="169"/>
      <c r="AT346" s="169" t="s">
        <v>1417</v>
      </c>
      <c r="AU346" s="169" t="s">
        <v>1412</v>
      </c>
    </row>
    <row r="347" spans="1:47" x14ac:dyDescent="0.45">
      <c r="A347" s="169">
        <v>2613150064</v>
      </c>
      <c r="B347" s="169">
        <v>131</v>
      </c>
      <c r="C347" s="169" t="s">
        <v>1462</v>
      </c>
      <c r="D347" s="169">
        <v>130</v>
      </c>
      <c r="E347" s="169" t="s">
        <v>1402</v>
      </c>
      <c r="F347" s="169" t="s">
        <v>3508</v>
      </c>
      <c r="G347" s="169" t="s">
        <v>3509</v>
      </c>
      <c r="H347" s="169">
        <v>2</v>
      </c>
      <c r="I347" s="169" t="s">
        <v>3510</v>
      </c>
      <c r="J347" s="169" t="s">
        <v>1403</v>
      </c>
      <c r="K347" s="169">
        <v>2026</v>
      </c>
      <c r="L347" s="170">
        <v>2026</v>
      </c>
      <c r="M347" s="171">
        <v>46014</v>
      </c>
      <c r="N347" s="169" t="s">
        <v>36</v>
      </c>
      <c r="O347" s="169" t="s">
        <v>704</v>
      </c>
      <c r="P347" s="169">
        <v>260</v>
      </c>
      <c r="Q347" s="169" t="s">
        <v>1519</v>
      </c>
      <c r="R347" s="169">
        <v>2</v>
      </c>
      <c r="S347" s="169">
        <v>2</v>
      </c>
      <c r="T347" s="169" t="s">
        <v>1464</v>
      </c>
      <c r="U347" s="169">
        <v>1</v>
      </c>
      <c r="V347" s="170">
        <v>2622548</v>
      </c>
      <c r="W347" s="170">
        <v>0</v>
      </c>
      <c r="X347" s="170" t="s">
        <v>1406</v>
      </c>
      <c r="Y347" s="169"/>
      <c r="Z347" s="169" t="s">
        <v>1407</v>
      </c>
      <c r="AA347" s="171">
        <v>46031</v>
      </c>
      <c r="AB347" s="169">
        <v>26</v>
      </c>
      <c r="AC347" s="169">
        <v>22548</v>
      </c>
      <c r="AD347" s="169">
        <v>131</v>
      </c>
      <c r="AE347" s="169" t="s">
        <v>1462</v>
      </c>
      <c r="AF347" s="169">
        <v>130</v>
      </c>
      <c r="AG347" s="169" t="s">
        <v>1402</v>
      </c>
      <c r="AH347" s="169" t="s">
        <v>36</v>
      </c>
      <c r="AI347" s="169" t="s">
        <v>704</v>
      </c>
      <c r="AJ347" s="169">
        <v>260</v>
      </c>
      <c r="AK347" s="169" t="s">
        <v>1407</v>
      </c>
      <c r="AL347" s="169">
        <v>28098</v>
      </c>
      <c r="AM347" s="169" t="s">
        <v>1418</v>
      </c>
      <c r="AN347" s="169" t="s">
        <v>1448</v>
      </c>
      <c r="AO347" s="169">
        <v>28</v>
      </c>
      <c r="AP347" s="169" t="s">
        <v>1416</v>
      </c>
      <c r="AQ347" s="169">
        <v>0</v>
      </c>
      <c r="AR347" s="169" t="s">
        <v>1410</v>
      </c>
      <c r="AS347" s="169"/>
      <c r="AT347" s="169" t="s">
        <v>1417</v>
      </c>
      <c r="AU347" s="169" t="s">
        <v>1412</v>
      </c>
    </row>
    <row r="348" spans="1:47" x14ac:dyDescent="0.45">
      <c r="A348" s="169">
        <v>2613150066</v>
      </c>
      <c r="B348" s="169">
        <v>131</v>
      </c>
      <c r="C348" s="169" t="s">
        <v>1462</v>
      </c>
      <c r="D348" s="169">
        <v>130</v>
      </c>
      <c r="E348" s="169" t="s">
        <v>1402</v>
      </c>
      <c r="F348" s="169" t="s">
        <v>3396</v>
      </c>
      <c r="G348" s="169" t="s">
        <v>3397</v>
      </c>
      <c r="H348" s="169">
        <v>2</v>
      </c>
      <c r="I348" s="169" t="s">
        <v>3398</v>
      </c>
      <c r="J348" s="169" t="s">
        <v>1403</v>
      </c>
      <c r="K348" s="169">
        <v>2026</v>
      </c>
      <c r="L348" s="170">
        <v>2026</v>
      </c>
      <c r="M348" s="171">
        <v>45903</v>
      </c>
      <c r="N348" s="169" t="s">
        <v>36</v>
      </c>
      <c r="O348" s="169" t="s">
        <v>708</v>
      </c>
      <c r="P348" s="169">
        <v>121</v>
      </c>
      <c r="Q348" s="169" t="s">
        <v>1502</v>
      </c>
      <c r="R348" s="169">
        <v>2</v>
      </c>
      <c r="S348" s="169">
        <v>8</v>
      </c>
      <c r="T348" s="169" t="s">
        <v>1503</v>
      </c>
      <c r="U348" s="169">
        <v>6</v>
      </c>
      <c r="V348" s="170">
        <v>2622502</v>
      </c>
      <c r="W348" s="170">
        <v>0</v>
      </c>
      <c r="X348" s="170" t="s">
        <v>1406</v>
      </c>
      <c r="Y348" s="169"/>
      <c r="Z348" s="169" t="s">
        <v>32</v>
      </c>
      <c r="AA348" s="171">
        <v>45919</v>
      </c>
      <c r="AB348" s="169">
        <v>26</v>
      </c>
      <c r="AC348" s="169">
        <v>22502</v>
      </c>
      <c r="AD348" s="169">
        <v>131</v>
      </c>
      <c r="AE348" s="169" t="s">
        <v>1462</v>
      </c>
      <c r="AF348" s="169">
        <v>130</v>
      </c>
      <c r="AG348" s="169" t="s">
        <v>1402</v>
      </c>
      <c r="AH348" s="169" t="s">
        <v>36</v>
      </c>
      <c r="AI348" s="169" t="s">
        <v>708</v>
      </c>
      <c r="AJ348" s="169">
        <v>121</v>
      </c>
      <c r="AK348" s="169" t="s">
        <v>1407</v>
      </c>
      <c r="AL348" s="169">
        <v>33093</v>
      </c>
      <c r="AM348" s="169" t="s">
        <v>1421</v>
      </c>
      <c r="AN348" s="169" t="s">
        <v>2902</v>
      </c>
      <c r="AO348" s="169">
        <v>33</v>
      </c>
      <c r="AP348" s="169" t="s">
        <v>1427</v>
      </c>
      <c r="AQ348" s="169">
        <v>0</v>
      </c>
      <c r="AR348" s="169" t="s">
        <v>1410</v>
      </c>
      <c r="AS348" s="169"/>
      <c r="AT348" s="169" t="s">
        <v>1417</v>
      </c>
      <c r="AU348" s="169" t="s">
        <v>1412</v>
      </c>
    </row>
    <row r="349" spans="1:47" x14ac:dyDescent="0.45">
      <c r="A349" s="169">
        <v>2613150067</v>
      </c>
      <c r="B349" s="169">
        <v>131</v>
      </c>
      <c r="C349" s="169" t="s">
        <v>1462</v>
      </c>
      <c r="D349" s="169">
        <v>130</v>
      </c>
      <c r="E349" s="169" t="s">
        <v>1402</v>
      </c>
      <c r="F349" s="169" t="s">
        <v>3399</v>
      </c>
      <c r="G349" s="169" t="s">
        <v>3400</v>
      </c>
      <c r="H349" s="169">
        <v>1</v>
      </c>
      <c r="I349" s="169" t="s">
        <v>3401</v>
      </c>
      <c r="J349" s="169" t="s">
        <v>1403</v>
      </c>
      <c r="K349" s="169">
        <v>2026</v>
      </c>
      <c r="L349" s="170">
        <v>2026</v>
      </c>
      <c r="M349" s="171">
        <v>45901</v>
      </c>
      <c r="N349" s="169" t="s">
        <v>36</v>
      </c>
      <c r="O349" s="169" t="s">
        <v>698</v>
      </c>
      <c r="P349" s="169">
        <v>628</v>
      </c>
      <c r="Q349" s="169" t="s">
        <v>1530</v>
      </c>
      <c r="R349" s="169">
        <v>2</v>
      </c>
      <c r="S349" s="169">
        <v>5</v>
      </c>
      <c r="T349" s="169" t="s">
        <v>1470</v>
      </c>
      <c r="U349" s="169">
        <v>15</v>
      </c>
      <c r="V349" s="170">
        <v>2622556</v>
      </c>
      <c r="W349" s="170">
        <v>0</v>
      </c>
      <c r="X349" s="170" t="s">
        <v>1406</v>
      </c>
      <c r="Y349" s="169"/>
      <c r="Z349" s="169" t="s">
        <v>32</v>
      </c>
      <c r="AA349" s="171">
        <v>46055</v>
      </c>
      <c r="AB349" s="169">
        <v>26</v>
      </c>
      <c r="AC349" s="169">
        <v>22556</v>
      </c>
      <c r="AD349" s="169">
        <v>131</v>
      </c>
      <c r="AE349" s="169" t="s">
        <v>1462</v>
      </c>
      <c r="AF349" s="169">
        <v>130</v>
      </c>
      <c r="AG349" s="169" t="s">
        <v>1402</v>
      </c>
      <c r="AH349" s="169" t="s">
        <v>36</v>
      </c>
      <c r="AI349" s="169" t="s">
        <v>698</v>
      </c>
      <c r="AJ349" s="169">
        <v>628</v>
      </c>
      <c r="AK349" s="169" t="s">
        <v>1407</v>
      </c>
      <c r="AL349" s="169">
        <v>28219</v>
      </c>
      <c r="AM349" s="169" t="s">
        <v>1418</v>
      </c>
      <c r="AN349" s="169" t="s">
        <v>1440</v>
      </c>
      <c r="AO349" s="169">
        <v>28</v>
      </c>
      <c r="AP349" s="169" t="s">
        <v>1416</v>
      </c>
      <c r="AQ349" s="169">
        <v>0</v>
      </c>
      <c r="AR349" s="169" t="s">
        <v>1410</v>
      </c>
      <c r="AS349" s="169"/>
      <c r="AT349" s="169" t="s">
        <v>1417</v>
      </c>
      <c r="AU349" s="169" t="s">
        <v>1412</v>
      </c>
    </row>
    <row r="350" spans="1:47" x14ac:dyDescent="0.45">
      <c r="A350" s="169">
        <v>2613150068</v>
      </c>
      <c r="B350" s="169">
        <v>131</v>
      </c>
      <c r="C350" s="169" t="s">
        <v>1462</v>
      </c>
      <c r="D350" s="169">
        <v>130</v>
      </c>
      <c r="E350" s="169" t="s">
        <v>1402</v>
      </c>
      <c r="F350" s="169" t="s">
        <v>3402</v>
      </c>
      <c r="G350" s="169" t="s">
        <v>3403</v>
      </c>
      <c r="H350" s="169">
        <v>2</v>
      </c>
      <c r="I350" s="169" t="s">
        <v>3404</v>
      </c>
      <c r="J350" s="169" t="s">
        <v>1403</v>
      </c>
      <c r="K350" s="169">
        <v>2026</v>
      </c>
      <c r="L350" s="170">
        <v>2026</v>
      </c>
      <c r="M350" s="171">
        <v>45939</v>
      </c>
      <c r="N350" s="169" t="s">
        <v>36</v>
      </c>
      <c r="O350" s="169" t="s">
        <v>708</v>
      </c>
      <c r="P350" s="169">
        <v>813</v>
      </c>
      <c r="Q350" s="169" t="s">
        <v>1580</v>
      </c>
      <c r="R350" s="169">
        <v>2</v>
      </c>
      <c r="S350" s="169">
        <v>3</v>
      </c>
      <c r="T350" s="169" t="s">
        <v>1477</v>
      </c>
      <c r="U350" s="169">
        <v>4</v>
      </c>
      <c r="V350" s="170">
        <v>0</v>
      </c>
      <c r="W350" s="170">
        <v>0</v>
      </c>
      <c r="X350" s="170" t="s">
        <v>1406</v>
      </c>
      <c r="Y350" s="171">
        <v>46006</v>
      </c>
      <c r="Z350" s="169" t="s">
        <v>32</v>
      </c>
      <c r="AA350" s="169"/>
      <c r="AB350" s="169">
        <v>0</v>
      </c>
      <c r="AC350" s="169">
        <v>0</v>
      </c>
      <c r="AD350" s="169">
        <v>0</v>
      </c>
      <c r="AE350" s="169" t="s">
        <v>1446</v>
      </c>
      <c r="AF350" s="169"/>
      <c r="AG350" s="169" t="s">
        <v>1446</v>
      </c>
      <c r="AH350" s="169"/>
      <c r="AI350" s="169"/>
      <c r="AJ350" s="169">
        <v>0</v>
      </c>
      <c r="AK350" s="169" t="s">
        <v>1473</v>
      </c>
      <c r="AL350" s="169">
        <v>28135</v>
      </c>
      <c r="AM350" s="169" t="s">
        <v>1418</v>
      </c>
      <c r="AN350" s="169" t="s">
        <v>2849</v>
      </c>
      <c r="AO350" s="169">
        <v>28</v>
      </c>
      <c r="AP350" s="169" t="s">
        <v>1416</v>
      </c>
      <c r="AQ350" s="169">
        <v>0</v>
      </c>
      <c r="AR350" s="169" t="s">
        <v>1410</v>
      </c>
      <c r="AS350" s="169"/>
      <c r="AT350" s="169" t="s">
        <v>1417</v>
      </c>
      <c r="AU350" s="169" t="s">
        <v>1412</v>
      </c>
    </row>
    <row r="351" spans="1:47" x14ac:dyDescent="0.45">
      <c r="A351" s="169">
        <v>2613150069</v>
      </c>
      <c r="B351" s="169">
        <v>131</v>
      </c>
      <c r="C351" s="169" t="s">
        <v>1462</v>
      </c>
      <c r="D351" s="169">
        <v>130</v>
      </c>
      <c r="E351" s="169" t="s">
        <v>1402</v>
      </c>
      <c r="F351" s="169" t="s">
        <v>3405</v>
      </c>
      <c r="G351" s="169" t="s">
        <v>1087</v>
      </c>
      <c r="H351" s="169">
        <v>1</v>
      </c>
      <c r="I351" s="169" t="s">
        <v>582</v>
      </c>
      <c r="J351" s="169" t="s">
        <v>1403</v>
      </c>
      <c r="K351" s="169">
        <v>2026</v>
      </c>
      <c r="L351" s="170">
        <v>2026</v>
      </c>
      <c r="M351" s="171">
        <v>45947</v>
      </c>
      <c r="N351" s="169" t="s">
        <v>36</v>
      </c>
      <c r="O351" s="169" t="s">
        <v>704</v>
      </c>
      <c r="P351" s="169">
        <v>428</v>
      </c>
      <c r="Q351" s="169" t="s">
        <v>1463</v>
      </c>
      <c r="R351" s="169">
        <v>2</v>
      </c>
      <c r="S351" s="169">
        <v>2</v>
      </c>
      <c r="T351" s="169" t="s">
        <v>1464</v>
      </c>
      <c r="U351" s="169">
        <v>1</v>
      </c>
      <c r="V351" s="170">
        <v>2622558</v>
      </c>
      <c r="W351" s="170">
        <v>0</v>
      </c>
      <c r="X351" s="170" t="s">
        <v>1406</v>
      </c>
      <c r="Y351" s="169"/>
      <c r="Z351" s="169" t="s">
        <v>32</v>
      </c>
      <c r="AA351" s="171">
        <v>46057</v>
      </c>
      <c r="AB351" s="169">
        <v>26</v>
      </c>
      <c r="AC351" s="169">
        <v>22558</v>
      </c>
      <c r="AD351" s="169">
        <v>131</v>
      </c>
      <c r="AE351" s="169" t="s">
        <v>1462</v>
      </c>
      <c r="AF351" s="169">
        <v>130</v>
      </c>
      <c r="AG351" s="169" t="s">
        <v>1402</v>
      </c>
      <c r="AH351" s="169" t="s">
        <v>36</v>
      </c>
      <c r="AI351" s="169" t="s">
        <v>704</v>
      </c>
      <c r="AJ351" s="169">
        <v>428</v>
      </c>
      <c r="AK351" s="169" t="s">
        <v>1407</v>
      </c>
      <c r="AL351" s="169">
        <v>28108</v>
      </c>
      <c r="AM351" s="169" t="s">
        <v>1418</v>
      </c>
      <c r="AN351" s="169" t="s">
        <v>1534</v>
      </c>
      <c r="AO351" s="169">
        <v>28</v>
      </c>
      <c r="AP351" s="169" t="s">
        <v>1416</v>
      </c>
      <c r="AQ351" s="169">
        <v>0</v>
      </c>
      <c r="AR351" s="169" t="s">
        <v>1410</v>
      </c>
      <c r="AS351" s="169"/>
      <c r="AT351" s="169" t="s">
        <v>1417</v>
      </c>
      <c r="AU351" s="169" t="s">
        <v>1412</v>
      </c>
    </row>
    <row r="352" spans="1:47" x14ac:dyDescent="0.45">
      <c r="A352" s="169">
        <v>2613150070</v>
      </c>
      <c r="B352" s="169">
        <v>131</v>
      </c>
      <c r="C352" s="169" t="s">
        <v>1462</v>
      </c>
      <c r="D352" s="169">
        <v>130</v>
      </c>
      <c r="E352" s="169" t="s">
        <v>1402</v>
      </c>
      <c r="F352" s="169" t="s">
        <v>3470</v>
      </c>
      <c r="G352" s="169" t="s">
        <v>3471</v>
      </c>
      <c r="H352" s="169">
        <v>1</v>
      </c>
      <c r="I352" s="169" t="s">
        <v>3472</v>
      </c>
      <c r="J352" s="169" t="s">
        <v>1403</v>
      </c>
      <c r="K352" s="169">
        <v>2026</v>
      </c>
      <c r="L352" s="170">
        <v>2026</v>
      </c>
      <c r="M352" s="171">
        <v>45960</v>
      </c>
      <c r="N352" s="169" t="s">
        <v>36</v>
      </c>
      <c r="O352" s="169" t="s">
        <v>793</v>
      </c>
      <c r="P352" s="169">
        <v>968</v>
      </c>
      <c r="Q352" s="169" t="s">
        <v>1474</v>
      </c>
      <c r="R352" s="169">
        <v>1</v>
      </c>
      <c r="S352" s="169">
        <v>2</v>
      </c>
      <c r="T352" s="169" t="s">
        <v>1464</v>
      </c>
      <c r="U352" s="169">
        <v>1</v>
      </c>
      <c r="V352" s="170">
        <v>0</v>
      </c>
      <c r="W352" s="170">
        <v>0</v>
      </c>
      <c r="X352" s="170" t="s">
        <v>1406</v>
      </c>
      <c r="Y352" s="171">
        <v>46007</v>
      </c>
      <c r="Z352" s="169" t="s">
        <v>32</v>
      </c>
      <c r="AA352" s="169"/>
      <c r="AB352" s="169">
        <v>0</v>
      </c>
      <c r="AC352" s="169">
        <v>0</v>
      </c>
      <c r="AD352" s="169">
        <v>0</v>
      </c>
      <c r="AE352" s="169" t="s">
        <v>1446</v>
      </c>
      <c r="AF352" s="169"/>
      <c r="AG352" s="169" t="s">
        <v>1446</v>
      </c>
      <c r="AH352" s="169"/>
      <c r="AI352" s="169"/>
      <c r="AJ352" s="169">
        <v>0</v>
      </c>
      <c r="AK352" s="169" t="s">
        <v>1473</v>
      </c>
      <c r="AL352" s="169">
        <v>28118</v>
      </c>
      <c r="AM352" s="169" t="s">
        <v>1418</v>
      </c>
      <c r="AN352" s="169" t="s">
        <v>1634</v>
      </c>
      <c r="AO352" s="169">
        <v>28</v>
      </c>
      <c r="AP352" s="169" t="s">
        <v>1416</v>
      </c>
      <c r="AQ352" s="169">
        <v>0</v>
      </c>
      <c r="AR352" s="169" t="s">
        <v>1410</v>
      </c>
      <c r="AS352" s="169"/>
      <c r="AT352" s="169" t="s">
        <v>1417</v>
      </c>
      <c r="AU352" s="169" t="s">
        <v>1412</v>
      </c>
    </row>
    <row r="353" spans="1:47" x14ac:dyDescent="0.45">
      <c r="A353" s="169">
        <v>2613150076</v>
      </c>
      <c r="B353" s="169">
        <v>131</v>
      </c>
      <c r="C353" s="169" t="s">
        <v>1462</v>
      </c>
      <c r="D353" s="169">
        <v>130</v>
      </c>
      <c r="E353" s="169" t="s">
        <v>1402</v>
      </c>
      <c r="F353" s="169" t="s">
        <v>3406</v>
      </c>
      <c r="G353" s="169" t="s">
        <v>3407</v>
      </c>
      <c r="H353" s="169">
        <v>1</v>
      </c>
      <c r="I353" s="169" t="s">
        <v>2288</v>
      </c>
      <c r="J353" s="169" t="s">
        <v>1403</v>
      </c>
      <c r="K353" s="169">
        <v>2026</v>
      </c>
      <c r="L353" s="170">
        <v>2026</v>
      </c>
      <c r="M353" s="171">
        <v>45950</v>
      </c>
      <c r="N353" s="169" t="s">
        <v>36</v>
      </c>
      <c r="O353" s="169" t="s">
        <v>793</v>
      </c>
      <c r="P353" s="169">
        <v>428</v>
      </c>
      <c r="Q353" s="169" t="s">
        <v>1463</v>
      </c>
      <c r="R353" s="169">
        <v>1</v>
      </c>
      <c r="S353" s="169">
        <v>2</v>
      </c>
      <c r="T353" s="169" t="s">
        <v>1464</v>
      </c>
      <c r="U353" s="169">
        <v>1</v>
      </c>
      <c r="V353" s="170">
        <v>2622532</v>
      </c>
      <c r="W353" s="170">
        <v>0</v>
      </c>
      <c r="X353" s="170" t="s">
        <v>1406</v>
      </c>
      <c r="Y353" s="169"/>
      <c r="Z353" s="169" t="s">
        <v>32</v>
      </c>
      <c r="AA353" s="171">
        <v>45987</v>
      </c>
      <c r="AB353" s="169">
        <v>26</v>
      </c>
      <c r="AC353" s="169">
        <v>22532</v>
      </c>
      <c r="AD353" s="169">
        <v>131</v>
      </c>
      <c r="AE353" s="169" t="s">
        <v>1462</v>
      </c>
      <c r="AF353" s="169">
        <v>130</v>
      </c>
      <c r="AG353" s="169" t="s">
        <v>1402</v>
      </c>
      <c r="AH353" s="169" t="s">
        <v>36</v>
      </c>
      <c r="AI353" s="169" t="s">
        <v>793</v>
      </c>
      <c r="AJ353" s="169">
        <v>428</v>
      </c>
      <c r="AK353" s="169" t="s">
        <v>1473</v>
      </c>
      <c r="AL353" s="169">
        <v>28098</v>
      </c>
      <c r="AM353" s="169" t="s">
        <v>1418</v>
      </c>
      <c r="AN353" s="169" t="s">
        <v>1448</v>
      </c>
      <c r="AO353" s="169">
        <v>28</v>
      </c>
      <c r="AP353" s="169" t="s">
        <v>1416</v>
      </c>
      <c r="AQ353" s="169">
        <v>0</v>
      </c>
      <c r="AR353" s="169" t="s">
        <v>1410</v>
      </c>
      <c r="AS353" s="169"/>
      <c r="AT353" s="169" t="s">
        <v>1417</v>
      </c>
      <c r="AU353" s="169" t="s">
        <v>1412</v>
      </c>
    </row>
    <row r="354" spans="1:47" x14ac:dyDescent="0.45">
      <c r="A354" s="169">
        <v>2613150081</v>
      </c>
      <c r="B354" s="169">
        <v>131</v>
      </c>
      <c r="C354" s="169" t="s">
        <v>1462</v>
      </c>
      <c r="D354" s="169">
        <v>130</v>
      </c>
      <c r="E354" s="169" t="s">
        <v>1402</v>
      </c>
      <c r="F354" s="169" t="s">
        <v>3408</v>
      </c>
      <c r="G354" s="169" t="s">
        <v>3409</v>
      </c>
      <c r="H354" s="169">
        <v>2</v>
      </c>
      <c r="I354" s="169" t="s">
        <v>3410</v>
      </c>
      <c r="J354" s="169" t="s">
        <v>1403</v>
      </c>
      <c r="K354" s="169">
        <v>2026</v>
      </c>
      <c r="L354" s="170">
        <v>2026</v>
      </c>
      <c r="M354" s="171">
        <v>45909</v>
      </c>
      <c r="N354" s="169" t="s">
        <v>36</v>
      </c>
      <c r="O354" s="169" t="s">
        <v>704</v>
      </c>
      <c r="P354" s="169">
        <v>856</v>
      </c>
      <c r="Q354" s="169" t="s">
        <v>1533</v>
      </c>
      <c r="R354" s="169">
        <v>2</v>
      </c>
      <c r="S354" s="169">
        <v>2</v>
      </c>
      <c r="T354" s="169" t="s">
        <v>1464</v>
      </c>
      <c r="U354" s="169">
        <v>1</v>
      </c>
      <c r="V354" s="170">
        <v>2622539</v>
      </c>
      <c r="W354" s="170">
        <v>0</v>
      </c>
      <c r="X354" s="170" t="s">
        <v>1406</v>
      </c>
      <c r="Y354" s="169"/>
      <c r="Z354" s="169" t="s">
        <v>32</v>
      </c>
      <c r="AA354" s="171">
        <v>46002</v>
      </c>
      <c r="AB354" s="169">
        <v>26</v>
      </c>
      <c r="AC354" s="169">
        <v>22539</v>
      </c>
      <c r="AD354" s="169">
        <v>131</v>
      </c>
      <c r="AE354" s="169" t="s">
        <v>1462</v>
      </c>
      <c r="AF354" s="169">
        <v>130</v>
      </c>
      <c r="AG354" s="169" t="s">
        <v>1402</v>
      </c>
      <c r="AH354" s="169" t="s">
        <v>36</v>
      </c>
      <c r="AI354" s="169" t="s">
        <v>704</v>
      </c>
      <c r="AJ354" s="169">
        <v>856</v>
      </c>
      <c r="AK354" s="169" t="s">
        <v>1407</v>
      </c>
      <c r="AL354" s="169">
        <v>28173</v>
      </c>
      <c r="AM354" s="169" t="s">
        <v>1418</v>
      </c>
      <c r="AN354" s="169" t="s">
        <v>1456</v>
      </c>
      <c r="AO354" s="169">
        <v>28</v>
      </c>
      <c r="AP354" s="169" t="s">
        <v>1416</v>
      </c>
      <c r="AQ354" s="169">
        <v>0</v>
      </c>
      <c r="AR354" s="169" t="s">
        <v>1410</v>
      </c>
      <c r="AS354" s="169"/>
      <c r="AT354" s="169" t="s">
        <v>1417</v>
      </c>
      <c r="AU354" s="169" t="s">
        <v>1412</v>
      </c>
    </row>
    <row r="355" spans="1:47" x14ac:dyDescent="0.45">
      <c r="A355" s="169">
        <v>2613150082</v>
      </c>
      <c r="B355" s="169">
        <v>131</v>
      </c>
      <c r="C355" s="169" t="s">
        <v>1462</v>
      </c>
      <c r="D355" s="169">
        <v>130</v>
      </c>
      <c r="E355" s="169" t="s">
        <v>1402</v>
      </c>
      <c r="F355" s="169" t="s">
        <v>3411</v>
      </c>
      <c r="G355" s="169" t="s">
        <v>3412</v>
      </c>
      <c r="H355" s="169">
        <v>1</v>
      </c>
      <c r="I355" s="169" t="s">
        <v>2674</v>
      </c>
      <c r="J355" s="169" t="s">
        <v>1403</v>
      </c>
      <c r="K355" s="169">
        <v>2026</v>
      </c>
      <c r="L355" s="170">
        <v>2026</v>
      </c>
      <c r="M355" s="171">
        <v>45915</v>
      </c>
      <c r="N355" s="169" t="s">
        <v>36</v>
      </c>
      <c r="O355" s="169" t="s">
        <v>704</v>
      </c>
      <c r="P355" s="169">
        <v>428</v>
      </c>
      <c r="Q355" s="169" t="s">
        <v>1463</v>
      </c>
      <c r="R355" s="169">
        <v>2</v>
      </c>
      <c r="S355" s="169">
        <v>2</v>
      </c>
      <c r="T355" s="169" t="s">
        <v>1464</v>
      </c>
      <c r="U355" s="169">
        <v>1</v>
      </c>
      <c r="V355" s="170">
        <v>2622528</v>
      </c>
      <c r="W355" s="170">
        <v>0</v>
      </c>
      <c r="X355" s="170" t="s">
        <v>1406</v>
      </c>
      <c r="Y355" s="169"/>
      <c r="Z355" s="169" t="s">
        <v>32</v>
      </c>
      <c r="AA355" s="171">
        <v>45979</v>
      </c>
      <c r="AB355" s="169">
        <v>26</v>
      </c>
      <c r="AC355" s="169">
        <v>22528</v>
      </c>
      <c r="AD355" s="169">
        <v>131</v>
      </c>
      <c r="AE355" s="169" t="s">
        <v>1462</v>
      </c>
      <c r="AF355" s="169">
        <v>130</v>
      </c>
      <c r="AG355" s="169" t="s">
        <v>1402</v>
      </c>
      <c r="AH355" s="169" t="s">
        <v>36</v>
      </c>
      <c r="AI355" s="169" t="s">
        <v>704</v>
      </c>
      <c r="AJ355" s="169">
        <v>428</v>
      </c>
      <c r="AK355" s="169" t="s">
        <v>1473</v>
      </c>
      <c r="AL355" s="169">
        <v>28015</v>
      </c>
      <c r="AM355" s="169" t="s">
        <v>1421</v>
      </c>
      <c r="AN355" s="169" t="s">
        <v>1525</v>
      </c>
      <c r="AO355" s="169">
        <v>28</v>
      </c>
      <c r="AP355" s="169" t="s">
        <v>1416</v>
      </c>
      <c r="AQ355" s="169">
        <v>0</v>
      </c>
      <c r="AR355" s="169" t="s">
        <v>1410</v>
      </c>
      <c r="AS355" s="169"/>
      <c r="AT355" s="169" t="s">
        <v>1417</v>
      </c>
      <c r="AU355" s="169" t="s">
        <v>1412</v>
      </c>
    </row>
    <row r="356" spans="1:47" x14ac:dyDescent="0.45">
      <c r="A356" s="169">
        <v>2613150083</v>
      </c>
      <c r="B356" s="169">
        <v>131</v>
      </c>
      <c r="C356" s="169" t="s">
        <v>1462</v>
      </c>
      <c r="D356" s="169">
        <v>130</v>
      </c>
      <c r="E356" s="169" t="s">
        <v>1402</v>
      </c>
      <c r="F356" s="169" t="s">
        <v>925</v>
      </c>
      <c r="G356" s="169" t="s">
        <v>926</v>
      </c>
      <c r="H356" s="169">
        <v>2</v>
      </c>
      <c r="I356" s="169" t="s">
        <v>927</v>
      </c>
      <c r="J356" s="169" t="s">
        <v>1403</v>
      </c>
      <c r="K356" s="169">
        <v>0</v>
      </c>
      <c r="L356" s="170">
        <v>2026</v>
      </c>
      <c r="M356" s="171">
        <v>45901</v>
      </c>
      <c r="N356" s="169" t="s">
        <v>36</v>
      </c>
      <c r="O356" s="169" t="s">
        <v>741</v>
      </c>
      <c r="P356" s="169">
        <v>581</v>
      </c>
      <c r="Q356" s="169" t="s">
        <v>1489</v>
      </c>
      <c r="R356" s="169">
        <v>2</v>
      </c>
      <c r="S356" s="169">
        <v>10</v>
      </c>
      <c r="T356" s="169" t="s">
        <v>1490</v>
      </c>
      <c r="U356" s="169">
        <v>9</v>
      </c>
      <c r="V356" s="170">
        <v>2622507</v>
      </c>
      <c r="W356" s="170">
        <v>0</v>
      </c>
      <c r="X356" s="170" t="s">
        <v>1406</v>
      </c>
      <c r="Y356" s="169"/>
      <c r="Z356" s="169" t="s">
        <v>32</v>
      </c>
      <c r="AA356" s="171">
        <v>45938</v>
      </c>
      <c r="AB356" s="169">
        <v>26</v>
      </c>
      <c r="AC356" s="169">
        <v>22507</v>
      </c>
      <c r="AD356" s="169">
        <v>131</v>
      </c>
      <c r="AE356" s="169" t="s">
        <v>1462</v>
      </c>
      <c r="AF356" s="169">
        <v>130</v>
      </c>
      <c r="AG356" s="169" t="s">
        <v>1402</v>
      </c>
      <c r="AH356" s="169" t="s">
        <v>36</v>
      </c>
      <c r="AI356" s="169" t="s">
        <v>741</v>
      </c>
      <c r="AJ356" s="169">
        <v>581</v>
      </c>
      <c r="AK356" s="169" t="s">
        <v>1407</v>
      </c>
      <c r="AL356" s="169">
        <v>13995</v>
      </c>
      <c r="AM356" s="169" t="s">
        <v>1408</v>
      </c>
      <c r="AN356" s="169" t="s">
        <v>3413</v>
      </c>
      <c r="AO356" s="169">
        <v>13</v>
      </c>
      <c r="AP356" s="169" t="s">
        <v>3414</v>
      </c>
      <c r="AQ356" s="169">
        <v>0</v>
      </c>
      <c r="AR356" s="169" t="s">
        <v>1410</v>
      </c>
      <c r="AS356" s="169"/>
      <c r="AT356" s="169" t="s">
        <v>1411</v>
      </c>
      <c r="AU356" s="169" t="s">
        <v>1412</v>
      </c>
    </row>
    <row r="357" spans="1:47" x14ac:dyDescent="0.45">
      <c r="A357" s="169">
        <v>2613150085</v>
      </c>
      <c r="B357" s="169">
        <v>131</v>
      </c>
      <c r="C357" s="169" t="s">
        <v>1462</v>
      </c>
      <c r="D357" s="169">
        <v>130</v>
      </c>
      <c r="E357" s="169" t="s">
        <v>1402</v>
      </c>
      <c r="F357" s="169" t="s">
        <v>3415</v>
      </c>
      <c r="G357" s="169" t="s">
        <v>3416</v>
      </c>
      <c r="H357" s="169">
        <v>1</v>
      </c>
      <c r="I357" s="169" t="s">
        <v>3417</v>
      </c>
      <c r="J357" s="169" t="s">
        <v>1403</v>
      </c>
      <c r="K357" s="169">
        <v>2026</v>
      </c>
      <c r="L357" s="170">
        <v>2026</v>
      </c>
      <c r="M357" s="171">
        <v>45909</v>
      </c>
      <c r="N357" s="169" t="s">
        <v>36</v>
      </c>
      <c r="O357" s="169" t="s">
        <v>704</v>
      </c>
      <c r="P357" s="169">
        <v>428</v>
      </c>
      <c r="Q357" s="169" t="s">
        <v>1463</v>
      </c>
      <c r="R357" s="169">
        <v>2</v>
      </c>
      <c r="S357" s="169">
        <v>2</v>
      </c>
      <c r="T357" s="169" t="s">
        <v>1464</v>
      </c>
      <c r="U357" s="169">
        <v>1</v>
      </c>
      <c r="V357" s="170">
        <v>2622515</v>
      </c>
      <c r="W357" s="170">
        <v>0</v>
      </c>
      <c r="X357" s="170" t="s">
        <v>1406</v>
      </c>
      <c r="Y357" s="169"/>
      <c r="Z357" s="169" t="s">
        <v>32</v>
      </c>
      <c r="AA357" s="171">
        <v>45946</v>
      </c>
      <c r="AB357" s="169">
        <v>26</v>
      </c>
      <c r="AC357" s="169">
        <v>22515</v>
      </c>
      <c r="AD357" s="169">
        <v>131</v>
      </c>
      <c r="AE357" s="169" t="s">
        <v>1462</v>
      </c>
      <c r="AF357" s="169">
        <v>130</v>
      </c>
      <c r="AG357" s="169" t="s">
        <v>1402</v>
      </c>
      <c r="AH357" s="169" t="s">
        <v>36</v>
      </c>
      <c r="AI357" s="169" t="s">
        <v>704</v>
      </c>
      <c r="AJ357" s="169">
        <v>428</v>
      </c>
      <c r="AK357" s="169" t="s">
        <v>1407</v>
      </c>
      <c r="AL357" s="169">
        <v>28024</v>
      </c>
      <c r="AM357" s="169" t="s">
        <v>1421</v>
      </c>
      <c r="AN357" s="169" t="s">
        <v>1535</v>
      </c>
      <c r="AO357" s="169">
        <v>28</v>
      </c>
      <c r="AP357" s="169" t="s">
        <v>1416</v>
      </c>
      <c r="AQ357" s="169">
        <v>0</v>
      </c>
      <c r="AR357" s="169" t="s">
        <v>1410</v>
      </c>
      <c r="AS357" s="169"/>
      <c r="AT357" s="169" t="s">
        <v>1417</v>
      </c>
      <c r="AU357" s="169" t="s">
        <v>1412</v>
      </c>
    </row>
    <row r="358" spans="1:47" x14ac:dyDescent="0.45">
      <c r="A358" s="169">
        <v>2613150090</v>
      </c>
      <c r="B358" s="169">
        <v>131</v>
      </c>
      <c r="C358" s="169" t="s">
        <v>1462</v>
      </c>
      <c r="D358" s="169">
        <v>130</v>
      </c>
      <c r="E358" s="169" t="s">
        <v>1402</v>
      </c>
      <c r="F358" s="169" t="s">
        <v>3468</v>
      </c>
      <c r="G358" s="169" t="s">
        <v>3469</v>
      </c>
      <c r="H358" s="169">
        <v>2</v>
      </c>
      <c r="I358" s="169" t="s">
        <v>930</v>
      </c>
      <c r="J358" s="169" t="s">
        <v>1403</v>
      </c>
      <c r="K358" s="169">
        <v>2026</v>
      </c>
      <c r="L358" s="170">
        <v>2026</v>
      </c>
      <c r="M358" s="171">
        <v>45958</v>
      </c>
      <c r="N358" s="169" t="s">
        <v>36</v>
      </c>
      <c r="O358" s="169" t="s">
        <v>704</v>
      </c>
      <c r="P358" s="169">
        <v>427</v>
      </c>
      <c r="Q358" s="169" t="s">
        <v>1479</v>
      </c>
      <c r="R358" s="169">
        <v>2</v>
      </c>
      <c r="S358" s="169">
        <v>2</v>
      </c>
      <c r="T358" s="169" t="s">
        <v>1464</v>
      </c>
      <c r="U358" s="169">
        <v>1</v>
      </c>
      <c r="V358" s="170">
        <v>0</v>
      </c>
      <c r="W358" s="170">
        <v>0</v>
      </c>
      <c r="X358" s="170" t="s">
        <v>1406</v>
      </c>
      <c r="Y358" s="169"/>
      <c r="Z358" s="169" t="s">
        <v>32</v>
      </c>
      <c r="AA358" s="169"/>
      <c r="AB358" s="169">
        <v>0</v>
      </c>
      <c r="AC358" s="169">
        <v>0</v>
      </c>
      <c r="AD358" s="169">
        <v>0</v>
      </c>
      <c r="AE358" s="169" t="s">
        <v>1446</v>
      </c>
      <c r="AF358" s="169"/>
      <c r="AG358" s="169" t="s">
        <v>1446</v>
      </c>
      <c r="AH358" s="169"/>
      <c r="AI358" s="169"/>
      <c r="AJ358" s="169">
        <v>0</v>
      </c>
      <c r="AK358" s="169" t="s">
        <v>1473</v>
      </c>
      <c r="AL358" s="169">
        <v>28098</v>
      </c>
      <c r="AM358" s="169" t="s">
        <v>1418</v>
      </c>
      <c r="AN358" s="169" t="s">
        <v>1448</v>
      </c>
      <c r="AO358" s="169">
        <v>28</v>
      </c>
      <c r="AP358" s="169" t="s">
        <v>1416</v>
      </c>
      <c r="AQ358" s="169">
        <v>0</v>
      </c>
      <c r="AR358" s="169" t="s">
        <v>1410</v>
      </c>
      <c r="AS358" s="169"/>
      <c r="AT358" s="169" t="s">
        <v>1417</v>
      </c>
      <c r="AU358" s="169" t="s">
        <v>1412</v>
      </c>
    </row>
    <row r="359" spans="1:47" x14ac:dyDescent="0.45">
      <c r="A359" s="169">
        <v>2613150091</v>
      </c>
      <c r="B359" s="169">
        <v>131</v>
      </c>
      <c r="C359" s="169" t="s">
        <v>1462</v>
      </c>
      <c r="D359" s="169">
        <v>130</v>
      </c>
      <c r="E359" s="169" t="s">
        <v>1402</v>
      </c>
      <c r="F359" s="169" t="s">
        <v>3418</v>
      </c>
      <c r="G359" s="169" t="s">
        <v>3419</v>
      </c>
      <c r="H359" s="169">
        <v>1</v>
      </c>
      <c r="I359" s="169" t="s">
        <v>1094</v>
      </c>
      <c r="J359" s="169" t="s">
        <v>1403</v>
      </c>
      <c r="K359" s="169">
        <v>2026</v>
      </c>
      <c r="L359" s="170">
        <v>2026</v>
      </c>
      <c r="M359" s="171">
        <v>45908</v>
      </c>
      <c r="N359" s="169" t="s">
        <v>36</v>
      </c>
      <c r="O359" s="169" t="s">
        <v>698</v>
      </c>
      <c r="P359" s="169">
        <v>502</v>
      </c>
      <c r="Q359" s="169" t="s">
        <v>1500</v>
      </c>
      <c r="R359" s="169">
        <v>2</v>
      </c>
      <c r="S359" s="169">
        <v>5</v>
      </c>
      <c r="T359" s="169" t="s">
        <v>1470</v>
      </c>
      <c r="U359" s="169">
        <v>15</v>
      </c>
      <c r="V359" s="170">
        <v>0</v>
      </c>
      <c r="W359" s="170">
        <v>0</v>
      </c>
      <c r="X359" s="170" t="s">
        <v>1406</v>
      </c>
      <c r="Y359" s="171">
        <v>46002</v>
      </c>
      <c r="Z359" s="169" t="s">
        <v>32</v>
      </c>
      <c r="AA359" s="169"/>
      <c r="AB359" s="169">
        <v>0</v>
      </c>
      <c r="AC359" s="169">
        <v>0</v>
      </c>
      <c r="AD359" s="169">
        <v>0</v>
      </c>
      <c r="AE359" s="169" t="s">
        <v>1446</v>
      </c>
      <c r="AF359" s="169"/>
      <c r="AG359" s="169" t="s">
        <v>1446</v>
      </c>
      <c r="AH359" s="169"/>
      <c r="AI359" s="169"/>
      <c r="AJ359" s="169">
        <v>0</v>
      </c>
      <c r="AK359" s="169" t="s">
        <v>1410</v>
      </c>
      <c r="AL359" s="169">
        <v>28168</v>
      </c>
      <c r="AM359" s="169" t="s">
        <v>1418</v>
      </c>
      <c r="AN359" s="169" t="s">
        <v>1475</v>
      </c>
      <c r="AO359" s="169">
        <v>28</v>
      </c>
      <c r="AP359" s="169" t="s">
        <v>1416</v>
      </c>
      <c r="AQ359" s="169">
        <v>0</v>
      </c>
      <c r="AR359" s="169" t="s">
        <v>1410</v>
      </c>
      <c r="AS359" s="169"/>
      <c r="AT359" s="169" t="s">
        <v>1417</v>
      </c>
      <c r="AU359" s="169" t="s">
        <v>1412</v>
      </c>
    </row>
    <row r="360" spans="1:47" x14ac:dyDescent="0.45">
      <c r="A360" s="169">
        <v>2613150093</v>
      </c>
      <c r="B360" s="169">
        <v>131</v>
      </c>
      <c r="C360" s="169" t="s">
        <v>1462</v>
      </c>
      <c r="D360" s="169">
        <v>130</v>
      </c>
      <c r="E360" s="169" t="s">
        <v>1402</v>
      </c>
      <c r="F360" s="169" t="s">
        <v>3473</v>
      </c>
      <c r="G360" s="169" t="s">
        <v>3474</v>
      </c>
      <c r="H360" s="169">
        <v>1</v>
      </c>
      <c r="I360" s="169" t="s">
        <v>3475</v>
      </c>
      <c r="J360" s="169" t="s">
        <v>1403</v>
      </c>
      <c r="K360" s="169">
        <v>2026</v>
      </c>
      <c r="L360" s="170">
        <v>2026</v>
      </c>
      <c r="M360" s="171">
        <v>45960</v>
      </c>
      <c r="N360" s="169" t="s">
        <v>36</v>
      </c>
      <c r="O360" s="169" t="s">
        <v>793</v>
      </c>
      <c r="P360" s="169">
        <v>427</v>
      </c>
      <c r="Q360" s="169" t="s">
        <v>1479</v>
      </c>
      <c r="R360" s="169">
        <v>1</v>
      </c>
      <c r="S360" s="169">
        <v>2</v>
      </c>
      <c r="T360" s="169" t="s">
        <v>1464</v>
      </c>
      <c r="U360" s="169">
        <v>1</v>
      </c>
      <c r="V360" s="170">
        <v>0</v>
      </c>
      <c r="W360" s="170">
        <v>0</v>
      </c>
      <c r="X360" s="170" t="s">
        <v>1406</v>
      </c>
      <c r="Y360" s="171">
        <v>46045</v>
      </c>
      <c r="Z360" s="169" t="s">
        <v>32</v>
      </c>
      <c r="AA360" s="169"/>
      <c r="AB360" s="169">
        <v>0</v>
      </c>
      <c r="AC360" s="169">
        <v>0</v>
      </c>
      <c r="AD360" s="169">
        <v>0</v>
      </c>
      <c r="AE360" s="169" t="s">
        <v>1446</v>
      </c>
      <c r="AF360" s="169"/>
      <c r="AG360" s="169" t="s">
        <v>1446</v>
      </c>
      <c r="AH360" s="169"/>
      <c r="AI360" s="169"/>
      <c r="AJ360" s="169">
        <v>0</v>
      </c>
      <c r="AK360" s="169" t="s">
        <v>1473</v>
      </c>
      <c r="AL360" s="169">
        <v>28097</v>
      </c>
      <c r="AM360" s="169" t="s">
        <v>1418</v>
      </c>
      <c r="AN360" s="169" t="s">
        <v>1531</v>
      </c>
      <c r="AO360" s="169">
        <v>28</v>
      </c>
      <c r="AP360" s="169" t="s">
        <v>1416</v>
      </c>
      <c r="AQ360" s="169">
        <v>0</v>
      </c>
      <c r="AR360" s="169" t="s">
        <v>1410</v>
      </c>
      <c r="AS360" s="169"/>
      <c r="AT360" s="169" t="s">
        <v>1417</v>
      </c>
      <c r="AU360" s="169" t="s">
        <v>1412</v>
      </c>
    </row>
    <row r="361" spans="1:47" x14ac:dyDescent="0.45">
      <c r="A361" s="169">
        <v>2613150094</v>
      </c>
      <c r="B361" s="169">
        <v>131</v>
      </c>
      <c r="C361" s="169" t="s">
        <v>1462</v>
      </c>
      <c r="D361" s="169">
        <v>130</v>
      </c>
      <c r="E361" s="169" t="s">
        <v>1402</v>
      </c>
      <c r="F361" s="169" t="s">
        <v>3420</v>
      </c>
      <c r="G361" s="169" t="s">
        <v>3421</v>
      </c>
      <c r="H361" s="169">
        <v>1</v>
      </c>
      <c r="I361" s="169" t="s">
        <v>484</v>
      </c>
      <c r="J361" s="169" t="s">
        <v>1403</v>
      </c>
      <c r="K361" s="169">
        <v>2026</v>
      </c>
      <c r="L361" s="170">
        <v>2026</v>
      </c>
      <c r="M361" s="171">
        <v>45908</v>
      </c>
      <c r="N361" s="169" t="s">
        <v>36</v>
      </c>
      <c r="O361" s="169" t="s">
        <v>793</v>
      </c>
      <c r="P361" s="169">
        <v>428</v>
      </c>
      <c r="Q361" s="169" t="s">
        <v>1463</v>
      </c>
      <c r="R361" s="169">
        <v>1</v>
      </c>
      <c r="S361" s="169">
        <v>2</v>
      </c>
      <c r="T361" s="169" t="s">
        <v>1464</v>
      </c>
      <c r="U361" s="169">
        <v>1</v>
      </c>
      <c r="V361" s="170">
        <v>0</v>
      </c>
      <c r="W361" s="170">
        <v>0</v>
      </c>
      <c r="X361" s="170" t="s">
        <v>1406</v>
      </c>
      <c r="Y361" s="169"/>
      <c r="Z361" s="169" t="s">
        <v>32</v>
      </c>
      <c r="AA361" s="169"/>
      <c r="AB361" s="169">
        <v>0</v>
      </c>
      <c r="AC361" s="169">
        <v>0</v>
      </c>
      <c r="AD361" s="169">
        <v>0</v>
      </c>
      <c r="AE361" s="169" t="s">
        <v>1446</v>
      </c>
      <c r="AF361" s="169"/>
      <c r="AG361" s="169" t="s">
        <v>1446</v>
      </c>
      <c r="AH361" s="169"/>
      <c r="AI361" s="169"/>
      <c r="AJ361" s="169">
        <v>0</v>
      </c>
      <c r="AK361" s="169" t="s">
        <v>1473</v>
      </c>
      <c r="AL361" s="169">
        <v>26064</v>
      </c>
      <c r="AM361" s="169" t="s">
        <v>1421</v>
      </c>
      <c r="AN361" s="169" t="s">
        <v>2805</v>
      </c>
      <c r="AO361" s="169">
        <v>26</v>
      </c>
      <c r="AP361" s="169" t="s">
        <v>1514</v>
      </c>
      <c r="AQ361" s="169">
        <v>0</v>
      </c>
      <c r="AR361" s="169" t="s">
        <v>1410</v>
      </c>
      <c r="AS361" s="169"/>
      <c r="AT361" s="169" t="s">
        <v>1417</v>
      </c>
      <c r="AU361" s="169" t="s">
        <v>1412</v>
      </c>
    </row>
    <row r="362" spans="1:47" x14ac:dyDescent="0.45">
      <c r="A362" s="169">
        <v>2613150096</v>
      </c>
      <c r="B362" s="169">
        <v>131</v>
      </c>
      <c r="C362" s="169" t="s">
        <v>1462</v>
      </c>
      <c r="D362" s="169">
        <v>130</v>
      </c>
      <c r="E362" s="169" t="s">
        <v>1402</v>
      </c>
      <c r="F362" s="169" t="s">
        <v>3511</v>
      </c>
      <c r="G362" s="169" t="s">
        <v>3512</v>
      </c>
      <c r="H362" s="169">
        <v>1</v>
      </c>
      <c r="I362" s="169" t="s">
        <v>3513</v>
      </c>
      <c r="J362" s="169" t="s">
        <v>1403</v>
      </c>
      <c r="K362" s="169">
        <v>2026</v>
      </c>
      <c r="L362" s="170">
        <v>2026</v>
      </c>
      <c r="M362" s="171">
        <v>46013</v>
      </c>
      <c r="N362" s="169" t="s">
        <v>36</v>
      </c>
      <c r="O362" s="169" t="s">
        <v>704</v>
      </c>
      <c r="P362" s="169">
        <v>968</v>
      </c>
      <c r="Q362" s="169" t="s">
        <v>1474</v>
      </c>
      <c r="R362" s="169">
        <v>2</v>
      </c>
      <c r="S362" s="169">
        <v>2</v>
      </c>
      <c r="T362" s="169" t="s">
        <v>1464</v>
      </c>
      <c r="U362" s="169">
        <v>1</v>
      </c>
      <c r="V362" s="170">
        <v>2622547</v>
      </c>
      <c r="W362" s="170">
        <v>0</v>
      </c>
      <c r="X362" s="170" t="s">
        <v>1406</v>
      </c>
      <c r="Y362" s="169"/>
      <c r="Z362" s="169" t="s">
        <v>1473</v>
      </c>
      <c r="AA362" s="171">
        <v>46031</v>
      </c>
      <c r="AB362" s="169">
        <v>26</v>
      </c>
      <c r="AC362" s="169">
        <v>22547</v>
      </c>
      <c r="AD362" s="169">
        <v>131</v>
      </c>
      <c r="AE362" s="169" t="s">
        <v>1462</v>
      </c>
      <c r="AF362" s="169">
        <v>130</v>
      </c>
      <c r="AG362" s="169" t="s">
        <v>1402</v>
      </c>
      <c r="AH362" s="169" t="s">
        <v>36</v>
      </c>
      <c r="AI362" s="169" t="s">
        <v>704</v>
      </c>
      <c r="AJ362" s="169">
        <v>968</v>
      </c>
      <c r="AK362" s="169" t="s">
        <v>1407</v>
      </c>
      <c r="AL362" s="169">
        <v>28169</v>
      </c>
      <c r="AM362" s="169" t="s">
        <v>1418</v>
      </c>
      <c r="AN362" s="169" t="s">
        <v>1547</v>
      </c>
      <c r="AO362" s="169">
        <v>28</v>
      </c>
      <c r="AP362" s="169" t="s">
        <v>1416</v>
      </c>
      <c r="AQ362" s="169">
        <v>0</v>
      </c>
      <c r="AR362" s="169" t="s">
        <v>1410</v>
      </c>
      <c r="AS362" s="169"/>
      <c r="AT362" s="169" t="s">
        <v>1417</v>
      </c>
      <c r="AU362" s="169" t="s">
        <v>1412</v>
      </c>
    </row>
    <row r="363" spans="1:47" x14ac:dyDescent="0.45">
      <c r="A363" s="169">
        <v>2613150097</v>
      </c>
      <c r="B363" s="169">
        <v>131</v>
      </c>
      <c r="C363" s="169" t="s">
        <v>1462</v>
      </c>
      <c r="D363" s="169">
        <v>130</v>
      </c>
      <c r="E363" s="169" t="s">
        <v>1402</v>
      </c>
      <c r="F363" s="169" t="s">
        <v>3484</v>
      </c>
      <c r="G363" s="169" t="s">
        <v>3485</v>
      </c>
      <c r="H363" s="169">
        <v>1</v>
      </c>
      <c r="I363" s="169" t="s">
        <v>3486</v>
      </c>
      <c r="J363" s="169" t="s">
        <v>1403</v>
      </c>
      <c r="K363" s="169">
        <v>0</v>
      </c>
      <c r="L363" s="170">
        <v>2026</v>
      </c>
      <c r="M363" s="171">
        <v>45961</v>
      </c>
      <c r="N363" s="169" t="s">
        <v>36</v>
      </c>
      <c r="O363" s="169" t="s">
        <v>704</v>
      </c>
      <c r="P363" s="169">
        <v>290</v>
      </c>
      <c r="Q363" s="169" t="s">
        <v>1496</v>
      </c>
      <c r="R363" s="169">
        <v>2</v>
      </c>
      <c r="S363" s="169">
        <v>2</v>
      </c>
      <c r="T363" s="169" t="s">
        <v>1464</v>
      </c>
      <c r="U363" s="169">
        <v>1</v>
      </c>
      <c r="V363" s="170">
        <v>0</v>
      </c>
      <c r="W363" s="170">
        <v>0</v>
      </c>
      <c r="X363" s="170" t="s">
        <v>1406</v>
      </c>
      <c r="Y363" s="169"/>
      <c r="Z363" s="169" t="s">
        <v>32</v>
      </c>
      <c r="AA363" s="169"/>
      <c r="AB363" s="169">
        <v>0</v>
      </c>
      <c r="AC363" s="169">
        <v>0</v>
      </c>
      <c r="AD363" s="169">
        <v>0</v>
      </c>
      <c r="AE363" s="169" t="s">
        <v>1446</v>
      </c>
      <c r="AF363" s="169"/>
      <c r="AG363" s="169" t="s">
        <v>1446</v>
      </c>
      <c r="AH363" s="169"/>
      <c r="AI363" s="169"/>
      <c r="AJ363" s="169">
        <v>0</v>
      </c>
      <c r="AK363" s="169" t="s">
        <v>1410</v>
      </c>
      <c r="AL363" s="169">
        <v>28088</v>
      </c>
      <c r="AM363" s="169" t="s">
        <v>1418</v>
      </c>
      <c r="AN363" s="169" t="s">
        <v>1497</v>
      </c>
      <c r="AO363" s="169">
        <v>28</v>
      </c>
      <c r="AP363" s="169" t="s">
        <v>1416</v>
      </c>
      <c r="AQ363" s="169">
        <v>0</v>
      </c>
      <c r="AR363" s="169" t="s">
        <v>1410</v>
      </c>
      <c r="AS363" s="169"/>
      <c r="AT363" s="169" t="s">
        <v>1411</v>
      </c>
      <c r="AU363" s="169" t="s">
        <v>1412</v>
      </c>
    </row>
    <row r="364" spans="1:47" x14ac:dyDescent="0.45">
      <c r="A364" s="169">
        <v>2613150098</v>
      </c>
      <c r="B364" s="169">
        <v>131</v>
      </c>
      <c r="C364" s="169" t="s">
        <v>1462</v>
      </c>
      <c r="D364" s="169">
        <v>130</v>
      </c>
      <c r="E364" s="169" t="s">
        <v>1402</v>
      </c>
      <c r="F364" s="169" t="s">
        <v>3422</v>
      </c>
      <c r="G364" s="169" t="s">
        <v>3423</v>
      </c>
      <c r="H364" s="169">
        <v>1</v>
      </c>
      <c r="I364" s="169" t="s">
        <v>582</v>
      </c>
      <c r="J364" s="169" t="s">
        <v>1403</v>
      </c>
      <c r="K364" s="169">
        <v>2026</v>
      </c>
      <c r="L364" s="170">
        <v>2026</v>
      </c>
      <c r="M364" s="171">
        <v>45936</v>
      </c>
      <c r="N364" s="169" t="s">
        <v>36</v>
      </c>
      <c r="O364" s="169" t="s">
        <v>704</v>
      </c>
      <c r="P364" s="169">
        <v>428</v>
      </c>
      <c r="Q364" s="169" t="s">
        <v>1463</v>
      </c>
      <c r="R364" s="169">
        <v>2</v>
      </c>
      <c r="S364" s="169">
        <v>2</v>
      </c>
      <c r="T364" s="169" t="s">
        <v>1464</v>
      </c>
      <c r="U364" s="169">
        <v>1</v>
      </c>
      <c r="V364" s="170">
        <v>0</v>
      </c>
      <c r="W364" s="170">
        <v>0</v>
      </c>
      <c r="X364" s="170" t="s">
        <v>1406</v>
      </c>
      <c r="Y364" s="171">
        <v>45988</v>
      </c>
      <c r="Z364" s="169" t="s">
        <v>32</v>
      </c>
      <c r="AA364" s="169"/>
      <c r="AB364" s="169">
        <v>0</v>
      </c>
      <c r="AC364" s="169">
        <v>0</v>
      </c>
      <c r="AD364" s="169">
        <v>0</v>
      </c>
      <c r="AE364" s="169" t="s">
        <v>1446</v>
      </c>
      <c r="AF364" s="169"/>
      <c r="AG364" s="169" t="s">
        <v>1446</v>
      </c>
      <c r="AH364" s="169"/>
      <c r="AI364" s="169"/>
      <c r="AJ364" s="169">
        <v>0</v>
      </c>
      <c r="AK364" s="169" t="s">
        <v>1473</v>
      </c>
      <c r="AL364" s="169">
        <v>26064</v>
      </c>
      <c r="AM364" s="169" t="s">
        <v>1421</v>
      </c>
      <c r="AN364" s="169" t="s">
        <v>2805</v>
      </c>
      <c r="AO364" s="169">
        <v>26</v>
      </c>
      <c r="AP364" s="169" t="s">
        <v>1514</v>
      </c>
      <c r="AQ364" s="169">
        <v>0</v>
      </c>
      <c r="AR364" s="169" t="s">
        <v>1410</v>
      </c>
      <c r="AS364" s="169"/>
      <c r="AT364" s="169" t="s">
        <v>1417</v>
      </c>
      <c r="AU364" s="169" t="s">
        <v>1412</v>
      </c>
    </row>
    <row r="365" spans="1:47" x14ac:dyDescent="0.45">
      <c r="A365" s="169">
        <v>2613150100</v>
      </c>
      <c r="B365" s="169">
        <v>131</v>
      </c>
      <c r="C365" s="169" t="s">
        <v>1462</v>
      </c>
      <c r="D365" s="169">
        <v>130</v>
      </c>
      <c r="E365" s="169" t="s">
        <v>1402</v>
      </c>
      <c r="F365" s="169" t="s">
        <v>3487</v>
      </c>
      <c r="G365" s="169" t="s">
        <v>3488</v>
      </c>
      <c r="H365" s="169">
        <v>2</v>
      </c>
      <c r="I365" s="169" t="s">
        <v>3489</v>
      </c>
      <c r="J365" s="169" t="s">
        <v>1403</v>
      </c>
      <c r="K365" s="169">
        <v>2026</v>
      </c>
      <c r="L365" s="170">
        <v>2026</v>
      </c>
      <c r="M365" s="171">
        <v>45961</v>
      </c>
      <c r="N365" s="169" t="s">
        <v>36</v>
      </c>
      <c r="O365" s="169" t="s">
        <v>741</v>
      </c>
      <c r="P365" s="169">
        <v>581</v>
      </c>
      <c r="Q365" s="169" t="s">
        <v>1489</v>
      </c>
      <c r="R365" s="169">
        <v>2</v>
      </c>
      <c r="S365" s="169">
        <v>10</v>
      </c>
      <c r="T365" s="169" t="s">
        <v>1490</v>
      </c>
      <c r="U365" s="169">
        <v>9</v>
      </c>
      <c r="V365" s="170">
        <v>2622531</v>
      </c>
      <c r="W365" s="170">
        <v>0</v>
      </c>
      <c r="X365" s="170" t="s">
        <v>1406</v>
      </c>
      <c r="Y365" s="169"/>
      <c r="Z365" s="169" t="s">
        <v>32</v>
      </c>
      <c r="AA365" s="171">
        <v>45981</v>
      </c>
      <c r="AB365" s="169">
        <v>26</v>
      </c>
      <c r="AC365" s="169">
        <v>22531</v>
      </c>
      <c r="AD365" s="169">
        <v>131</v>
      </c>
      <c r="AE365" s="169" t="s">
        <v>1462</v>
      </c>
      <c r="AF365" s="169">
        <v>130</v>
      </c>
      <c r="AG365" s="169" t="s">
        <v>1402</v>
      </c>
      <c r="AH365" s="169" t="s">
        <v>36</v>
      </c>
      <c r="AI365" s="169" t="s">
        <v>741</v>
      </c>
      <c r="AJ365" s="169">
        <v>581</v>
      </c>
      <c r="AK365" s="169" t="s">
        <v>1407</v>
      </c>
      <c r="AL365" s="169">
        <v>28232</v>
      </c>
      <c r="AM365" s="169" t="s">
        <v>1418</v>
      </c>
      <c r="AN365" s="169" t="s">
        <v>1548</v>
      </c>
      <c r="AO365" s="169">
        <v>28</v>
      </c>
      <c r="AP365" s="169" t="s">
        <v>1416</v>
      </c>
      <c r="AQ365" s="169">
        <v>0</v>
      </c>
      <c r="AR365" s="169" t="s">
        <v>1410</v>
      </c>
      <c r="AS365" s="169"/>
      <c r="AT365" s="169" t="s">
        <v>1417</v>
      </c>
      <c r="AU365" s="169" t="s">
        <v>1412</v>
      </c>
    </row>
    <row r="366" spans="1:47" x14ac:dyDescent="0.45">
      <c r="A366" s="169">
        <v>2613150101</v>
      </c>
      <c r="B366" s="169">
        <v>131</v>
      </c>
      <c r="C366" s="169" t="s">
        <v>1462</v>
      </c>
      <c r="D366" s="169">
        <v>130</v>
      </c>
      <c r="E366" s="169" t="s">
        <v>1402</v>
      </c>
      <c r="F366" s="169" t="s">
        <v>3424</v>
      </c>
      <c r="G366" s="169" t="s">
        <v>3425</v>
      </c>
      <c r="H366" s="169">
        <v>2</v>
      </c>
      <c r="I366" s="169" t="s">
        <v>500</v>
      </c>
      <c r="J366" s="169" t="s">
        <v>1403</v>
      </c>
      <c r="K366" s="169">
        <v>0</v>
      </c>
      <c r="L366" s="170">
        <v>2026</v>
      </c>
      <c r="M366" s="171">
        <v>45910</v>
      </c>
      <c r="N366" s="169" t="s">
        <v>36</v>
      </c>
      <c r="O366" s="169" t="s">
        <v>708</v>
      </c>
      <c r="P366" s="169">
        <v>121</v>
      </c>
      <c r="Q366" s="169" t="s">
        <v>1502</v>
      </c>
      <c r="R366" s="169">
        <v>2</v>
      </c>
      <c r="S366" s="169">
        <v>8</v>
      </c>
      <c r="T366" s="169" t="s">
        <v>1503</v>
      </c>
      <c r="U366" s="169">
        <v>6</v>
      </c>
      <c r="V366" s="170">
        <v>2622510</v>
      </c>
      <c r="W366" s="170">
        <v>0</v>
      </c>
      <c r="X366" s="170" t="s">
        <v>1406</v>
      </c>
      <c r="Y366" s="169"/>
      <c r="Z366" s="169" t="s">
        <v>32</v>
      </c>
      <c r="AA366" s="171">
        <v>45944</v>
      </c>
      <c r="AB366" s="169">
        <v>26</v>
      </c>
      <c r="AC366" s="169">
        <v>22510</v>
      </c>
      <c r="AD366" s="169">
        <v>131</v>
      </c>
      <c r="AE366" s="169" t="s">
        <v>1462</v>
      </c>
      <c r="AF366" s="169">
        <v>130</v>
      </c>
      <c r="AG366" s="169" t="s">
        <v>1402</v>
      </c>
      <c r="AH366" s="169" t="s">
        <v>36</v>
      </c>
      <c r="AI366" s="169" t="s">
        <v>708</v>
      </c>
      <c r="AJ366" s="169">
        <v>121</v>
      </c>
      <c r="AK366" s="169" t="s">
        <v>1407</v>
      </c>
      <c r="AL366" s="169">
        <v>99998</v>
      </c>
      <c r="AM366" s="169" t="s">
        <v>1408</v>
      </c>
      <c r="AN366" s="169" t="s">
        <v>2869</v>
      </c>
      <c r="AO366" s="169">
        <v>99</v>
      </c>
      <c r="AP366" s="169" t="s">
        <v>1409</v>
      </c>
      <c r="AQ366" s="169">
        <v>0</v>
      </c>
      <c r="AR366" s="169" t="s">
        <v>1410</v>
      </c>
      <c r="AS366" s="169"/>
      <c r="AT366" s="169" t="s">
        <v>1411</v>
      </c>
      <c r="AU366" s="169" t="s">
        <v>1412</v>
      </c>
    </row>
    <row r="367" spans="1:47" x14ac:dyDescent="0.45">
      <c r="A367" s="169">
        <v>2613150106</v>
      </c>
      <c r="B367" s="169">
        <v>131</v>
      </c>
      <c r="C367" s="169" t="s">
        <v>1462</v>
      </c>
      <c r="D367" s="169">
        <v>130</v>
      </c>
      <c r="E367" s="169" t="s">
        <v>1402</v>
      </c>
      <c r="F367" s="169" t="s">
        <v>3449</v>
      </c>
      <c r="G367" s="169" t="s">
        <v>3450</v>
      </c>
      <c r="H367" s="169">
        <v>2</v>
      </c>
      <c r="I367" s="169" t="s">
        <v>3451</v>
      </c>
      <c r="J367" s="169" t="s">
        <v>1403</v>
      </c>
      <c r="K367" s="169">
        <v>2026</v>
      </c>
      <c r="L367" s="170">
        <v>2026</v>
      </c>
      <c r="M367" s="171">
        <v>45951</v>
      </c>
      <c r="N367" s="169" t="s">
        <v>36</v>
      </c>
      <c r="O367" s="169" t="s">
        <v>704</v>
      </c>
      <c r="P367" s="169">
        <v>857</v>
      </c>
      <c r="Q367" s="169" t="s">
        <v>1481</v>
      </c>
      <c r="R367" s="169">
        <v>2</v>
      </c>
      <c r="S367" s="169">
        <v>2</v>
      </c>
      <c r="T367" s="169" t="s">
        <v>1464</v>
      </c>
      <c r="U367" s="169">
        <v>1</v>
      </c>
      <c r="V367" s="170">
        <v>0</v>
      </c>
      <c r="W367" s="170">
        <v>0</v>
      </c>
      <c r="X367" s="170" t="s">
        <v>1406</v>
      </c>
      <c r="Y367" s="171">
        <v>45979</v>
      </c>
      <c r="Z367" s="169" t="s">
        <v>32</v>
      </c>
      <c r="AA367" s="169"/>
      <c r="AB367" s="169">
        <v>0</v>
      </c>
      <c r="AC367" s="169">
        <v>0</v>
      </c>
      <c r="AD367" s="169">
        <v>0</v>
      </c>
      <c r="AE367" s="169" t="s">
        <v>1446</v>
      </c>
      <c r="AF367" s="169"/>
      <c r="AG367" s="169" t="s">
        <v>1446</v>
      </c>
      <c r="AH367" s="169"/>
      <c r="AI367" s="169"/>
      <c r="AJ367" s="169">
        <v>0</v>
      </c>
      <c r="AK367" s="169" t="s">
        <v>1473</v>
      </c>
      <c r="AL367" s="169">
        <v>28231</v>
      </c>
      <c r="AM367" s="169" t="s">
        <v>1418</v>
      </c>
      <c r="AN367" s="169" t="s">
        <v>1517</v>
      </c>
      <c r="AO367" s="169">
        <v>28</v>
      </c>
      <c r="AP367" s="169" t="s">
        <v>1416</v>
      </c>
      <c r="AQ367" s="169">
        <v>0</v>
      </c>
      <c r="AR367" s="169" t="s">
        <v>1410</v>
      </c>
      <c r="AS367" s="169"/>
      <c r="AT367" s="169" t="s">
        <v>1417</v>
      </c>
      <c r="AU367" s="169" t="s">
        <v>1412</v>
      </c>
    </row>
    <row r="368" spans="1:47" x14ac:dyDescent="0.45">
      <c r="A368" s="169">
        <v>2613150108</v>
      </c>
      <c r="B368" s="169">
        <v>131</v>
      </c>
      <c r="C368" s="169" t="s">
        <v>1462</v>
      </c>
      <c r="D368" s="169">
        <v>130</v>
      </c>
      <c r="E368" s="169" t="s">
        <v>1402</v>
      </c>
      <c r="F368" s="169" t="s">
        <v>3459</v>
      </c>
      <c r="G368" s="169" t="s">
        <v>3460</v>
      </c>
      <c r="H368" s="169">
        <v>1</v>
      </c>
      <c r="I368" s="169" t="s">
        <v>3461</v>
      </c>
      <c r="J368" s="169" t="s">
        <v>1403</v>
      </c>
      <c r="K368" s="169">
        <v>2026</v>
      </c>
      <c r="L368" s="170">
        <v>2026</v>
      </c>
      <c r="M368" s="171">
        <v>45957</v>
      </c>
      <c r="N368" s="169" t="s">
        <v>36</v>
      </c>
      <c r="O368" s="169" t="s">
        <v>704</v>
      </c>
      <c r="P368" s="169">
        <v>428</v>
      </c>
      <c r="Q368" s="169" t="s">
        <v>1463</v>
      </c>
      <c r="R368" s="169">
        <v>2</v>
      </c>
      <c r="S368" s="169">
        <v>2</v>
      </c>
      <c r="T368" s="169" t="s">
        <v>1464</v>
      </c>
      <c r="U368" s="169">
        <v>1</v>
      </c>
      <c r="V368" s="170">
        <v>2680091</v>
      </c>
      <c r="W368" s="170">
        <v>0</v>
      </c>
      <c r="X368" s="170" t="s">
        <v>1406</v>
      </c>
      <c r="Y368" s="169"/>
      <c r="Z368" s="169" t="s">
        <v>32</v>
      </c>
      <c r="AA368" s="171">
        <v>46010</v>
      </c>
      <c r="AB368" s="169">
        <v>26</v>
      </c>
      <c r="AC368" s="169">
        <v>80091</v>
      </c>
      <c r="AD368" s="169">
        <v>57</v>
      </c>
      <c r="AE368" s="169" t="s">
        <v>1551</v>
      </c>
      <c r="AF368" s="169">
        <v>57</v>
      </c>
      <c r="AG368" s="169" t="s">
        <v>1552</v>
      </c>
      <c r="AH368" s="169" t="s">
        <v>36</v>
      </c>
      <c r="AI368" s="169" t="s">
        <v>51</v>
      </c>
      <c r="AJ368" s="169">
        <v>428</v>
      </c>
      <c r="AK368" s="169" t="s">
        <v>1473</v>
      </c>
      <c r="AL368" s="169">
        <v>28118</v>
      </c>
      <c r="AM368" s="169" t="s">
        <v>1418</v>
      </c>
      <c r="AN368" s="169" t="s">
        <v>1634</v>
      </c>
      <c r="AO368" s="169">
        <v>28</v>
      </c>
      <c r="AP368" s="169" t="s">
        <v>1416</v>
      </c>
      <c r="AQ368" s="169">
        <v>0</v>
      </c>
      <c r="AR368" s="169" t="s">
        <v>1410</v>
      </c>
      <c r="AS368" s="169"/>
      <c r="AT368" s="169" t="s">
        <v>1417</v>
      </c>
      <c r="AU368" s="169" t="s">
        <v>1412</v>
      </c>
    </row>
    <row r="369" spans="1:47" x14ac:dyDescent="0.45">
      <c r="A369" s="169">
        <v>2613150109</v>
      </c>
      <c r="B369" s="169">
        <v>131</v>
      </c>
      <c r="C369" s="169" t="s">
        <v>1462</v>
      </c>
      <c r="D369" s="169">
        <v>130</v>
      </c>
      <c r="E369" s="169" t="s">
        <v>1402</v>
      </c>
      <c r="F369" s="169" t="s">
        <v>3426</v>
      </c>
      <c r="G369" s="169" t="s">
        <v>3427</v>
      </c>
      <c r="H369" s="169">
        <v>1</v>
      </c>
      <c r="I369" s="169" t="s">
        <v>3428</v>
      </c>
      <c r="J369" s="169" t="s">
        <v>1403</v>
      </c>
      <c r="K369" s="169">
        <v>2026</v>
      </c>
      <c r="L369" s="170">
        <v>2026</v>
      </c>
      <c r="M369" s="171">
        <v>45904</v>
      </c>
      <c r="N369" s="169" t="s">
        <v>36</v>
      </c>
      <c r="O369" s="169" t="s">
        <v>704</v>
      </c>
      <c r="P369" s="169">
        <v>428</v>
      </c>
      <c r="Q369" s="169" t="s">
        <v>1463</v>
      </c>
      <c r="R369" s="169">
        <v>2</v>
      </c>
      <c r="S369" s="169">
        <v>2</v>
      </c>
      <c r="T369" s="169" t="s">
        <v>1464</v>
      </c>
      <c r="U369" s="169">
        <v>1</v>
      </c>
      <c r="V369" s="170">
        <v>0</v>
      </c>
      <c r="W369" s="170">
        <v>0</v>
      </c>
      <c r="X369" s="170" t="s">
        <v>1406</v>
      </c>
      <c r="Y369" s="171">
        <v>45968</v>
      </c>
      <c r="Z369" s="169" t="s">
        <v>32</v>
      </c>
      <c r="AA369" s="169"/>
      <c r="AB369" s="169">
        <v>0</v>
      </c>
      <c r="AC369" s="169">
        <v>0</v>
      </c>
      <c r="AD369" s="169">
        <v>0</v>
      </c>
      <c r="AE369" s="169" t="s">
        <v>1446</v>
      </c>
      <c r="AF369" s="169"/>
      <c r="AG369" s="169" t="s">
        <v>1446</v>
      </c>
      <c r="AH369" s="169"/>
      <c r="AI369" s="169"/>
      <c r="AJ369" s="169">
        <v>0</v>
      </c>
      <c r="AK369" s="169" t="s">
        <v>1473</v>
      </c>
      <c r="AL369" s="169">
        <v>28124</v>
      </c>
      <c r="AM369" s="169" t="s">
        <v>1414</v>
      </c>
      <c r="AN369" s="169" t="s">
        <v>1483</v>
      </c>
      <c r="AO369" s="169">
        <v>28</v>
      </c>
      <c r="AP369" s="169" t="s">
        <v>1416</v>
      </c>
      <c r="AQ369" s="169">
        <v>0</v>
      </c>
      <c r="AR369" s="169" t="s">
        <v>1410</v>
      </c>
      <c r="AS369" s="169"/>
      <c r="AT369" s="169" t="s">
        <v>1417</v>
      </c>
      <c r="AU369" s="169" t="s">
        <v>1412</v>
      </c>
    </row>
    <row r="370" spans="1:47" x14ac:dyDescent="0.45">
      <c r="A370" s="169">
        <v>2613150111</v>
      </c>
      <c r="B370" s="169">
        <v>131</v>
      </c>
      <c r="C370" s="169" t="s">
        <v>1462</v>
      </c>
      <c r="D370" s="169">
        <v>130</v>
      </c>
      <c r="E370" s="169" t="s">
        <v>1402</v>
      </c>
      <c r="F370" s="169" t="s">
        <v>3429</v>
      </c>
      <c r="G370" s="169" t="s">
        <v>3430</v>
      </c>
      <c r="H370" s="169">
        <v>1</v>
      </c>
      <c r="I370" s="169" t="s">
        <v>3431</v>
      </c>
      <c r="J370" s="169" t="s">
        <v>1403</v>
      </c>
      <c r="K370" s="169">
        <v>2026</v>
      </c>
      <c r="L370" s="170">
        <v>2026</v>
      </c>
      <c r="M370" s="171">
        <v>45915</v>
      </c>
      <c r="N370" s="169" t="s">
        <v>36</v>
      </c>
      <c r="O370" s="169" t="s">
        <v>698</v>
      </c>
      <c r="P370" s="169">
        <v>628</v>
      </c>
      <c r="Q370" s="169" t="s">
        <v>1530</v>
      </c>
      <c r="R370" s="169">
        <v>2</v>
      </c>
      <c r="S370" s="169">
        <v>5</v>
      </c>
      <c r="T370" s="169" t="s">
        <v>1470</v>
      </c>
      <c r="U370" s="169">
        <v>15</v>
      </c>
      <c r="V370" s="170">
        <v>2622544</v>
      </c>
      <c r="W370" s="170">
        <v>0</v>
      </c>
      <c r="X370" s="170" t="s">
        <v>1406</v>
      </c>
      <c r="Y370" s="169"/>
      <c r="Z370" s="169" t="s">
        <v>32</v>
      </c>
      <c r="AA370" s="171">
        <v>46015</v>
      </c>
      <c r="AB370" s="169">
        <v>26</v>
      </c>
      <c r="AC370" s="169">
        <v>22544</v>
      </c>
      <c r="AD370" s="169">
        <v>131</v>
      </c>
      <c r="AE370" s="169" t="s">
        <v>1462</v>
      </c>
      <c r="AF370" s="169">
        <v>130</v>
      </c>
      <c r="AG370" s="169" t="s">
        <v>1402</v>
      </c>
      <c r="AH370" s="169" t="s">
        <v>36</v>
      </c>
      <c r="AI370" s="169" t="s">
        <v>698</v>
      </c>
      <c r="AJ370" s="169">
        <v>628</v>
      </c>
      <c r="AK370" s="169" t="s">
        <v>1407</v>
      </c>
      <c r="AL370" s="169">
        <v>29010</v>
      </c>
      <c r="AM370" s="169" t="s">
        <v>1421</v>
      </c>
      <c r="AN370" s="169" t="s">
        <v>3333</v>
      </c>
      <c r="AO370" s="169">
        <v>29</v>
      </c>
      <c r="AP370" s="169" t="s">
        <v>1589</v>
      </c>
      <c r="AQ370" s="169">
        <v>0</v>
      </c>
      <c r="AR370" s="169" t="s">
        <v>1410</v>
      </c>
      <c r="AS370" s="169"/>
      <c r="AT370" s="169" t="s">
        <v>1417</v>
      </c>
      <c r="AU370" s="169" t="s">
        <v>1412</v>
      </c>
    </row>
    <row r="371" spans="1:47" x14ac:dyDescent="0.45">
      <c r="A371" s="169">
        <v>2613150112</v>
      </c>
      <c r="B371" s="169">
        <v>131</v>
      </c>
      <c r="C371" s="169" t="s">
        <v>1462</v>
      </c>
      <c r="D371" s="169">
        <v>130</v>
      </c>
      <c r="E371" s="169" t="s">
        <v>1402</v>
      </c>
      <c r="F371" s="169" t="s">
        <v>3432</v>
      </c>
      <c r="G371" s="169" t="s">
        <v>3433</v>
      </c>
      <c r="H371" s="169">
        <v>1</v>
      </c>
      <c r="I371" s="169" t="s">
        <v>3431</v>
      </c>
      <c r="J371" s="169" t="s">
        <v>1403</v>
      </c>
      <c r="K371" s="169">
        <v>2026</v>
      </c>
      <c r="L371" s="170">
        <v>2026</v>
      </c>
      <c r="M371" s="171">
        <v>45929</v>
      </c>
      <c r="N371" s="169" t="s">
        <v>36</v>
      </c>
      <c r="O371" s="169" t="s">
        <v>793</v>
      </c>
      <c r="P371" s="169">
        <v>427</v>
      </c>
      <c r="Q371" s="169" t="s">
        <v>1479</v>
      </c>
      <c r="R371" s="169">
        <v>1</v>
      </c>
      <c r="S371" s="169">
        <v>2</v>
      </c>
      <c r="T371" s="169" t="s">
        <v>1464</v>
      </c>
      <c r="U371" s="169">
        <v>1</v>
      </c>
      <c r="V371" s="170">
        <v>0</v>
      </c>
      <c r="W371" s="170">
        <v>0</v>
      </c>
      <c r="X371" s="170" t="s">
        <v>1406</v>
      </c>
      <c r="Y371" s="171">
        <v>46029</v>
      </c>
      <c r="Z371" s="169" t="s">
        <v>32</v>
      </c>
      <c r="AA371" s="169"/>
      <c r="AB371" s="169">
        <v>0</v>
      </c>
      <c r="AC371" s="169">
        <v>0</v>
      </c>
      <c r="AD371" s="169">
        <v>0</v>
      </c>
      <c r="AE371" s="169" t="s">
        <v>1446</v>
      </c>
      <c r="AF371" s="169"/>
      <c r="AG371" s="169" t="s">
        <v>1446</v>
      </c>
      <c r="AH371" s="169"/>
      <c r="AI371" s="169"/>
      <c r="AJ371" s="169">
        <v>0</v>
      </c>
      <c r="AK371" s="169" t="s">
        <v>1473</v>
      </c>
      <c r="AL371" s="169">
        <v>29010</v>
      </c>
      <c r="AM371" s="169" t="s">
        <v>1421</v>
      </c>
      <c r="AN371" s="169" t="s">
        <v>3333</v>
      </c>
      <c r="AO371" s="169">
        <v>29</v>
      </c>
      <c r="AP371" s="169" t="s">
        <v>1589</v>
      </c>
      <c r="AQ371" s="169">
        <v>0</v>
      </c>
      <c r="AR371" s="169" t="s">
        <v>1410</v>
      </c>
      <c r="AS371" s="169"/>
      <c r="AT371" s="169" t="s">
        <v>1417</v>
      </c>
      <c r="AU371" s="169" t="s">
        <v>1412</v>
      </c>
    </row>
    <row r="372" spans="1:47" x14ac:dyDescent="0.45">
      <c r="A372" s="169">
        <v>2613150113</v>
      </c>
      <c r="B372" s="169">
        <v>131</v>
      </c>
      <c r="C372" s="169" t="s">
        <v>1462</v>
      </c>
      <c r="D372" s="169">
        <v>130</v>
      </c>
      <c r="E372" s="169" t="s">
        <v>1402</v>
      </c>
      <c r="F372" s="169" t="s">
        <v>3434</v>
      </c>
      <c r="G372" s="169" t="s">
        <v>3435</v>
      </c>
      <c r="H372" s="169">
        <v>1</v>
      </c>
      <c r="I372" s="169" t="s">
        <v>966</v>
      </c>
      <c r="J372" s="169" t="s">
        <v>1403</v>
      </c>
      <c r="K372" s="169">
        <v>2026</v>
      </c>
      <c r="L372" s="170">
        <v>2026</v>
      </c>
      <c r="M372" s="171">
        <v>45944</v>
      </c>
      <c r="N372" s="169" t="s">
        <v>36</v>
      </c>
      <c r="O372" s="169" t="s">
        <v>704</v>
      </c>
      <c r="P372" s="169">
        <v>428</v>
      </c>
      <c r="Q372" s="169" t="s">
        <v>1463</v>
      </c>
      <c r="R372" s="169">
        <v>2</v>
      </c>
      <c r="S372" s="169">
        <v>2</v>
      </c>
      <c r="T372" s="169" t="s">
        <v>1464</v>
      </c>
      <c r="U372" s="169">
        <v>1</v>
      </c>
      <c r="V372" s="170">
        <v>2622526</v>
      </c>
      <c r="W372" s="170">
        <v>0</v>
      </c>
      <c r="X372" s="170" t="s">
        <v>1406</v>
      </c>
      <c r="Y372" s="169"/>
      <c r="Z372" s="169" t="s">
        <v>32</v>
      </c>
      <c r="AA372" s="171">
        <v>45972</v>
      </c>
      <c r="AB372" s="169">
        <v>26</v>
      </c>
      <c r="AC372" s="169">
        <v>22526</v>
      </c>
      <c r="AD372" s="169">
        <v>131</v>
      </c>
      <c r="AE372" s="169" t="s">
        <v>1462</v>
      </c>
      <c r="AF372" s="169">
        <v>130</v>
      </c>
      <c r="AG372" s="169" t="s">
        <v>1402</v>
      </c>
      <c r="AH372" s="169" t="s">
        <v>36</v>
      </c>
      <c r="AI372" s="169" t="s">
        <v>704</v>
      </c>
      <c r="AJ372" s="169">
        <v>428</v>
      </c>
      <c r="AK372" s="169" t="s">
        <v>1407</v>
      </c>
      <c r="AL372" s="169">
        <v>38015</v>
      </c>
      <c r="AM372" s="169" t="s">
        <v>1421</v>
      </c>
      <c r="AN372" s="169" t="s">
        <v>2813</v>
      </c>
      <c r="AO372" s="169">
        <v>38</v>
      </c>
      <c r="AP372" s="169" t="s">
        <v>1596</v>
      </c>
      <c r="AQ372" s="169">
        <v>0</v>
      </c>
      <c r="AR372" s="169" t="s">
        <v>1410</v>
      </c>
      <c r="AS372" s="169"/>
      <c r="AT372" s="169" t="s">
        <v>1417</v>
      </c>
      <c r="AU372" s="169" t="s">
        <v>1412</v>
      </c>
    </row>
    <row r="373" spans="1:47" x14ac:dyDescent="0.45">
      <c r="A373" s="169">
        <v>2613150114</v>
      </c>
      <c r="B373" s="169">
        <v>131</v>
      </c>
      <c r="C373" s="169" t="s">
        <v>1462</v>
      </c>
      <c r="D373" s="169">
        <v>130</v>
      </c>
      <c r="E373" s="169" t="s">
        <v>1402</v>
      </c>
      <c r="F373" s="169" t="s">
        <v>3454</v>
      </c>
      <c r="G373" s="169" t="s">
        <v>3455</v>
      </c>
      <c r="H373" s="169">
        <v>2</v>
      </c>
      <c r="I373" s="169" t="s">
        <v>3456</v>
      </c>
      <c r="J373" s="169" t="s">
        <v>1403</v>
      </c>
      <c r="K373" s="169">
        <v>2026</v>
      </c>
      <c r="L373" s="170">
        <v>2026</v>
      </c>
      <c r="M373" s="171">
        <v>45953</v>
      </c>
      <c r="N373" s="169" t="s">
        <v>36</v>
      </c>
      <c r="O373" s="169" t="s">
        <v>793</v>
      </c>
      <c r="P373" s="169">
        <v>968</v>
      </c>
      <c r="Q373" s="169" t="s">
        <v>1474</v>
      </c>
      <c r="R373" s="169">
        <v>1</v>
      </c>
      <c r="S373" s="169">
        <v>2</v>
      </c>
      <c r="T373" s="169" t="s">
        <v>1464</v>
      </c>
      <c r="U373" s="169">
        <v>1</v>
      </c>
      <c r="V373" s="170">
        <v>0</v>
      </c>
      <c r="W373" s="170">
        <v>0</v>
      </c>
      <c r="X373" s="170" t="s">
        <v>1406</v>
      </c>
      <c r="Y373" s="171">
        <v>45960</v>
      </c>
      <c r="Z373" s="169" t="s">
        <v>32</v>
      </c>
      <c r="AA373" s="169"/>
      <c r="AB373" s="169">
        <v>0</v>
      </c>
      <c r="AC373" s="169">
        <v>0</v>
      </c>
      <c r="AD373" s="169">
        <v>0</v>
      </c>
      <c r="AE373" s="169" t="s">
        <v>1446</v>
      </c>
      <c r="AF373" s="169"/>
      <c r="AG373" s="169" t="s">
        <v>1446</v>
      </c>
      <c r="AH373" s="169"/>
      <c r="AI373" s="169"/>
      <c r="AJ373" s="169">
        <v>0</v>
      </c>
      <c r="AK373" s="169" t="s">
        <v>1473</v>
      </c>
      <c r="AL373" s="169">
        <v>28169</v>
      </c>
      <c r="AM373" s="169" t="s">
        <v>1418</v>
      </c>
      <c r="AN373" s="169" t="s">
        <v>1547</v>
      </c>
      <c r="AO373" s="169">
        <v>28</v>
      </c>
      <c r="AP373" s="169" t="s">
        <v>1416</v>
      </c>
      <c r="AQ373" s="169">
        <v>0</v>
      </c>
      <c r="AR373" s="169" t="s">
        <v>1410</v>
      </c>
      <c r="AS373" s="169"/>
      <c r="AT373" s="169" t="s">
        <v>1417</v>
      </c>
      <c r="AU373" s="169" t="s">
        <v>1412</v>
      </c>
    </row>
    <row r="374" spans="1:47" x14ac:dyDescent="0.45">
      <c r="A374" s="169">
        <v>2613150115</v>
      </c>
      <c r="B374" s="169">
        <v>131</v>
      </c>
      <c r="C374" s="169" t="s">
        <v>1462</v>
      </c>
      <c r="D374" s="169">
        <v>130</v>
      </c>
      <c r="E374" s="169" t="s">
        <v>1402</v>
      </c>
      <c r="F374" s="169" t="s">
        <v>3462</v>
      </c>
      <c r="G374" s="169" t="s">
        <v>3463</v>
      </c>
      <c r="H374" s="169">
        <v>1</v>
      </c>
      <c r="I374" s="169" t="s">
        <v>3464</v>
      </c>
      <c r="J374" s="169" t="s">
        <v>1403</v>
      </c>
      <c r="K374" s="169">
        <v>2026</v>
      </c>
      <c r="L374" s="170">
        <v>2026</v>
      </c>
      <c r="M374" s="171">
        <v>45957</v>
      </c>
      <c r="N374" s="169" t="s">
        <v>36</v>
      </c>
      <c r="O374" s="169" t="s">
        <v>704</v>
      </c>
      <c r="P374" s="169">
        <v>428</v>
      </c>
      <c r="Q374" s="169" t="s">
        <v>1463</v>
      </c>
      <c r="R374" s="169">
        <v>2</v>
      </c>
      <c r="S374" s="169">
        <v>2</v>
      </c>
      <c r="T374" s="169" t="s">
        <v>1464</v>
      </c>
      <c r="U374" s="169">
        <v>1</v>
      </c>
      <c r="V374" s="170">
        <v>2622530</v>
      </c>
      <c r="W374" s="170">
        <v>0</v>
      </c>
      <c r="X374" s="170" t="s">
        <v>1406</v>
      </c>
      <c r="Y374" s="169"/>
      <c r="Z374" s="169" t="s">
        <v>32</v>
      </c>
      <c r="AA374" s="171">
        <v>45979</v>
      </c>
      <c r="AB374" s="169">
        <v>26</v>
      </c>
      <c r="AC374" s="169">
        <v>22530</v>
      </c>
      <c r="AD374" s="169">
        <v>131</v>
      </c>
      <c r="AE374" s="169" t="s">
        <v>1462</v>
      </c>
      <c r="AF374" s="169">
        <v>130</v>
      </c>
      <c r="AG374" s="169" t="s">
        <v>1402</v>
      </c>
      <c r="AH374" s="169" t="s">
        <v>36</v>
      </c>
      <c r="AI374" s="169" t="s">
        <v>704</v>
      </c>
      <c r="AJ374" s="169">
        <v>428</v>
      </c>
      <c r="AK374" s="169" t="s">
        <v>1407</v>
      </c>
      <c r="AL374" s="169">
        <v>28178</v>
      </c>
      <c r="AM374" s="169" t="s">
        <v>1418</v>
      </c>
      <c r="AN374" s="169" t="s">
        <v>1507</v>
      </c>
      <c r="AO374" s="169">
        <v>28</v>
      </c>
      <c r="AP374" s="169" t="s">
        <v>1416</v>
      </c>
      <c r="AQ374" s="169">
        <v>0</v>
      </c>
      <c r="AR374" s="169" t="s">
        <v>1410</v>
      </c>
      <c r="AS374" s="169"/>
      <c r="AT374" s="169" t="s">
        <v>1417</v>
      </c>
      <c r="AU374" s="169" t="s">
        <v>1412</v>
      </c>
    </row>
    <row r="375" spans="1:47" x14ac:dyDescent="0.45">
      <c r="A375" s="169">
        <v>2613150116</v>
      </c>
      <c r="B375" s="169">
        <v>131</v>
      </c>
      <c r="C375" s="169" t="s">
        <v>1462</v>
      </c>
      <c r="D375" s="169">
        <v>130</v>
      </c>
      <c r="E375" s="169" t="s">
        <v>1402</v>
      </c>
      <c r="F375" s="169" t="s">
        <v>3465</v>
      </c>
      <c r="G375" s="169" t="s">
        <v>3466</v>
      </c>
      <c r="H375" s="169">
        <v>1</v>
      </c>
      <c r="I375" s="169" t="s">
        <v>3467</v>
      </c>
      <c r="J375" s="169" t="s">
        <v>1403</v>
      </c>
      <c r="K375" s="169">
        <v>2026</v>
      </c>
      <c r="L375" s="170">
        <v>2026</v>
      </c>
      <c r="M375" s="171">
        <v>45957</v>
      </c>
      <c r="N375" s="169" t="s">
        <v>36</v>
      </c>
      <c r="O375" s="169" t="s">
        <v>704</v>
      </c>
      <c r="P375" s="169">
        <v>428</v>
      </c>
      <c r="Q375" s="169" t="s">
        <v>1463</v>
      </c>
      <c r="R375" s="169">
        <v>2</v>
      </c>
      <c r="S375" s="169">
        <v>2</v>
      </c>
      <c r="T375" s="169" t="s">
        <v>1464</v>
      </c>
      <c r="U375" s="169">
        <v>1</v>
      </c>
      <c r="V375" s="170">
        <v>2622533</v>
      </c>
      <c r="W375" s="170">
        <v>0</v>
      </c>
      <c r="X375" s="170" t="s">
        <v>1406</v>
      </c>
      <c r="Y375" s="169"/>
      <c r="Z375" s="169" t="s">
        <v>32</v>
      </c>
      <c r="AA375" s="171">
        <v>45987</v>
      </c>
      <c r="AB375" s="169">
        <v>26</v>
      </c>
      <c r="AC375" s="169">
        <v>22533</v>
      </c>
      <c r="AD375" s="169">
        <v>131</v>
      </c>
      <c r="AE375" s="169" t="s">
        <v>1462</v>
      </c>
      <c r="AF375" s="169">
        <v>130</v>
      </c>
      <c r="AG375" s="169" t="s">
        <v>1402</v>
      </c>
      <c r="AH375" s="169" t="s">
        <v>36</v>
      </c>
      <c r="AI375" s="169" t="s">
        <v>704</v>
      </c>
      <c r="AJ375" s="169">
        <v>428</v>
      </c>
      <c r="AK375" s="169" t="s">
        <v>1407</v>
      </c>
      <c r="AL375" s="169">
        <v>28094</v>
      </c>
      <c r="AM375" s="169" t="s">
        <v>1421</v>
      </c>
      <c r="AN375" s="169" t="s">
        <v>1437</v>
      </c>
      <c r="AO375" s="169">
        <v>28</v>
      </c>
      <c r="AP375" s="169" t="s">
        <v>1416</v>
      </c>
      <c r="AQ375" s="169">
        <v>0</v>
      </c>
      <c r="AR375" s="169" t="s">
        <v>1410</v>
      </c>
      <c r="AS375" s="169"/>
      <c r="AT375" s="169" t="s">
        <v>1417</v>
      </c>
      <c r="AU375" s="169" t="s">
        <v>1412</v>
      </c>
    </row>
    <row r="376" spans="1:47" x14ac:dyDescent="0.45">
      <c r="A376" s="169">
        <v>2613150117</v>
      </c>
      <c r="B376" s="169">
        <v>131</v>
      </c>
      <c r="C376" s="169" t="s">
        <v>1462</v>
      </c>
      <c r="D376" s="169">
        <v>130</v>
      </c>
      <c r="E376" s="169" t="s">
        <v>1402</v>
      </c>
      <c r="F376" s="169" t="s">
        <v>3476</v>
      </c>
      <c r="G376" s="169" t="s">
        <v>3477</v>
      </c>
      <c r="H376" s="169">
        <v>1</v>
      </c>
      <c r="I376" s="169" t="s">
        <v>972</v>
      </c>
      <c r="J376" s="169" t="s">
        <v>1403</v>
      </c>
      <c r="K376" s="169">
        <v>2026</v>
      </c>
      <c r="L376" s="170">
        <v>2026</v>
      </c>
      <c r="M376" s="171">
        <v>45960</v>
      </c>
      <c r="N376" s="169" t="s">
        <v>36</v>
      </c>
      <c r="O376" s="169" t="s">
        <v>704</v>
      </c>
      <c r="P376" s="169">
        <v>428</v>
      </c>
      <c r="Q376" s="169" t="s">
        <v>1463</v>
      </c>
      <c r="R376" s="169">
        <v>2</v>
      </c>
      <c r="S376" s="169">
        <v>2</v>
      </c>
      <c r="T376" s="169" t="s">
        <v>1464</v>
      </c>
      <c r="U376" s="169">
        <v>1</v>
      </c>
      <c r="V376" s="170">
        <v>2622551</v>
      </c>
      <c r="W376" s="170">
        <v>0</v>
      </c>
      <c r="X376" s="170" t="s">
        <v>1406</v>
      </c>
      <c r="Y376" s="169"/>
      <c r="Z376" s="169" t="s">
        <v>32</v>
      </c>
      <c r="AA376" s="171">
        <v>46043</v>
      </c>
      <c r="AB376" s="169">
        <v>26</v>
      </c>
      <c r="AC376" s="169">
        <v>22551</v>
      </c>
      <c r="AD376" s="169">
        <v>131</v>
      </c>
      <c r="AE376" s="169" t="s">
        <v>1462</v>
      </c>
      <c r="AF376" s="169">
        <v>130</v>
      </c>
      <c r="AG376" s="169" t="s">
        <v>1402</v>
      </c>
      <c r="AH376" s="169" t="s">
        <v>36</v>
      </c>
      <c r="AI376" s="169" t="s">
        <v>704</v>
      </c>
      <c r="AJ376" s="169">
        <v>428</v>
      </c>
      <c r="AK376" s="169" t="s">
        <v>1407</v>
      </c>
      <c r="AL376" s="169">
        <v>28095</v>
      </c>
      <c r="AM376" s="169" t="s">
        <v>1421</v>
      </c>
      <c r="AN376" s="169" t="s">
        <v>1435</v>
      </c>
      <c r="AO376" s="169">
        <v>28</v>
      </c>
      <c r="AP376" s="169" t="s">
        <v>1416</v>
      </c>
      <c r="AQ376" s="169">
        <v>0</v>
      </c>
      <c r="AR376" s="169" t="s">
        <v>1410</v>
      </c>
      <c r="AS376" s="169"/>
      <c r="AT376" s="169" t="s">
        <v>1417</v>
      </c>
      <c r="AU376" s="169" t="s">
        <v>1412</v>
      </c>
    </row>
    <row r="377" spans="1:47" x14ac:dyDescent="0.45">
      <c r="A377" s="169">
        <v>2613150118</v>
      </c>
      <c r="B377" s="169">
        <v>131</v>
      </c>
      <c r="C377" s="169" t="s">
        <v>1462</v>
      </c>
      <c r="D377" s="169">
        <v>130</v>
      </c>
      <c r="E377" s="169" t="s">
        <v>1402</v>
      </c>
      <c r="F377" s="169" t="s">
        <v>3478</v>
      </c>
      <c r="G377" s="169" t="s">
        <v>3479</v>
      </c>
      <c r="H377" s="169">
        <v>1</v>
      </c>
      <c r="I377" s="169" t="s">
        <v>3480</v>
      </c>
      <c r="J377" s="169" t="s">
        <v>1403</v>
      </c>
      <c r="K377" s="169">
        <v>2026</v>
      </c>
      <c r="L377" s="170">
        <v>2026</v>
      </c>
      <c r="M377" s="171">
        <v>45960</v>
      </c>
      <c r="N377" s="169" t="s">
        <v>36</v>
      </c>
      <c r="O377" s="169" t="s">
        <v>704</v>
      </c>
      <c r="P377" s="169">
        <v>428</v>
      </c>
      <c r="Q377" s="169" t="s">
        <v>1463</v>
      </c>
      <c r="R377" s="169">
        <v>2</v>
      </c>
      <c r="S377" s="169">
        <v>2</v>
      </c>
      <c r="T377" s="169" t="s">
        <v>1464</v>
      </c>
      <c r="U377" s="169">
        <v>1</v>
      </c>
      <c r="V377" s="170">
        <v>2622529</v>
      </c>
      <c r="W377" s="170">
        <v>0</v>
      </c>
      <c r="X377" s="170" t="s">
        <v>1406</v>
      </c>
      <c r="Y377" s="169"/>
      <c r="Z377" s="169" t="s">
        <v>32</v>
      </c>
      <c r="AA377" s="171">
        <v>45979</v>
      </c>
      <c r="AB377" s="169">
        <v>26</v>
      </c>
      <c r="AC377" s="169">
        <v>22529</v>
      </c>
      <c r="AD377" s="169">
        <v>131</v>
      </c>
      <c r="AE377" s="169" t="s">
        <v>1462</v>
      </c>
      <c r="AF377" s="169">
        <v>130</v>
      </c>
      <c r="AG377" s="169" t="s">
        <v>1402</v>
      </c>
      <c r="AH377" s="169" t="s">
        <v>36</v>
      </c>
      <c r="AI377" s="169" t="s">
        <v>704</v>
      </c>
      <c r="AJ377" s="169">
        <v>428</v>
      </c>
      <c r="AK377" s="169" t="s">
        <v>1407</v>
      </c>
      <c r="AL377" s="169">
        <v>28095</v>
      </c>
      <c r="AM377" s="169" t="s">
        <v>1421</v>
      </c>
      <c r="AN377" s="169" t="s">
        <v>1435</v>
      </c>
      <c r="AO377" s="169">
        <v>28</v>
      </c>
      <c r="AP377" s="169" t="s">
        <v>1416</v>
      </c>
      <c r="AQ377" s="169">
        <v>0</v>
      </c>
      <c r="AR377" s="169" t="s">
        <v>1410</v>
      </c>
      <c r="AS377" s="169"/>
      <c r="AT377" s="169" t="s">
        <v>1417</v>
      </c>
      <c r="AU377" s="169" t="s">
        <v>1412</v>
      </c>
    </row>
    <row r="378" spans="1:47" x14ac:dyDescent="0.45">
      <c r="A378" s="169">
        <v>2613150119</v>
      </c>
      <c r="B378" s="169">
        <v>131</v>
      </c>
      <c r="C378" s="169" t="s">
        <v>1462</v>
      </c>
      <c r="D378" s="169">
        <v>130</v>
      </c>
      <c r="E378" s="169" t="s">
        <v>1402</v>
      </c>
      <c r="F378" s="169" t="s">
        <v>3436</v>
      </c>
      <c r="G378" s="169" t="s">
        <v>3437</v>
      </c>
      <c r="H378" s="169">
        <v>1</v>
      </c>
      <c r="I378" s="169" t="s">
        <v>3438</v>
      </c>
      <c r="J378" s="169" t="s">
        <v>3439</v>
      </c>
      <c r="K378" s="169">
        <v>2026</v>
      </c>
      <c r="L378" s="170">
        <v>2026</v>
      </c>
      <c r="M378" s="171">
        <v>45929</v>
      </c>
      <c r="N378" s="169" t="s">
        <v>36</v>
      </c>
      <c r="O378" s="169" t="s">
        <v>704</v>
      </c>
      <c r="P378" s="169">
        <v>290</v>
      </c>
      <c r="Q378" s="169" t="s">
        <v>1496</v>
      </c>
      <c r="R378" s="169">
        <v>2</v>
      </c>
      <c r="S378" s="169">
        <v>2</v>
      </c>
      <c r="T378" s="169" t="s">
        <v>1464</v>
      </c>
      <c r="U378" s="169">
        <v>1</v>
      </c>
      <c r="V378" s="170">
        <v>0</v>
      </c>
      <c r="W378" s="170">
        <v>0</v>
      </c>
      <c r="X378" s="170" t="s">
        <v>1406</v>
      </c>
      <c r="Y378" s="169"/>
      <c r="Z378" s="169" t="s">
        <v>32</v>
      </c>
      <c r="AA378" s="169"/>
      <c r="AB378" s="169">
        <v>0</v>
      </c>
      <c r="AC378" s="169">
        <v>0</v>
      </c>
      <c r="AD378" s="169">
        <v>0</v>
      </c>
      <c r="AE378" s="169" t="s">
        <v>1446</v>
      </c>
      <c r="AF378" s="169"/>
      <c r="AG378" s="169" t="s">
        <v>1446</v>
      </c>
      <c r="AH378" s="169"/>
      <c r="AI378" s="169"/>
      <c r="AJ378" s="169">
        <v>0</v>
      </c>
      <c r="AK378" s="169" t="s">
        <v>1410</v>
      </c>
      <c r="AL378" s="169">
        <v>1016</v>
      </c>
      <c r="AM378" s="169" t="s">
        <v>3440</v>
      </c>
      <c r="AN378" s="169" t="s">
        <v>3441</v>
      </c>
      <c r="AO378" s="169">
        <v>1</v>
      </c>
      <c r="AP378" s="169" t="s">
        <v>1443</v>
      </c>
      <c r="AQ378" s="169">
        <v>0</v>
      </c>
      <c r="AR378" s="169" t="s">
        <v>1410</v>
      </c>
      <c r="AS378" s="169"/>
      <c r="AT378" s="169" t="s">
        <v>1417</v>
      </c>
      <c r="AU378" s="169" t="s">
        <v>1412</v>
      </c>
    </row>
    <row r="379" spans="1:47" x14ac:dyDescent="0.45">
      <c r="A379" s="169">
        <v>2613150120</v>
      </c>
      <c r="B379" s="169">
        <v>131</v>
      </c>
      <c r="C379" s="169" t="s">
        <v>1462</v>
      </c>
      <c r="D379" s="169">
        <v>130</v>
      </c>
      <c r="E379" s="169" t="s">
        <v>1402</v>
      </c>
      <c r="F379" s="169" t="s">
        <v>3442</v>
      </c>
      <c r="G379" s="169" t="s">
        <v>3443</v>
      </c>
      <c r="H379" s="169">
        <v>2</v>
      </c>
      <c r="I379" s="169" t="s">
        <v>3444</v>
      </c>
      <c r="J379" s="169" t="s">
        <v>3445</v>
      </c>
      <c r="K379" s="169">
        <v>0</v>
      </c>
      <c r="L379" s="170">
        <v>2026</v>
      </c>
      <c r="M379" s="171">
        <v>45939</v>
      </c>
      <c r="N379" s="169" t="s">
        <v>36</v>
      </c>
      <c r="O379" s="169" t="s">
        <v>741</v>
      </c>
      <c r="P379" s="169">
        <v>581</v>
      </c>
      <c r="Q379" s="169" t="s">
        <v>1489</v>
      </c>
      <c r="R379" s="169">
        <v>2</v>
      </c>
      <c r="S379" s="169">
        <v>10</v>
      </c>
      <c r="T379" s="169" t="s">
        <v>1490</v>
      </c>
      <c r="U379" s="169">
        <v>9</v>
      </c>
      <c r="V379" s="170">
        <v>2622525</v>
      </c>
      <c r="W379" s="170">
        <v>0</v>
      </c>
      <c r="X379" s="170" t="s">
        <v>1406</v>
      </c>
      <c r="Y379" s="169"/>
      <c r="Z379" s="169" t="s">
        <v>32</v>
      </c>
      <c r="AA379" s="171">
        <v>45971</v>
      </c>
      <c r="AB379" s="169">
        <v>26</v>
      </c>
      <c r="AC379" s="169">
        <v>22525</v>
      </c>
      <c r="AD379" s="169">
        <v>131</v>
      </c>
      <c r="AE379" s="169" t="s">
        <v>1462</v>
      </c>
      <c r="AF379" s="169">
        <v>130</v>
      </c>
      <c r="AG379" s="169" t="s">
        <v>1402</v>
      </c>
      <c r="AH379" s="169" t="s">
        <v>36</v>
      </c>
      <c r="AI379" s="169" t="s">
        <v>741</v>
      </c>
      <c r="AJ379" s="169">
        <v>581</v>
      </c>
      <c r="AK379" s="169" t="s">
        <v>1407</v>
      </c>
      <c r="AL379" s="169">
        <v>0</v>
      </c>
      <c r="AM379" s="169" t="s">
        <v>1408</v>
      </c>
      <c r="AN379" s="169" t="s">
        <v>2800</v>
      </c>
      <c r="AO379" s="169">
        <v>0</v>
      </c>
      <c r="AP379" s="169"/>
      <c r="AQ379" s="169">
        <v>0</v>
      </c>
      <c r="AR379" s="169" t="s">
        <v>1410</v>
      </c>
      <c r="AS379" s="169"/>
      <c r="AT379" s="169" t="s">
        <v>1411</v>
      </c>
      <c r="AU379" s="169" t="s">
        <v>1412</v>
      </c>
    </row>
    <row r="380" spans="1:47" x14ac:dyDescent="0.45">
      <c r="A380" s="169">
        <v>2613150121</v>
      </c>
      <c r="B380" s="169">
        <v>131</v>
      </c>
      <c r="C380" s="169" t="s">
        <v>1462</v>
      </c>
      <c r="D380" s="169">
        <v>130</v>
      </c>
      <c r="E380" s="169" t="s">
        <v>1402</v>
      </c>
      <c r="F380" s="169" t="s">
        <v>3481</v>
      </c>
      <c r="G380" s="169" t="s">
        <v>3482</v>
      </c>
      <c r="H380" s="169">
        <v>1</v>
      </c>
      <c r="I380" s="169" t="s">
        <v>3483</v>
      </c>
      <c r="J380" s="169" t="s">
        <v>1403</v>
      </c>
      <c r="K380" s="169">
        <v>2026</v>
      </c>
      <c r="L380" s="170">
        <v>2026</v>
      </c>
      <c r="M380" s="171">
        <v>45960</v>
      </c>
      <c r="N380" s="169" t="s">
        <v>36</v>
      </c>
      <c r="O380" s="169" t="s">
        <v>704</v>
      </c>
      <c r="P380" s="169">
        <v>428</v>
      </c>
      <c r="Q380" s="169" t="s">
        <v>1463</v>
      </c>
      <c r="R380" s="169">
        <v>2</v>
      </c>
      <c r="S380" s="169">
        <v>2</v>
      </c>
      <c r="T380" s="169" t="s">
        <v>1464</v>
      </c>
      <c r="U380" s="169">
        <v>1</v>
      </c>
      <c r="V380" s="170">
        <v>0</v>
      </c>
      <c r="W380" s="170">
        <v>0</v>
      </c>
      <c r="X380" s="170" t="s">
        <v>1406</v>
      </c>
      <c r="Y380" s="169"/>
      <c r="Z380" s="169" t="s">
        <v>32</v>
      </c>
      <c r="AA380" s="169"/>
      <c r="AB380" s="169">
        <v>0</v>
      </c>
      <c r="AC380" s="169">
        <v>0</v>
      </c>
      <c r="AD380" s="169">
        <v>0</v>
      </c>
      <c r="AE380" s="169" t="s">
        <v>1446</v>
      </c>
      <c r="AF380" s="169"/>
      <c r="AG380" s="169" t="s">
        <v>1446</v>
      </c>
      <c r="AH380" s="169"/>
      <c r="AI380" s="169"/>
      <c r="AJ380" s="169">
        <v>0</v>
      </c>
      <c r="AK380" s="169" t="s">
        <v>1473</v>
      </c>
      <c r="AL380" s="169">
        <v>28129</v>
      </c>
      <c r="AM380" s="169" t="s">
        <v>1418</v>
      </c>
      <c r="AN380" s="169" t="s">
        <v>2914</v>
      </c>
      <c r="AO380" s="169">
        <v>28</v>
      </c>
      <c r="AP380" s="169" t="s">
        <v>1416</v>
      </c>
      <c r="AQ380" s="169">
        <v>0</v>
      </c>
      <c r="AR380" s="169" t="s">
        <v>1410</v>
      </c>
      <c r="AS380" s="169"/>
      <c r="AT380" s="169" t="s">
        <v>1417</v>
      </c>
      <c r="AU380" s="169" t="s">
        <v>1412</v>
      </c>
    </row>
    <row r="381" spans="1:47" x14ac:dyDescent="0.45">
      <c r="A381" s="169">
        <v>2613150122</v>
      </c>
      <c r="B381" s="169">
        <v>131</v>
      </c>
      <c r="C381" s="169" t="s">
        <v>1462</v>
      </c>
      <c r="D381" s="169">
        <v>130</v>
      </c>
      <c r="E381" s="169" t="s">
        <v>1402</v>
      </c>
      <c r="F381" s="169" t="s">
        <v>3490</v>
      </c>
      <c r="G381" s="169" t="s">
        <v>3491</v>
      </c>
      <c r="H381" s="169">
        <v>1</v>
      </c>
      <c r="I381" s="169" t="s">
        <v>3492</v>
      </c>
      <c r="J381" s="169" t="s">
        <v>1403</v>
      </c>
      <c r="K381" s="169">
        <v>0</v>
      </c>
      <c r="L381" s="170">
        <v>2026</v>
      </c>
      <c r="M381" s="171">
        <v>45961</v>
      </c>
      <c r="N381" s="169" t="s">
        <v>36</v>
      </c>
      <c r="O381" s="169" t="s">
        <v>793</v>
      </c>
      <c r="P381" s="169">
        <v>428</v>
      </c>
      <c r="Q381" s="169" t="s">
        <v>1463</v>
      </c>
      <c r="R381" s="169">
        <v>1</v>
      </c>
      <c r="S381" s="169">
        <v>2</v>
      </c>
      <c r="T381" s="169" t="s">
        <v>1464</v>
      </c>
      <c r="U381" s="169">
        <v>1</v>
      </c>
      <c r="V381" s="170">
        <v>2622537</v>
      </c>
      <c r="W381" s="170">
        <v>0</v>
      </c>
      <c r="X381" s="170" t="s">
        <v>1406</v>
      </c>
      <c r="Y381" s="169"/>
      <c r="Z381" s="169" t="s">
        <v>32</v>
      </c>
      <c r="AA381" s="171">
        <v>46002</v>
      </c>
      <c r="AB381" s="169">
        <v>26</v>
      </c>
      <c r="AC381" s="169">
        <v>22537</v>
      </c>
      <c r="AD381" s="169">
        <v>131</v>
      </c>
      <c r="AE381" s="169" t="s">
        <v>1462</v>
      </c>
      <c r="AF381" s="169">
        <v>130</v>
      </c>
      <c r="AG381" s="169" t="s">
        <v>1402</v>
      </c>
      <c r="AH381" s="169" t="s">
        <v>36</v>
      </c>
      <c r="AI381" s="169" t="s">
        <v>793</v>
      </c>
      <c r="AJ381" s="169">
        <v>56</v>
      </c>
      <c r="AK381" s="169" t="s">
        <v>1407</v>
      </c>
      <c r="AL381" s="169">
        <v>28180</v>
      </c>
      <c r="AM381" s="169" t="s">
        <v>1418</v>
      </c>
      <c r="AN381" s="169" t="s">
        <v>3033</v>
      </c>
      <c r="AO381" s="169">
        <v>28</v>
      </c>
      <c r="AP381" s="169" t="s">
        <v>1416</v>
      </c>
      <c r="AQ381" s="169">
        <v>0</v>
      </c>
      <c r="AR381" s="169" t="s">
        <v>1410</v>
      </c>
      <c r="AS381" s="169"/>
      <c r="AT381" s="169" t="s">
        <v>1411</v>
      </c>
      <c r="AU381" s="169" t="s">
        <v>1412</v>
      </c>
    </row>
    <row r="382" spans="1:47" x14ac:dyDescent="0.45">
      <c r="A382" s="154"/>
      <c r="L382" s="155"/>
      <c r="M382" s="156"/>
      <c r="V382" s="155"/>
      <c r="W382" s="155"/>
      <c r="X382" s="155"/>
      <c r="AA382" s="156"/>
    </row>
    <row r="383" spans="1:47" x14ac:dyDescent="0.45">
      <c r="A383" s="154"/>
      <c r="L383" s="155"/>
      <c r="M383" s="156"/>
      <c r="V383" s="155"/>
      <c r="W383" s="155"/>
      <c r="X383" s="155"/>
      <c r="AA383" s="156"/>
    </row>
    <row r="384" spans="1:47" x14ac:dyDescent="0.45">
      <c r="A384" s="154"/>
      <c r="L384" s="155"/>
      <c r="M384" s="156"/>
      <c r="V384" s="155"/>
      <c r="W384" s="155"/>
      <c r="X384" s="155"/>
      <c r="AA384" s="156"/>
    </row>
    <row r="385" spans="1:27" x14ac:dyDescent="0.45">
      <c r="A385" s="154"/>
      <c r="L385" s="155"/>
      <c r="M385" s="156"/>
      <c r="V385" s="155"/>
      <c r="W385" s="155"/>
      <c r="X385" s="155"/>
      <c r="AA385" s="156"/>
    </row>
    <row r="386" spans="1:27" x14ac:dyDescent="0.45">
      <c r="A386" s="154"/>
      <c r="L386" s="155"/>
      <c r="M386" s="156"/>
      <c r="V386" s="155"/>
      <c r="W386" s="155"/>
      <c r="X386" s="155"/>
      <c r="AA386" s="156"/>
    </row>
    <row r="387" spans="1:27" x14ac:dyDescent="0.45">
      <c r="A387" s="154"/>
      <c r="L387" s="155"/>
      <c r="M387" s="156"/>
      <c r="V387" s="155"/>
      <c r="W387" s="155"/>
      <c r="X387" s="155"/>
      <c r="AA387" s="156"/>
    </row>
    <row r="388" spans="1:27" x14ac:dyDescent="0.45">
      <c r="A388" s="154"/>
      <c r="L388" s="155"/>
      <c r="M388" s="156"/>
      <c r="V388" s="155"/>
      <c r="W388" s="155"/>
      <c r="X388" s="155"/>
      <c r="AA388" s="156"/>
    </row>
    <row r="389" spans="1:27" x14ac:dyDescent="0.45">
      <c r="A389" s="154"/>
      <c r="L389" s="155"/>
      <c r="M389" s="156"/>
      <c r="V389" s="155"/>
      <c r="W389" s="155"/>
      <c r="X389" s="155"/>
      <c r="AA389" s="156"/>
    </row>
    <row r="390" spans="1:27" x14ac:dyDescent="0.45">
      <c r="A390" s="154"/>
      <c r="L390" s="155"/>
      <c r="M390" s="156"/>
      <c r="V390" s="155"/>
      <c r="W390" s="155"/>
      <c r="X390" s="155"/>
      <c r="AA390" s="156"/>
    </row>
    <row r="391" spans="1:27" x14ac:dyDescent="0.45">
      <c r="A391" s="154"/>
      <c r="L391" s="155"/>
      <c r="M391" s="156"/>
      <c r="V391" s="155"/>
      <c r="W391" s="155"/>
      <c r="X391" s="155"/>
      <c r="AA391" s="156"/>
    </row>
    <row r="392" spans="1:27" x14ac:dyDescent="0.45">
      <c r="A392" s="154"/>
      <c r="L392" s="155"/>
      <c r="M392" s="156"/>
      <c r="V392" s="155"/>
      <c r="W392" s="155"/>
      <c r="X392" s="155"/>
      <c r="AA392" s="156"/>
    </row>
    <row r="393" spans="1:27" x14ac:dyDescent="0.45">
      <c r="A393" s="154"/>
      <c r="L393" s="155"/>
      <c r="M393" s="156"/>
      <c r="V393" s="155"/>
      <c r="W393" s="155"/>
      <c r="X393" s="155"/>
      <c r="AA393" s="156"/>
    </row>
    <row r="394" spans="1:27" x14ac:dyDescent="0.45">
      <c r="A394" s="154"/>
      <c r="L394" s="155"/>
      <c r="M394" s="156"/>
      <c r="V394" s="155"/>
      <c r="W394" s="155"/>
      <c r="X394" s="155"/>
      <c r="Y394" s="156"/>
      <c r="AA394" s="154"/>
    </row>
    <row r="395" spans="1:27" x14ac:dyDescent="0.45">
      <c r="A395" s="154"/>
      <c r="L395" s="155"/>
      <c r="M395" s="156"/>
      <c r="V395" s="155"/>
      <c r="W395" s="155"/>
      <c r="X395" s="155"/>
      <c r="AA395" s="156"/>
    </row>
    <row r="396" spans="1:27" x14ac:dyDescent="0.45">
      <c r="A396" s="154"/>
      <c r="L396" s="155"/>
      <c r="M396" s="156"/>
      <c r="V396" s="155"/>
      <c r="W396" s="155"/>
      <c r="X396" s="155"/>
      <c r="Y396" s="156"/>
      <c r="AA396" s="154"/>
    </row>
    <row r="397" spans="1:27" x14ac:dyDescent="0.45">
      <c r="A397" s="154"/>
      <c r="L397" s="155"/>
      <c r="M397" s="156"/>
      <c r="V397" s="155"/>
      <c r="W397" s="155"/>
      <c r="X397" s="155"/>
      <c r="Y397" s="156"/>
      <c r="AA397" s="154"/>
    </row>
    <row r="398" spans="1:27" x14ac:dyDescent="0.45">
      <c r="A398" s="154"/>
      <c r="L398" s="155"/>
      <c r="M398" s="156"/>
      <c r="V398" s="155"/>
      <c r="W398" s="155"/>
      <c r="X398" s="155"/>
      <c r="AA398" s="156"/>
    </row>
    <row r="399" spans="1:27" x14ac:dyDescent="0.45">
      <c r="A399" s="154"/>
      <c r="L399" s="155"/>
      <c r="M399" s="156"/>
      <c r="V399" s="155"/>
      <c r="W399" s="155"/>
      <c r="X399" s="155"/>
      <c r="AA399" s="156"/>
    </row>
    <row r="400" spans="1:27" x14ac:dyDescent="0.45">
      <c r="A400" s="154"/>
      <c r="L400" s="155"/>
      <c r="M400" s="156"/>
      <c r="V400" s="155"/>
      <c r="W400" s="155"/>
      <c r="X400" s="155"/>
      <c r="AA400" s="156"/>
    </row>
    <row r="401" spans="1:27" x14ac:dyDescent="0.45">
      <c r="A401" s="154"/>
      <c r="L401" s="155"/>
      <c r="M401" s="156"/>
      <c r="V401" s="155"/>
      <c r="W401" s="155"/>
      <c r="X401" s="155"/>
      <c r="AA401" s="156"/>
    </row>
    <row r="402" spans="1:27" x14ac:dyDescent="0.45">
      <c r="A402" s="154"/>
      <c r="L402" s="155"/>
      <c r="M402" s="156"/>
      <c r="V402" s="155"/>
      <c r="W402" s="155"/>
      <c r="X402" s="155"/>
      <c r="AA402" s="156"/>
    </row>
    <row r="403" spans="1:27" x14ac:dyDescent="0.45">
      <c r="A403" s="154"/>
      <c r="L403" s="155"/>
      <c r="M403" s="156"/>
      <c r="V403" s="155"/>
      <c r="W403" s="155"/>
      <c r="X403" s="155"/>
      <c r="Y403" s="156"/>
      <c r="AA403" s="154"/>
    </row>
    <row r="404" spans="1:27" x14ac:dyDescent="0.45">
      <c r="A404" s="154"/>
      <c r="L404" s="155"/>
      <c r="M404" s="156"/>
      <c r="V404" s="155"/>
      <c r="W404" s="155"/>
      <c r="X404" s="155"/>
      <c r="AA404" s="156"/>
    </row>
    <row r="405" spans="1:27" x14ac:dyDescent="0.45">
      <c r="A405" s="154"/>
      <c r="L405" s="155"/>
      <c r="M405" s="156"/>
      <c r="V405" s="155"/>
      <c r="W405" s="155"/>
      <c r="X405" s="155"/>
      <c r="AA405" s="156"/>
    </row>
    <row r="406" spans="1:27" x14ac:dyDescent="0.45">
      <c r="A406" s="154"/>
      <c r="L406" s="155"/>
      <c r="M406" s="156"/>
      <c r="V406" s="155"/>
      <c r="W406" s="155"/>
      <c r="X406" s="155"/>
      <c r="AA406" s="156"/>
    </row>
    <row r="407" spans="1:27" x14ac:dyDescent="0.45">
      <c r="A407" s="154"/>
      <c r="L407" s="155"/>
      <c r="M407" s="156"/>
      <c r="V407" s="155"/>
      <c r="W407" s="155"/>
      <c r="X407" s="155"/>
      <c r="AA407" s="156"/>
    </row>
    <row r="408" spans="1:27" x14ac:dyDescent="0.45">
      <c r="A408" s="154"/>
      <c r="L408" s="155"/>
      <c r="M408" s="156"/>
      <c r="V408" s="155"/>
      <c r="W408" s="155"/>
      <c r="X408" s="155"/>
      <c r="AA408" s="156"/>
    </row>
    <row r="409" spans="1:27" x14ac:dyDescent="0.45">
      <c r="A409" s="154"/>
      <c r="L409" s="155"/>
      <c r="M409" s="156"/>
      <c r="V409" s="155"/>
      <c r="W409" s="155"/>
      <c r="X409" s="155"/>
      <c r="AA409" s="156"/>
    </row>
    <row r="410" spans="1:27" x14ac:dyDescent="0.45">
      <c r="A410" s="154"/>
      <c r="L410" s="155"/>
      <c r="M410" s="156"/>
      <c r="V410" s="155"/>
      <c r="W410" s="155"/>
      <c r="X410" s="155"/>
      <c r="AA410" s="156"/>
    </row>
  </sheetData>
  <autoFilter ref="A1:AU1" xr:uid="{9FFB12A6-7A84-48D4-BE33-3BB590616139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2234-4A27-46A6-9804-1BC09A6CC4A8}">
  <dimension ref="A1:AU498"/>
  <sheetViews>
    <sheetView topLeftCell="K4" workbookViewId="0">
      <selection activeCell="P8" sqref="P8"/>
    </sheetView>
  </sheetViews>
  <sheetFormatPr defaultColWidth="8.59765625" defaultRowHeight="18" x14ac:dyDescent="0.45"/>
  <cols>
    <col min="1" max="1" width="16.09765625" style="169" customWidth="1"/>
    <col min="2" max="5" width="8.59765625" style="169"/>
    <col min="6" max="6" width="12.19921875" style="169" customWidth="1"/>
    <col min="7" max="7" width="11.5" style="169" customWidth="1"/>
    <col min="8" max="12" width="8.59765625" style="169"/>
    <col min="13" max="13" width="12.09765625" style="4" customWidth="1"/>
    <col min="14" max="26" width="8.59765625" style="169"/>
    <col min="27" max="27" width="11.09765625" style="46" bestFit="1" customWidth="1"/>
    <col min="28" max="16384" width="8.59765625" style="169"/>
  </cols>
  <sheetData>
    <row r="1" spans="1:47" x14ac:dyDescent="0.45">
      <c r="A1" s="169" t="s">
        <v>16</v>
      </c>
      <c r="B1" s="169" t="s">
        <v>1366</v>
      </c>
      <c r="C1" s="169" t="s">
        <v>1367</v>
      </c>
      <c r="D1" s="169" t="s">
        <v>1368</v>
      </c>
      <c r="E1" s="169" t="s">
        <v>1369</v>
      </c>
      <c r="F1" s="169" t="s">
        <v>17</v>
      </c>
      <c r="G1" s="169" t="s">
        <v>18</v>
      </c>
      <c r="H1" s="169" t="s">
        <v>1370</v>
      </c>
      <c r="I1" s="169" t="s">
        <v>19</v>
      </c>
      <c r="J1" s="169" t="s">
        <v>22</v>
      </c>
      <c r="K1" s="169" t="s">
        <v>1371</v>
      </c>
      <c r="L1" s="169" t="s">
        <v>1372</v>
      </c>
      <c r="M1" s="43" t="s">
        <v>1373</v>
      </c>
      <c r="N1" s="169" t="s">
        <v>1374</v>
      </c>
      <c r="O1" s="169" t="s">
        <v>1375</v>
      </c>
      <c r="P1" s="169" t="s">
        <v>1376</v>
      </c>
      <c r="Q1" s="169" t="s">
        <v>1377</v>
      </c>
      <c r="R1" s="169" t="s">
        <v>23</v>
      </c>
      <c r="S1" s="169" t="s">
        <v>8</v>
      </c>
      <c r="T1" s="169" t="s">
        <v>9</v>
      </c>
      <c r="U1" s="169" t="s">
        <v>1378</v>
      </c>
      <c r="V1" s="169" t="s">
        <v>1379</v>
      </c>
      <c r="W1" s="169" t="s">
        <v>1380</v>
      </c>
      <c r="X1" s="169" t="s">
        <v>1381</v>
      </c>
      <c r="Y1" s="171" t="s">
        <v>1382</v>
      </c>
      <c r="Z1" s="169" t="s">
        <v>15</v>
      </c>
      <c r="AA1" s="45" t="s">
        <v>1383</v>
      </c>
      <c r="AB1" s="169" t="s">
        <v>1384</v>
      </c>
      <c r="AC1" s="169" t="s">
        <v>1385</v>
      </c>
      <c r="AD1" s="169" t="s">
        <v>1386</v>
      </c>
      <c r="AE1" s="169" t="s">
        <v>1387</v>
      </c>
      <c r="AF1" s="169" t="s">
        <v>1388</v>
      </c>
      <c r="AG1" s="169" t="s">
        <v>1389</v>
      </c>
      <c r="AH1" s="169" t="s">
        <v>1390</v>
      </c>
      <c r="AI1" s="169" t="s">
        <v>1391</v>
      </c>
      <c r="AJ1" s="169" t="s">
        <v>1392</v>
      </c>
      <c r="AK1" s="169" t="s">
        <v>1393</v>
      </c>
      <c r="AL1" s="169" t="s">
        <v>10</v>
      </c>
      <c r="AM1" s="169" t="s">
        <v>1394</v>
      </c>
      <c r="AN1" s="169" t="s">
        <v>12</v>
      </c>
      <c r="AO1" s="169" t="s">
        <v>1395</v>
      </c>
      <c r="AP1" s="169" t="s">
        <v>11</v>
      </c>
      <c r="AQ1" s="169" t="s">
        <v>1396</v>
      </c>
      <c r="AR1" s="169" t="s">
        <v>1397</v>
      </c>
      <c r="AS1" s="169" t="s">
        <v>1398</v>
      </c>
      <c r="AT1" s="169" t="s">
        <v>1399</v>
      </c>
      <c r="AU1" s="169" t="s">
        <v>1400</v>
      </c>
    </row>
    <row r="2" spans="1:47" x14ac:dyDescent="0.45">
      <c r="A2" s="169">
        <v>2713150128</v>
      </c>
      <c r="B2" s="169">
        <v>57</v>
      </c>
      <c r="C2" s="169" t="s">
        <v>1551</v>
      </c>
      <c r="D2" s="169">
        <v>57</v>
      </c>
      <c r="E2" s="169" t="s">
        <v>1552</v>
      </c>
      <c r="F2" s="169" t="s">
        <v>4239</v>
      </c>
      <c r="G2" s="169" t="s">
        <v>4240</v>
      </c>
      <c r="H2" s="169">
        <v>1</v>
      </c>
      <c r="I2" s="169" t="s">
        <v>2925</v>
      </c>
      <c r="J2" s="169" t="s">
        <v>1403</v>
      </c>
      <c r="K2" s="169">
        <v>0</v>
      </c>
      <c r="L2" s="169">
        <v>2027</v>
      </c>
      <c r="M2" s="171">
        <v>46302</v>
      </c>
      <c r="N2" s="169" t="s">
        <v>36</v>
      </c>
      <c r="O2" s="169" t="s">
        <v>135</v>
      </c>
      <c r="P2" s="169">
        <v>502</v>
      </c>
      <c r="Q2" s="169" t="s">
        <v>1500</v>
      </c>
      <c r="R2" s="169">
        <v>2</v>
      </c>
      <c r="S2" s="169">
        <v>5</v>
      </c>
      <c r="T2" s="169" t="s">
        <v>1470</v>
      </c>
      <c r="U2" s="169">
        <v>15</v>
      </c>
      <c r="V2" s="169">
        <v>0</v>
      </c>
      <c r="W2" s="169">
        <v>0</v>
      </c>
      <c r="X2" s="169" t="s">
        <v>1406</v>
      </c>
      <c r="Z2" s="169" t="s">
        <v>32</v>
      </c>
      <c r="AA2" s="169"/>
      <c r="AB2" s="169">
        <v>0</v>
      </c>
      <c r="AC2" s="169">
        <v>0</v>
      </c>
      <c r="AD2" s="169">
        <v>0</v>
      </c>
      <c r="AE2" s="169" t="s">
        <v>1446</v>
      </c>
      <c r="AG2" s="169" t="s">
        <v>1446</v>
      </c>
      <c r="AJ2" s="169">
        <v>0</v>
      </c>
      <c r="AK2" s="169" t="s">
        <v>1407</v>
      </c>
      <c r="AL2" s="169">
        <v>28124</v>
      </c>
      <c r="AM2" s="169" t="s">
        <v>1414</v>
      </c>
      <c r="AN2" s="169" t="s">
        <v>1483</v>
      </c>
      <c r="AO2" s="169">
        <v>28</v>
      </c>
      <c r="AP2" s="169" t="s">
        <v>1416</v>
      </c>
      <c r="AQ2" s="169">
        <v>0</v>
      </c>
      <c r="AR2" s="169" t="s">
        <v>1410</v>
      </c>
      <c r="AT2" s="169" t="s">
        <v>1411</v>
      </c>
      <c r="AU2" s="169" t="s">
        <v>1412</v>
      </c>
    </row>
    <row r="3" spans="1:47" x14ac:dyDescent="0.45">
      <c r="A3" s="169">
        <v>2705700002</v>
      </c>
      <c r="B3" s="169">
        <v>57</v>
      </c>
      <c r="C3" s="169" t="s">
        <v>1551</v>
      </c>
      <c r="D3" s="169">
        <v>57</v>
      </c>
      <c r="E3" s="169" t="s">
        <v>1552</v>
      </c>
      <c r="F3" s="169" t="s">
        <v>4241</v>
      </c>
      <c r="G3" s="169" t="s">
        <v>4242</v>
      </c>
      <c r="H3" s="169">
        <v>2</v>
      </c>
      <c r="I3" s="169" t="s">
        <v>4243</v>
      </c>
      <c r="J3" s="169" t="s">
        <v>3445</v>
      </c>
      <c r="K3" s="169">
        <v>0</v>
      </c>
      <c r="L3" s="169">
        <v>2027</v>
      </c>
      <c r="M3" s="171">
        <v>46304</v>
      </c>
      <c r="N3" s="169" t="s">
        <v>36</v>
      </c>
      <c r="O3" s="169">
        <v>6</v>
      </c>
      <c r="P3" s="169">
        <v>488</v>
      </c>
      <c r="Q3" s="169" t="s">
        <v>1553</v>
      </c>
      <c r="R3" s="169">
        <v>2</v>
      </c>
      <c r="S3" s="169">
        <v>1</v>
      </c>
      <c r="T3" s="169" t="s">
        <v>1527</v>
      </c>
      <c r="U3" s="169">
        <v>3</v>
      </c>
      <c r="V3" s="169">
        <v>0</v>
      </c>
      <c r="W3" s="169">
        <v>0</v>
      </c>
      <c r="X3" s="169" t="s">
        <v>1406</v>
      </c>
      <c r="Z3" s="169" t="s">
        <v>3519</v>
      </c>
      <c r="AA3" s="169"/>
      <c r="AB3" s="169">
        <v>0</v>
      </c>
      <c r="AC3" s="169">
        <v>0</v>
      </c>
      <c r="AD3" s="169">
        <v>0</v>
      </c>
      <c r="AE3" s="169" t="s">
        <v>1446</v>
      </c>
      <c r="AG3" s="169" t="s">
        <v>1446</v>
      </c>
      <c r="AJ3" s="169">
        <v>0</v>
      </c>
      <c r="AK3" s="169" t="s">
        <v>1407</v>
      </c>
      <c r="AL3" s="169">
        <v>19010</v>
      </c>
      <c r="AM3" s="169" t="s">
        <v>1421</v>
      </c>
      <c r="AN3" s="169" t="s">
        <v>4244</v>
      </c>
      <c r="AO3" s="169">
        <v>19</v>
      </c>
      <c r="AP3" s="169" t="s">
        <v>2802</v>
      </c>
      <c r="AQ3" s="169">
        <v>0</v>
      </c>
      <c r="AR3" s="169" t="s">
        <v>1410</v>
      </c>
      <c r="AT3" s="169" t="s">
        <v>1411</v>
      </c>
      <c r="AU3" s="169" t="s">
        <v>1412</v>
      </c>
    </row>
    <row r="4" spans="1:47" x14ac:dyDescent="0.45">
      <c r="A4" s="169">
        <v>2705700004</v>
      </c>
      <c r="B4" s="169">
        <v>57</v>
      </c>
      <c r="C4" s="169" t="s">
        <v>1551</v>
      </c>
      <c r="D4" s="169">
        <v>57</v>
      </c>
      <c r="E4" s="169" t="s">
        <v>1552</v>
      </c>
      <c r="F4" s="169" t="s">
        <v>4245</v>
      </c>
      <c r="G4" s="169" t="s">
        <v>4246</v>
      </c>
      <c r="H4" s="169">
        <v>2</v>
      </c>
      <c r="I4" s="169" t="s">
        <v>4247</v>
      </c>
      <c r="J4" s="169" t="s">
        <v>4091</v>
      </c>
      <c r="K4" s="169">
        <v>2027</v>
      </c>
      <c r="L4" s="169">
        <v>2027</v>
      </c>
      <c r="M4" s="171">
        <v>46310</v>
      </c>
      <c r="N4" s="169" t="s">
        <v>36</v>
      </c>
      <c r="O4" s="169">
        <v>7</v>
      </c>
      <c r="P4" s="169">
        <v>266</v>
      </c>
      <c r="Q4" s="169" t="s">
        <v>1526</v>
      </c>
      <c r="R4" s="169">
        <v>2</v>
      </c>
      <c r="S4" s="169">
        <v>1</v>
      </c>
      <c r="T4" s="169" t="s">
        <v>1527</v>
      </c>
      <c r="U4" s="169">
        <v>3</v>
      </c>
      <c r="V4" s="169">
        <v>0</v>
      </c>
      <c r="W4" s="169">
        <v>0</v>
      </c>
      <c r="X4" s="169" t="s">
        <v>1406</v>
      </c>
      <c r="Z4" s="169" t="s">
        <v>1407</v>
      </c>
      <c r="AA4" s="169"/>
      <c r="AB4" s="169">
        <v>0</v>
      </c>
      <c r="AC4" s="169">
        <v>0</v>
      </c>
      <c r="AD4" s="169">
        <v>0</v>
      </c>
      <c r="AE4" s="169" t="s">
        <v>1446</v>
      </c>
      <c r="AG4" s="169" t="s">
        <v>1446</v>
      </c>
      <c r="AJ4" s="169">
        <v>0</v>
      </c>
      <c r="AK4" s="169" t="s">
        <v>1407</v>
      </c>
      <c r="AL4" s="169">
        <v>23253</v>
      </c>
      <c r="AM4" s="169" t="s">
        <v>1421</v>
      </c>
      <c r="AN4" s="169" t="s">
        <v>4248</v>
      </c>
      <c r="AO4" s="169">
        <v>23</v>
      </c>
      <c r="AP4" s="169" t="s">
        <v>4249</v>
      </c>
      <c r="AQ4" s="169">
        <v>0</v>
      </c>
      <c r="AR4" s="169" t="s">
        <v>1410</v>
      </c>
      <c r="AT4" s="169" t="s">
        <v>1417</v>
      </c>
      <c r="AU4" s="169" t="s">
        <v>1412</v>
      </c>
    </row>
    <row r="5" spans="1:47" x14ac:dyDescent="0.45">
      <c r="A5" s="169">
        <v>2705700005</v>
      </c>
      <c r="B5" s="169">
        <v>57</v>
      </c>
      <c r="C5" s="169" t="s">
        <v>1551</v>
      </c>
      <c r="D5" s="169">
        <v>57</v>
      </c>
      <c r="E5" s="169" t="s">
        <v>1552</v>
      </c>
      <c r="F5" s="169" t="s">
        <v>4250</v>
      </c>
      <c r="G5" s="169" t="s">
        <v>4251</v>
      </c>
      <c r="H5" s="169">
        <v>1</v>
      </c>
      <c r="I5" s="169" t="s">
        <v>213</v>
      </c>
      <c r="J5" s="169" t="s">
        <v>1403</v>
      </c>
      <c r="K5" s="169">
        <v>2027</v>
      </c>
      <c r="L5" s="169">
        <v>2027</v>
      </c>
      <c r="M5" s="171">
        <v>46316</v>
      </c>
      <c r="N5" s="169" t="s">
        <v>36</v>
      </c>
      <c r="O5" s="169">
        <v>58</v>
      </c>
      <c r="P5" s="169">
        <v>260</v>
      </c>
      <c r="Q5" s="169" t="s">
        <v>1519</v>
      </c>
      <c r="R5" s="169">
        <v>2</v>
      </c>
      <c r="S5" s="169">
        <v>2</v>
      </c>
      <c r="T5" s="169" t="s">
        <v>1464</v>
      </c>
      <c r="U5" s="169">
        <v>1</v>
      </c>
      <c r="V5" s="169">
        <v>0</v>
      </c>
      <c r="W5" s="169">
        <v>0</v>
      </c>
      <c r="X5" s="169" t="s">
        <v>1406</v>
      </c>
      <c r="Z5" s="169" t="s">
        <v>3519</v>
      </c>
      <c r="AA5" s="169"/>
      <c r="AB5" s="169">
        <v>0</v>
      </c>
      <c r="AC5" s="169">
        <v>0</v>
      </c>
      <c r="AD5" s="169">
        <v>0</v>
      </c>
      <c r="AE5" s="169" t="s">
        <v>1446</v>
      </c>
      <c r="AG5" s="169" t="s">
        <v>1446</v>
      </c>
      <c r="AJ5" s="169">
        <v>0</v>
      </c>
      <c r="AK5" s="169" t="s">
        <v>1407</v>
      </c>
      <c r="AL5" s="169">
        <v>28030</v>
      </c>
      <c r="AM5" s="169" t="s">
        <v>1418</v>
      </c>
      <c r="AN5" s="169" t="s">
        <v>1566</v>
      </c>
      <c r="AO5" s="169">
        <v>28</v>
      </c>
      <c r="AP5" s="169" t="s">
        <v>1416</v>
      </c>
      <c r="AQ5" s="169">
        <v>0</v>
      </c>
      <c r="AR5" s="169" t="s">
        <v>1410</v>
      </c>
      <c r="AT5" s="169" t="s">
        <v>1417</v>
      </c>
      <c r="AU5" s="169" t="s">
        <v>1412</v>
      </c>
    </row>
    <row r="6" spans="1:47" x14ac:dyDescent="0.45">
      <c r="A6" s="169">
        <v>2705700006</v>
      </c>
      <c r="B6" s="169">
        <v>57</v>
      </c>
      <c r="C6" s="169" t="s">
        <v>1551</v>
      </c>
      <c r="D6" s="169">
        <v>57</v>
      </c>
      <c r="E6" s="169" t="s">
        <v>1552</v>
      </c>
      <c r="F6" s="169" t="s">
        <v>4252</v>
      </c>
      <c r="G6" s="169" t="s">
        <v>4253</v>
      </c>
      <c r="H6" s="169">
        <v>1</v>
      </c>
      <c r="I6" s="169" t="s">
        <v>4254</v>
      </c>
      <c r="J6" s="169" t="s">
        <v>1403</v>
      </c>
      <c r="K6" s="169">
        <v>2027</v>
      </c>
      <c r="L6" s="169">
        <v>2027</v>
      </c>
      <c r="M6" s="171">
        <v>46319</v>
      </c>
      <c r="N6" s="169" t="s">
        <v>36</v>
      </c>
      <c r="O6" s="169" t="s">
        <v>51</v>
      </c>
      <c r="P6" s="169">
        <v>428</v>
      </c>
      <c r="Q6" s="169" t="s">
        <v>1463</v>
      </c>
      <c r="R6" s="169">
        <v>1</v>
      </c>
      <c r="S6" s="169">
        <v>2</v>
      </c>
      <c r="T6" s="169" t="s">
        <v>1464</v>
      </c>
      <c r="U6" s="169">
        <v>1</v>
      </c>
      <c r="V6" s="169">
        <v>0</v>
      </c>
      <c r="W6" s="169">
        <v>0</v>
      </c>
      <c r="X6" s="169" t="s">
        <v>1406</v>
      </c>
      <c r="Z6" s="169" t="s">
        <v>4255</v>
      </c>
      <c r="AA6" s="169"/>
      <c r="AB6" s="169">
        <v>0</v>
      </c>
      <c r="AC6" s="169">
        <v>0</v>
      </c>
      <c r="AD6" s="169">
        <v>0</v>
      </c>
      <c r="AE6" s="169" t="s">
        <v>1446</v>
      </c>
      <c r="AG6" s="169" t="s">
        <v>1446</v>
      </c>
      <c r="AJ6" s="169">
        <v>0</v>
      </c>
      <c r="AK6" s="169" t="s">
        <v>1407</v>
      </c>
      <c r="AL6" s="169">
        <v>28141</v>
      </c>
      <c r="AM6" s="169" t="s">
        <v>1418</v>
      </c>
      <c r="AN6" s="169" t="s">
        <v>1546</v>
      </c>
      <c r="AO6" s="169">
        <v>28</v>
      </c>
      <c r="AP6" s="169" t="s">
        <v>1416</v>
      </c>
      <c r="AQ6" s="169">
        <v>0</v>
      </c>
      <c r="AT6" s="169" t="s">
        <v>1417</v>
      </c>
      <c r="AU6" s="169" t="s">
        <v>1412</v>
      </c>
    </row>
    <row r="7" spans="1:47" x14ac:dyDescent="0.45">
      <c r="A7" s="169">
        <v>2705700007</v>
      </c>
      <c r="B7" s="169">
        <v>57</v>
      </c>
      <c r="C7" s="169" t="s">
        <v>1551</v>
      </c>
      <c r="D7" s="169">
        <v>57</v>
      </c>
      <c r="E7" s="169" t="s">
        <v>1552</v>
      </c>
      <c r="F7" s="169" t="s">
        <v>4256</v>
      </c>
      <c r="G7" s="169" t="s">
        <v>4257</v>
      </c>
      <c r="H7" s="169">
        <v>1</v>
      </c>
      <c r="I7" s="169" t="s">
        <v>2719</v>
      </c>
      <c r="J7" s="169" t="s">
        <v>1403</v>
      </c>
      <c r="K7" s="169">
        <v>2027</v>
      </c>
      <c r="L7" s="169">
        <v>2027</v>
      </c>
      <c r="M7" s="171">
        <v>46319</v>
      </c>
      <c r="N7" s="169" t="s">
        <v>36</v>
      </c>
      <c r="O7" s="169" t="s">
        <v>135</v>
      </c>
      <c r="P7" s="169">
        <v>502</v>
      </c>
      <c r="Q7" s="169" t="s">
        <v>1500</v>
      </c>
      <c r="R7" s="169">
        <v>2</v>
      </c>
      <c r="S7" s="169">
        <v>5</v>
      </c>
      <c r="T7" s="169" t="s">
        <v>1470</v>
      </c>
      <c r="U7" s="169">
        <v>15</v>
      </c>
      <c r="V7" s="169">
        <v>0</v>
      </c>
      <c r="W7" s="169">
        <v>0</v>
      </c>
      <c r="X7" s="169" t="s">
        <v>1406</v>
      </c>
      <c r="Z7" s="169" t="s">
        <v>4255</v>
      </c>
      <c r="AA7" s="169"/>
      <c r="AB7" s="169">
        <v>0</v>
      </c>
      <c r="AC7" s="169">
        <v>0</v>
      </c>
      <c r="AD7" s="169">
        <v>0</v>
      </c>
      <c r="AE7" s="169" t="s">
        <v>1446</v>
      </c>
      <c r="AG7" s="169" t="s">
        <v>1446</v>
      </c>
      <c r="AJ7" s="169">
        <v>0</v>
      </c>
      <c r="AK7" s="169" t="s">
        <v>1407</v>
      </c>
      <c r="AL7" s="169">
        <v>28152</v>
      </c>
      <c r="AM7" s="169" t="s">
        <v>1418</v>
      </c>
      <c r="AN7" s="169" t="s">
        <v>1453</v>
      </c>
      <c r="AO7" s="169">
        <v>28</v>
      </c>
      <c r="AP7" s="169" t="s">
        <v>1416</v>
      </c>
      <c r="AQ7" s="169">
        <v>0</v>
      </c>
      <c r="AT7" s="169" t="s">
        <v>1417</v>
      </c>
      <c r="AU7" s="169" t="s">
        <v>1412</v>
      </c>
    </row>
    <row r="8" spans="1:47" x14ac:dyDescent="0.45">
      <c r="A8" s="169">
        <v>2705700802</v>
      </c>
      <c r="B8" s="169">
        <v>57</v>
      </c>
      <c r="C8" s="169" t="s">
        <v>1551</v>
      </c>
      <c r="D8" s="169">
        <v>57</v>
      </c>
      <c r="E8" s="169" t="s">
        <v>1552</v>
      </c>
      <c r="F8" s="169" t="s">
        <v>4258</v>
      </c>
      <c r="G8" s="169" t="s">
        <v>4259</v>
      </c>
      <c r="H8" s="169">
        <v>1</v>
      </c>
      <c r="I8" s="169" t="s">
        <v>4260</v>
      </c>
      <c r="J8" s="169" t="s">
        <v>1403</v>
      </c>
      <c r="K8" s="169">
        <v>2027</v>
      </c>
      <c r="L8" s="169">
        <v>2027</v>
      </c>
      <c r="M8" s="171">
        <v>46274</v>
      </c>
      <c r="N8" s="169" t="s">
        <v>36</v>
      </c>
      <c r="O8" s="169">
        <v>57</v>
      </c>
      <c r="P8" s="169">
        <v>1044</v>
      </c>
      <c r="Q8" s="169" t="s">
        <v>1476</v>
      </c>
      <c r="R8" s="169">
        <v>2</v>
      </c>
      <c r="S8" s="169">
        <v>3</v>
      </c>
      <c r="T8" s="169" t="s">
        <v>1477</v>
      </c>
      <c r="U8" s="169">
        <v>4</v>
      </c>
      <c r="V8" s="169">
        <v>2780019</v>
      </c>
      <c r="W8" s="169">
        <v>0</v>
      </c>
      <c r="X8" s="169" t="s">
        <v>1406</v>
      </c>
      <c r="Z8" s="169" t="s">
        <v>3067</v>
      </c>
      <c r="AA8" s="171">
        <v>46310</v>
      </c>
      <c r="AB8" s="169">
        <v>27</v>
      </c>
      <c r="AC8" s="169">
        <v>80019</v>
      </c>
      <c r="AD8" s="169">
        <v>57</v>
      </c>
      <c r="AE8" s="169" t="s">
        <v>1551</v>
      </c>
      <c r="AF8" s="169">
        <v>57</v>
      </c>
      <c r="AG8" s="169" t="s">
        <v>1552</v>
      </c>
      <c r="AH8" s="169" t="s">
        <v>36</v>
      </c>
      <c r="AI8" s="169" t="s">
        <v>3630</v>
      </c>
      <c r="AJ8" s="169">
        <v>1170</v>
      </c>
      <c r="AK8" s="169" t="s">
        <v>1407</v>
      </c>
      <c r="AL8" s="169">
        <v>50450</v>
      </c>
      <c r="AM8" s="169" t="s">
        <v>1408</v>
      </c>
      <c r="AN8" s="169" t="s">
        <v>4261</v>
      </c>
      <c r="AO8" s="169">
        <v>28</v>
      </c>
      <c r="AP8" s="169" t="s">
        <v>1416</v>
      </c>
      <c r="AQ8" s="169">
        <v>1</v>
      </c>
      <c r="AR8" s="169" t="s">
        <v>1410</v>
      </c>
      <c r="AT8" s="169" t="s">
        <v>1417</v>
      </c>
      <c r="AU8" s="169" t="s">
        <v>1412</v>
      </c>
    </row>
    <row r="9" spans="1:47" x14ac:dyDescent="0.45">
      <c r="A9" s="169">
        <v>2705700804</v>
      </c>
      <c r="B9" s="169">
        <v>57</v>
      </c>
      <c r="C9" s="169" t="s">
        <v>1551</v>
      </c>
      <c r="D9" s="169">
        <v>57</v>
      </c>
      <c r="E9" s="169" t="s">
        <v>1552</v>
      </c>
      <c r="F9" s="169" t="s">
        <v>4262</v>
      </c>
      <c r="G9" s="169" t="s">
        <v>4263</v>
      </c>
      <c r="H9" s="169">
        <v>2</v>
      </c>
      <c r="I9" s="169" t="s">
        <v>4264</v>
      </c>
      <c r="J9" s="169" t="s">
        <v>4265</v>
      </c>
      <c r="K9" s="169">
        <v>2027</v>
      </c>
      <c r="L9" s="169">
        <v>2027</v>
      </c>
      <c r="M9" s="171">
        <v>46289</v>
      </c>
      <c r="N9" s="169" t="s">
        <v>36</v>
      </c>
      <c r="O9" s="169">
        <v>57</v>
      </c>
      <c r="P9" s="169">
        <v>1756</v>
      </c>
      <c r="Q9" s="169" t="s">
        <v>2784</v>
      </c>
      <c r="R9" s="169">
        <v>2</v>
      </c>
      <c r="S9" s="169">
        <v>3</v>
      </c>
      <c r="T9" s="169" t="s">
        <v>1477</v>
      </c>
      <c r="U9" s="169">
        <v>4</v>
      </c>
      <c r="V9" s="169">
        <v>0</v>
      </c>
      <c r="W9" s="169">
        <v>0</v>
      </c>
      <c r="X9" s="169" t="s">
        <v>1406</v>
      </c>
      <c r="Z9" s="169" t="s">
        <v>3067</v>
      </c>
      <c r="AA9" s="169"/>
      <c r="AB9" s="169">
        <v>0</v>
      </c>
      <c r="AC9" s="169">
        <v>0</v>
      </c>
      <c r="AD9" s="169">
        <v>0</v>
      </c>
      <c r="AE9" s="169" t="s">
        <v>1446</v>
      </c>
      <c r="AG9" s="169" t="s">
        <v>1446</v>
      </c>
      <c r="AJ9" s="169">
        <v>0</v>
      </c>
      <c r="AK9" s="169" t="s">
        <v>1407</v>
      </c>
      <c r="AL9" s="169">
        <v>0</v>
      </c>
      <c r="AM9" s="169" t="s">
        <v>1408</v>
      </c>
      <c r="AN9" s="169" t="s">
        <v>2800</v>
      </c>
      <c r="AO9" s="169">
        <v>0</v>
      </c>
      <c r="AQ9" s="169">
        <v>1</v>
      </c>
      <c r="AR9" s="169" t="s">
        <v>1499</v>
      </c>
      <c r="AT9" s="169" t="s">
        <v>1417</v>
      </c>
      <c r="AU9" s="169" t="s">
        <v>1412</v>
      </c>
    </row>
    <row r="10" spans="1:47" x14ac:dyDescent="0.45">
      <c r="A10" s="169">
        <v>2705700817</v>
      </c>
      <c r="B10" s="169">
        <v>57</v>
      </c>
      <c r="C10" s="169" t="s">
        <v>1551</v>
      </c>
      <c r="D10" s="169">
        <v>57</v>
      </c>
      <c r="E10" s="169" t="s">
        <v>1552</v>
      </c>
      <c r="F10" s="169" t="s">
        <v>4266</v>
      </c>
      <c r="G10" s="169" t="s">
        <v>4267</v>
      </c>
      <c r="H10" s="169">
        <v>2</v>
      </c>
      <c r="I10" s="169" t="s">
        <v>4268</v>
      </c>
      <c r="J10" s="169" t="s">
        <v>1403</v>
      </c>
      <c r="K10" s="169">
        <v>2027</v>
      </c>
      <c r="L10" s="169">
        <v>2027</v>
      </c>
      <c r="M10" s="171">
        <v>46311</v>
      </c>
      <c r="N10" s="169" t="s">
        <v>36</v>
      </c>
      <c r="O10" s="169">
        <v>57</v>
      </c>
      <c r="P10" s="169">
        <v>1756</v>
      </c>
      <c r="Q10" s="169" t="s">
        <v>2784</v>
      </c>
      <c r="R10" s="169">
        <v>2</v>
      </c>
      <c r="S10" s="169">
        <v>3</v>
      </c>
      <c r="T10" s="169" t="s">
        <v>1477</v>
      </c>
      <c r="U10" s="169">
        <v>4</v>
      </c>
      <c r="V10" s="169">
        <v>0</v>
      </c>
      <c r="W10" s="169">
        <v>0</v>
      </c>
      <c r="X10" s="169" t="s">
        <v>1406</v>
      </c>
      <c r="Z10" s="169" t="s">
        <v>3067</v>
      </c>
      <c r="AA10" s="169"/>
      <c r="AB10" s="169">
        <v>0</v>
      </c>
      <c r="AC10" s="169">
        <v>0</v>
      </c>
      <c r="AD10" s="169">
        <v>0</v>
      </c>
      <c r="AE10" s="169" t="s">
        <v>1446</v>
      </c>
      <c r="AG10" s="169" t="s">
        <v>1446</v>
      </c>
      <c r="AJ10" s="169">
        <v>0</v>
      </c>
      <c r="AK10" s="169" t="s">
        <v>1407</v>
      </c>
      <c r="AL10" s="169">
        <v>50339</v>
      </c>
      <c r="AM10" s="169" t="s">
        <v>1408</v>
      </c>
      <c r="AN10" s="169" t="s">
        <v>3667</v>
      </c>
      <c r="AO10" s="169">
        <v>28</v>
      </c>
      <c r="AP10" s="169" t="s">
        <v>1416</v>
      </c>
      <c r="AQ10" s="169">
        <v>1</v>
      </c>
      <c r="AT10" s="169" t="s">
        <v>1417</v>
      </c>
      <c r="AU10" s="169" t="s">
        <v>1412</v>
      </c>
    </row>
    <row r="11" spans="1:47" x14ac:dyDescent="0.45">
      <c r="A11" s="169">
        <v>2705700818</v>
      </c>
      <c r="B11" s="169">
        <v>57</v>
      </c>
      <c r="C11" s="169" t="s">
        <v>1551</v>
      </c>
      <c r="D11" s="169">
        <v>57</v>
      </c>
      <c r="E11" s="169" t="s">
        <v>1552</v>
      </c>
      <c r="F11" s="169" t="s">
        <v>4269</v>
      </c>
      <c r="G11" s="169" t="s">
        <v>4270</v>
      </c>
      <c r="H11" s="169">
        <v>2</v>
      </c>
      <c r="I11" s="169" t="s">
        <v>3103</v>
      </c>
      <c r="J11" s="169" t="s">
        <v>1403</v>
      </c>
      <c r="K11" s="169">
        <v>0</v>
      </c>
      <c r="L11" s="169">
        <v>2027</v>
      </c>
      <c r="M11" s="171">
        <v>46315</v>
      </c>
      <c r="N11" s="169" t="s">
        <v>36</v>
      </c>
      <c r="O11" s="169">
        <v>57</v>
      </c>
      <c r="P11" s="169">
        <v>1044</v>
      </c>
      <c r="Q11" s="169" t="s">
        <v>1476</v>
      </c>
      <c r="R11" s="169">
        <v>2</v>
      </c>
      <c r="S11" s="169">
        <v>3</v>
      </c>
      <c r="T11" s="169" t="s">
        <v>1477</v>
      </c>
      <c r="U11" s="169">
        <v>4</v>
      </c>
      <c r="V11" s="169">
        <v>0</v>
      </c>
      <c r="W11" s="169">
        <v>0</v>
      </c>
      <c r="X11" s="169" t="s">
        <v>1406</v>
      </c>
      <c r="Z11" s="169" t="s">
        <v>3067</v>
      </c>
      <c r="AA11" s="169"/>
      <c r="AB11" s="169">
        <v>0</v>
      </c>
      <c r="AC11" s="169">
        <v>0</v>
      </c>
      <c r="AD11" s="169">
        <v>0</v>
      </c>
      <c r="AE11" s="169" t="s">
        <v>1446</v>
      </c>
      <c r="AG11" s="169" t="s">
        <v>1446</v>
      </c>
      <c r="AJ11" s="169">
        <v>0</v>
      </c>
      <c r="AK11" s="169" t="s">
        <v>1407</v>
      </c>
      <c r="AL11" s="169">
        <v>50429</v>
      </c>
      <c r="AM11" s="169" t="s">
        <v>1408</v>
      </c>
      <c r="AN11" s="169" t="s">
        <v>4271</v>
      </c>
      <c r="AO11" s="169">
        <v>28</v>
      </c>
      <c r="AP11" s="169" t="s">
        <v>1416</v>
      </c>
      <c r="AQ11" s="169">
        <v>4</v>
      </c>
      <c r="AT11" s="169" t="s">
        <v>1411</v>
      </c>
      <c r="AU11" s="169" t="s">
        <v>1412</v>
      </c>
    </row>
    <row r="12" spans="1:47" x14ac:dyDescent="0.45">
      <c r="A12" s="169">
        <v>2705750001</v>
      </c>
      <c r="B12" s="169">
        <v>57</v>
      </c>
      <c r="C12" s="169" t="s">
        <v>1551</v>
      </c>
      <c r="D12" s="169">
        <v>57</v>
      </c>
      <c r="E12" s="169" t="s">
        <v>1552</v>
      </c>
      <c r="F12" s="169" t="s">
        <v>4272</v>
      </c>
      <c r="G12" s="169" t="s">
        <v>4273</v>
      </c>
      <c r="H12" s="169">
        <v>2</v>
      </c>
      <c r="I12" s="169" t="s">
        <v>4274</v>
      </c>
      <c r="J12" s="169" t="s">
        <v>1403</v>
      </c>
      <c r="K12" s="169">
        <v>2027</v>
      </c>
      <c r="L12" s="169">
        <v>2027</v>
      </c>
      <c r="M12" s="171">
        <v>46270</v>
      </c>
      <c r="N12" s="169" t="s">
        <v>36</v>
      </c>
      <c r="O12" s="169">
        <v>58</v>
      </c>
      <c r="P12" s="169">
        <v>856</v>
      </c>
      <c r="Q12" s="169" t="s">
        <v>1533</v>
      </c>
      <c r="R12" s="169">
        <v>2</v>
      </c>
      <c r="S12" s="169">
        <v>2</v>
      </c>
      <c r="T12" s="169" t="s">
        <v>1464</v>
      </c>
      <c r="U12" s="169">
        <v>1</v>
      </c>
      <c r="V12" s="169">
        <v>2780004</v>
      </c>
      <c r="W12" s="169">
        <v>0</v>
      </c>
      <c r="X12" s="169" t="s">
        <v>1406</v>
      </c>
      <c r="Z12" s="169" t="s">
        <v>32</v>
      </c>
      <c r="AA12" s="171">
        <v>46307</v>
      </c>
      <c r="AB12" s="169">
        <v>27</v>
      </c>
      <c r="AC12" s="169">
        <v>80004</v>
      </c>
      <c r="AD12" s="169">
        <v>57</v>
      </c>
      <c r="AE12" s="169" t="s">
        <v>1551</v>
      </c>
      <c r="AF12" s="169">
        <v>57</v>
      </c>
      <c r="AG12" s="169" t="s">
        <v>1552</v>
      </c>
      <c r="AH12" s="169" t="s">
        <v>36</v>
      </c>
      <c r="AI12" s="169">
        <v>58</v>
      </c>
      <c r="AJ12" s="169">
        <v>856</v>
      </c>
      <c r="AK12" s="169" t="s">
        <v>1407</v>
      </c>
      <c r="AL12" s="169">
        <v>28197</v>
      </c>
      <c r="AM12" s="169" t="s">
        <v>1421</v>
      </c>
      <c r="AN12" s="169" t="s">
        <v>1616</v>
      </c>
      <c r="AO12" s="169">
        <v>28</v>
      </c>
      <c r="AP12" s="169" t="s">
        <v>1416</v>
      </c>
      <c r="AQ12" s="169">
        <v>0</v>
      </c>
      <c r="AR12" s="169" t="s">
        <v>1410</v>
      </c>
      <c r="AT12" s="169" t="s">
        <v>1417</v>
      </c>
      <c r="AU12" s="169" t="s">
        <v>1412</v>
      </c>
    </row>
    <row r="13" spans="1:47" x14ac:dyDescent="0.45">
      <c r="A13" s="169">
        <v>2705750002</v>
      </c>
      <c r="B13" s="169">
        <v>57</v>
      </c>
      <c r="C13" s="169" t="s">
        <v>1551</v>
      </c>
      <c r="D13" s="169">
        <v>57</v>
      </c>
      <c r="E13" s="169" t="s">
        <v>1552</v>
      </c>
      <c r="F13" s="169" t="s">
        <v>4275</v>
      </c>
      <c r="G13" s="169" t="s">
        <v>4276</v>
      </c>
      <c r="H13" s="169">
        <v>2</v>
      </c>
      <c r="I13" s="169" t="s">
        <v>3480</v>
      </c>
      <c r="J13" s="169" t="s">
        <v>1403</v>
      </c>
      <c r="K13" s="169">
        <v>2027</v>
      </c>
      <c r="L13" s="169">
        <v>2027</v>
      </c>
      <c r="M13" s="171">
        <v>46273</v>
      </c>
      <c r="N13" s="169" t="s">
        <v>36</v>
      </c>
      <c r="O13" s="169">
        <v>7</v>
      </c>
      <c r="P13" s="169">
        <v>266</v>
      </c>
      <c r="Q13" s="169" t="s">
        <v>1526</v>
      </c>
      <c r="R13" s="169">
        <v>2</v>
      </c>
      <c r="S13" s="169">
        <v>1</v>
      </c>
      <c r="T13" s="169" t="s">
        <v>1527</v>
      </c>
      <c r="U13" s="169">
        <v>3</v>
      </c>
      <c r="V13" s="169">
        <v>0</v>
      </c>
      <c r="W13" s="169">
        <v>0</v>
      </c>
      <c r="X13" s="169" t="s">
        <v>1406</v>
      </c>
      <c r="Z13" s="169" t="s">
        <v>32</v>
      </c>
      <c r="AA13" s="169"/>
      <c r="AB13" s="169">
        <v>0</v>
      </c>
      <c r="AC13" s="169">
        <v>0</v>
      </c>
      <c r="AD13" s="169">
        <v>0</v>
      </c>
      <c r="AE13" s="169" t="s">
        <v>1446</v>
      </c>
      <c r="AG13" s="169" t="s">
        <v>1446</v>
      </c>
      <c r="AJ13" s="169">
        <v>0</v>
      </c>
      <c r="AK13" s="169" t="s">
        <v>1407</v>
      </c>
      <c r="AL13" s="169">
        <v>28247</v>
      </c>
      <c r="AM13" s="169" t="s">
        <v>1418</v>
      </c>
      <c r="AN13" s="169" t="s">
        <v>1419</v>
      </c>
      <c r="AO13" s="169">
        <v>28</v>
      </c>
      <c r="AP13" s="169" t="s">
        <v>1416</v>
      </c>
      <c r="AQ13" s="169">
        <v>0</v>
      </c>
      <c r="AR13" s="169" t="s">
        <v>1410</v>
      </c>
      <c r="AT13" s="169" t="s">
        <v>1417</v>
      </c>
      <c r="AU13" s="169" t="s">
        <v>1412</v>
      </c>
    </row>
    <row r="14" spans="1:47" x14ac:dyDescent="0.45">
      <c r="A14" s="169">
        <v>2705750003</v>
      </c>
      <c r="B14" s="169">
        <v>57</v>
      </c>
      <c r="C14" s="169" t="s">
        <v>1551</v>
      </c>
      <c r="D14" s="169">
        <v>57</v>
      </c>
      <c r="E14" s="169" t="s">
        <v>1552</v>
      </c>
      <c r="F14" s="169" t="s">
        <v>4277</v>
      </c>
      <c r="G14" s="169" t="s">
        <v>4278</v>
      </c>
      <c r="H14" s="169">
        <v>1</v>
      </c>
      <c r="I14" s="169" t="s">
        <v>4279</v>
      </c>
      <c r="J14" s="169" t="s">
        <v>1403</v>
      </c>
      <c r="K14" s="169">
        <v>2027</v>
      </c>
      <c r="L14" s="169">
        <v>2027</v>
      </c>
      <c r="M14" s="171">
        <v>46266</v>
      </c>
      <c r="N14" s="169" t="s">
        <v>36</v>
      </c>
      <c r="O14" s="169" t="s">
        <v>135</v>
      </c>
      <c r="P14" s="169">
        <v>502</v>
      </c>
      <c r="Q14" s="169" t="s">
        <v>1500</v>
      </c>
      <c r="R14" s="169">
        <v>2</v>
      </c>
      <c r="S14" s="169">
        <v>5</v>
      </c>
      <c r="T14" s="169" t="s">
        <v>1470</v>
      </c>
      <c r="U14" s="169">
        <v>15</v>
      </c>
      <c r="V14" s="169">
        <v>2780033</v>
      </c>
      <c r="W14" s="169">
        <v>0</v>
      </c>
      <c r="X14" s="169" t="s">
        <v>1406</v>
      </c>
      <c r="Z14" s="169" t="s">
        <v>32</v>
      </c>
      <c r="AA14" s="171">
        <v>46316</v>
      </c>
      <c r="AB14" s="169">
        <v>27</v>
      </c>
      <c r="AC14" s="169">
        <v>80033</v>
      </c>
      <c r="AD14" s="169">
        <v>57</v>
      </c>
      <c r="AE14" s="169" t="s">
        <v>1551</v>
      </c>
      <c r="AF14" s="169">
        <v>57</v>
      </c>
      <c r="AG14" s="169" t="s">
        <v>1552</v>
      </c>
      <c r="AH14" s="169" t="s">
        <v>36</v>
      </c>
      <c r="AI14" s="169" t="s">
        <v>135</v>
      </c>
      <c r="AJ14" s="169">
        <v>502</v>
      </c>
      <c r="AK14" s="169" t="s">
        <v>1407</v>
      </c>
      <c r="AL14" s="169">
        <v>28024</v>
      </c>
      <c r="AM14" s="169" t="s">
        <v>1421</v>
      </c>
      <c r="AN14" s="169" t="s">
        <v>1535</v>
      </c>
      <c r="AO14" s="169">
        <v>28</v>
      </c>
      <c r="AP14" s="169" t="s">
        <v>1416</v>
      </c>
      <c r="AQ14" s="169">
        <v>0</v>
      </c>
      <c r="AR14" s="169" t="s">
        <v>1410</v>
      </c>
      <c r="AT14" s="169" t="s">
        <v>1417</v>
      </c>
      <c r="AU14" s="169" t="s">
        <v>1412</v>
      </c>
    </row>
    <row r="15" spans="1:47" x14ac:dyDescent="0.45">
      <c r="A15" s="169">
        <v>2705750004</v>
      </c>
      <c r="B15" s="169">
        <v>57</v>
      </c>
      <c r="C15" s="169" t="s">
        <v>1551</v>
      </c>
      <c r="D15" s="169">
        <v>57</v>
      </c>
      <c r="E15" s="169" t="s">
        <v>1552</v>
      </c>
      <c r="F15" s="169" t="s">
        <v>4280</v>
      </c>
      <c r="G15" s="169" t="s">
        <v>4281</v>
      </c>
      <c r="H15" s="169">
        <v>1</v>
      </c>
      <c r="I15" s="169" t="s">
        <v>2631</v>
      </c>
      <c r="J15" s="169" t="s">
        <v>1403</v>
      </c>
      <c r="K15" s="169">
        <v>2027</v>
      </c>
      <c r="L15" s="169">
        <v>2027</v>
      </c>
      <c r="M15" s="171">
        <v>46266</v>
      </c>
      <c r="N15" s="169" t="s">
        <v>36</v>
      </c>
      <c r="O15" s="169">
        <v>58</v>
      </c>
      <c r="P15" s="169">
        <v>968</v>
      </c>
      <c r="Q15" s="169" t="s">
        <v>1474</v>
      </c>
      <c r="R15" s="169">
        <v>2</v>
      </c>
      <c r="S15" s="169">
        <v>2</v>
      </c>
      <c r="T15" s="169" t="s">
        <v>1464</v>
      </c>
      <c r="U15" s="169">
        <v>1</v>
      </c>
      <c r="V15" s="169">
        <v>0</v>
      </c>
      <c r="W15" s="169">
        <v>0</v>
      </c>
      <c r="X15" s="169" t="s">
        <v>1406</v>
      </c>
      <c r="Z15" s="169" t="s">
        <v>32</v>
      </c>
      <c r="AA15" s="169"/>
      <c r="AB15" s="169">
        <v>0</v>
      </c>
      <c r="AC15" s="169">
        <v>0</v>
      </c>
      <c r="AD15" s="169">
        <v>0</v>
      </c>
      <c r="AE15" s="169" t="s">
        <v>1446</v>
      </c>
      <c r="AG15" s="169" t="s">
        <v>1446</v>
      </c>
      <c r="AJ15" s="169">
        <v>0</v>
      </c>
      <c r="AK15" s="169" t="s">
        <v>1407</v>
      </c>
      <c r="AL15" s="169">
        <v>28223</v>
      </c>
      <c r="AM15" s="169" t="s">
        <v>1421</v>
      </c>
      <c r="AN15" s="169" t="s">
        <v>2952</v>
      </c>
      <c r="AO15" s="169">
        <v>28</v>
      </c>
      <c r="AP15" s="169" t="s">
        <v>1416</v>
      </c>
      <c r="AQ15" s="169">
        <v>0</v>
      </c>
      <c r="AR15" s="169" t="s">
        <v>1410</v>
      </c>
      <c r="AT15" s="169" t="s">
        <v>1417</v>
      </c>
      <c r="AU15" s="169" t="s">
        <v>1412</v>
      </c>
    </row>
    <row r="16" spans="1:47" x14ac:dyDescent="0.45">
      <c r="A16" s="169">
        <v>2705750005</v>
      </c>
      <c r="B16" s="169">
        <v>57</v>
      </c>
      <c r="C16" s="169" t="s">
        <v>1551</v>
      </c>
      <c r="D16" s="169">
        <v>57</v>
      </c>
      <c r="E16" s="169" t="s">
        <v>1552</v>
      </c>
      <c r="F16" s="169" t="s">
        <v>4282</v>
      </c>
      <c r="G16" s="169" t="s">
        <v>4283</v>
      </c>
      <c r="H16" s="169">
        <v>1</v>
      </c>
      <c r="I16" s="169" t="s">
        <v>1363</v>
      </c>
      <c r="J16" s="169" t="s">
        <v>1403</v>
      </c>
      <c r="K16" s="169">
        <v>2027</v>
      </c>
      <c r="L16" s="169">
        <v>2027</v>
      </c>
      <c r="M16" s="171">
        <v>46321</v>
      </c>
      <c r="N16" s="169" t="s">
        <v>36</v>
      </c>
      <c r="O16" s="169">
        <v>58</v>
      </c>
      <c r="P16" s="169">
        <v>428</v>
      </c>
      <c r="Q16" s="169" t="s">
        <v>1463</v>
      </c>
      <c r="R16" s="169">
        <v>2</v>
      </c>
      <c r="S16" s="169">
        <v>2</v>
      </c>
      <c r="T16" s="169" t="s">
        <v>1464</v>
      </c>
      <c r="U16" s="169">
        <v>1</v>
      </c>
      <c r="V16" s="169">
        <v>0</v>
      </c>
      <c r="W16" s="169">
        <v>0</v>
      </c>
      <c r="X16" s="169" t="s">
        <v>1406</v>
      </c>
      <c r="Z16" s="169" t="s">
        <v>32</v>
      </c>
      <c r="AA16" s="169"/>
      <c r="AB16" s="169">
        <v>0</v>
      </c>
      <c r="AC16" s="169">
        <v>0</v>
      </c>
      <c r="AD16" s="169">
        <v>0</v>
      </c>
      <c r="AE16" s="169" t="s">
        <v>1446</v>
      </c>
      <c r="AG16" s="169" t="s">
        <v>1446</v>
      </c>
      <c r="AJ16" s="169">
        <v>0</v>
      </c>
      <c r="AK16" s="169" t="s">
        <v>1407</v>
      </c>
      <c r="AL16" s="169">
        <v>28103</v>
      </c>
      <c r="AM16" s="169" t="s">
        <v>1418</v>
      </c>
      <c r="AN16" s="169" t="s">
        <v>1505</v>
      </c>
      <c r="AO16" s="169">
        <v>28</v>
      </c>
      <c r="AP16" s="169" t="s">
        <v>1416</v>
      </c>
      <c r="AQ16" s="169">
        <v>0</v>
      </c>
      <c r="AT16" s="169" t="s">
        <v>1417</v>
      </c>
      <c r="AU16" s="169" t="s">
        <v>1412</v>
      </c>
    </row>
    <row r="17" spans="1:47" x14ac:dyDescent="0.45">
      <c r="A17" s="169">
        <v>2705750006</v>
      </c>
      <c r="B17" s="169">
        <v>57</v>
      </c>
      <c r="C17" s="169" t="s">
        <v>1551</v>
      </c>
      <c r="D17" s="169">
        <v>57</v>
      </c>
      <c r="E17" s="169" t="s">
        <v>1552</v>
      </c>
      <c r="F17" s="169" t="s">
        <v>4284</v>
      </c>
      <c r="G17" s="169" t="s">
        <v>4285</v>
      </c>
      <c r="H17" s="169">
        <v>1</v>
      </c>
      <c r="I17" s="169" t="s">
        <v>3581</v>
      </c>
      <c r="J17" s="169" t="s">
        <v>1403</v>
      </c>
      <c r="K17" s="169">
        <v>2027</v>
      </c>
      <c r="L17" s="169">
        <v>2027</v>
      </c>
      <c r="M17" s="171">
        <v>46291</v>
      </c>
      <c r="N17" s="169" t="s">
        <v>36</v>
      </c>
      <c r="O17" s="169" t="s">
        <v>135</v>
      </c>
      <c r="P17" s="169">
        <v>628</v>
      </c>
      <c r="Q17" s="169" t="s">
        <v>1530</v>
      </c>
      <c r="R17" s="169">
        <v>2</v>
      </c>
      <c r="S17" s="169">
        <v>5</v>
      </c>
      <c r="T17" s="169" t="s">
        <v>1470</v>
      </c>
      <c r="U17" s="169">
        <v>15</v>
      </c>
      <c r="V17" s="169">
        <v>0</v>
      </c>
      <c r="W17" s="169">
        <v>0</v>
      </c>
      <c r="X17" s="169" t="s">
        <v>1406</v>
      </c>
      <c r="Z17" s="169" t="s">
        <v>32</v>
      </c>
      <c r="AA17" s="169"/>
      <c r="AB17" s="169">
        <v>0</v>
      </c>
      <c r="AC17" s="169">
        <v>0</v>
      </c>
      <c r="AD17" s="169">
        <v>0</v>
      </c>
      <c r="AE17" s="169" t="s">
        <v>1446</v>
      </c>
      <c r="AG17" s="169" t="s">
        <v>1446</v>
      </c>
      <c r="AJ17" s="169">
        <v>0</v>
      </c>
      <c r="AK17" s="169" t="s">
        <v>1407</v>
      </c>
      <c r="AL17" s="169">
        <v>28197</v>
      </c>
      <c r="AM17" s="169" t="s">
        <v>1421</v>
      </c>
      <c r="AN17" s="169" t="s">
        <v>1616</v>
      </c>
      <c r="AO17" s="169">
        <v>28</v>
      </c>
      <c r="AP17" s="169" t="s">
        <v>1416</v>
      </c>
      <c r="AQ17" s="169">
        <v>0</v>
      </c>
      <c r="AR17" s="169" t="s">
        <v>1410</v>
      </c>
      <c r="AT17" s="169" t="s">
        <v>1417</v>
      </c>
      <c r="AU17" s="169" t="s">
        <v>1412</v>
      </c>
    </row>
    <row r="18" spans="1:47" x14ac:dyDescent="0.45">
      <c r="A18" s="169">
        <v>2705750007</v>
      </c>
      <c r="B18" s="169">
        <v>57</v>
      </c>
      <c r="C18" s="169" t="s">
        <v>1551</v>
      </c>
      <c r="D18" s="169">
        <v>57</v>
      </c>
      <c r="E18" s="169" t="s">
        <v>1552</v>
      </c>
      <c r="F18" s="169" t="s">
        <v>4286</v>
      </c>
      <c r="G18" s="169" t="s">
        <v>4287</v>
      </c>
      <c r="H18" s="169">
        <v>1</v>
      </c>
      <c r="I18" s="169" t="s">
        <v>1328</v>
      </c>
      <c r="J18" s="169" t="s">
        <v>1403</v>
      </c>
      <c r="K18" s="169">
        <v>2027</v>
      </c>
      <c r="L18" s="169">
        <v>2027</v>
      </c>
      <c r="M18" s="171">
        <v>46271</v>
      </c>
      <c r="N18" s="169" t="s">
        <v>36</v>
      </c>
      <c r="O18" s="169">
        <v>58</v>
      </c>
      <c r="P18" s="169">
        <v>428</v>
      </c>
      <c r="Q18" s="169" t="s">
        <v>1463</v>
      </c>
      <c r="R18" s="169">
        <v>2</v>
      </c>
      <c r="S18" s="169">
        <v>2</v>
      </c>
      <c r="T18" s="169" t="s">
        <v>1464</v>
      </c>
      <c r="U18" s="169">
        <v>1</v>
      </c>
      <c r="V18" s="169">
        <v>0</v>
      </c>
      <c r="W18" s="169">
        <v>0</v>
      </c>
      <c r="X18" s="169" t="s">
        <v>1406</v>
      </c>
      <c r="Z18" s="169" t="s">
        <v>32</v>
      </c>
      <c r="AA18" s="169"/>
      <c r="AB18" s="169">
        <v>0</v>
      </c>
      <c r="AC18" s="169">
        <v>0</v>
      </c>
      <c r="AD18" s="169">
        <v>0</v>
      </c>
      <c r="AE18" s="169" t="s">
        <v>1446</v>
      </c>
      <c r="AG18" s="169" t="s">
        <v>1446</v>
      </c>
      <c r="AJ18" s="169">
        <v>0</v>
      </c>
      <c r="AK18" s="169" t="s">
        <v>1407</v>
      </c>
      <c r="AL18" s="169">
        <v>28032</v>
      </c>
      <c r="AM18" s="169" t="s">
        <v>1421</v>
      </c>
      <c r="AN18" s="169" t="s">
        <v>1545</v>
      </c>
      <c r="AO18" s="169">
        <v>28</v>
      </c>
      <c r="AP18" s="169" t="s">
        <v>1416</v>
      </c>
      <c r="AQ18" s="169">
        <v>0</v>
      </c>
      <c r="AR18" s="169" t="s">
        <v>1410</v>
      </c>
      <c r="AT18" s="169" t="s">
        <v>1417</v>
      </c>
      <c r="AU18" s="169" t="s">
        <v>1412</v>
      </c>
    </row>
    <row r="19" spans="1:47" x14ac:dyDescent="0.45">
      <c r="A19" s="169">
        <v>2705750008</v>
      </c>
      <c r="B19" s="169">
        <v>57</v>
      </c>
      <c r="C19" s="169" t="s">
        <v>1551</v>
      </c>
      <c r="D19" s="169">
        <v>57</v>
      </c>
      <c r="E19" s="169" t="s">
        <v>1552</v>
      </c>
      <c r="F19" s="169" t="s">
        <v>4288</v>
      </c>
      <c r="G19" s="169" t="s">
        <v>4289</v>
      </c>
      <c r="H19" s="169">
        <v>2</v>
      </c>
      <c r="I19" s="169" t="s">
        <v>4290</v>
      </c>
      <c r="J19" s="169" t="s">
        <v>1403</v>
      </c>
      <c r="K19" s="169">
        <v>2027</v>
      </c>
      <c r="L19" s="169">
        <v>2027</v>
      </c>
      <c r="M19" s="171">
        <v>46279</v>
      </c>
      <c r="N19" s="169" t="s">
        <v>36</v>
      </c>
      <c r="O19" s="169" t="s">
        <v>94</v>
      </c>
      <c r="P19" s="169">
        <v>121</v>
      </c>
      <c r="Q19" s="169" t="s">
        <v>1502</v>
      </c>
      <c r="R19" s="169">
        <v>2</v>
      </c>
      <c r="S19" s="169">
        <v>8</v>
      </c>
      <c r="T19" s="169" t="s">
        <v>1503</v>
      </c>
      <c r="U19" s="169">
        <v>6</v>
      </c>
      <c r="V19" s="169">
        <v>0</v>
      </c>
      <c r="W19" s="169">
        <v>0</v>
      </c>
      <c r="X19" s="169" t="s">
        <v>1406</v>
      </c>
      <c r="Z19" s="169" t="s">
        <v>32</v>
      </c>
      <c r="AA19" s="169"/>
      <c r="AB19" s="169">
        <v>0</v>
      </c>
      <c r="AC19" s="169">
        <v>0</v>
      </c>
      <c r="AD19" s="169">
        <v>0</v>
      </c>
      <c r="AE19" s="169" t="s">
        <v>1446</v>
      </c>
      <c r="AG19" s="169" t="s">
        <v>1446</v>
      </c>
      <c r="AJ19" s="169">
        <v>0</v>
      </c>
      <c r="AK19" s="169" t="s">
        <v>1407</v>
      </c>
      <c r="AL19" s="169">
        <v>28098</v>
      </c>
      <c r="AM19" s="169" t="s">
        <v>1418</v>
      </c>
      <c r="AN19" s="169" t="s">
        <v>1448</v>
      </c>
      <c r="AO19" s="169">
        <v>28</v>
      </c>
      <c r="AP19" s="169" t="s">
        <v>1416</v>
      </c>
      <c r="AQ19" s="169">
        <v>0</v>
      </c>
      <c r="AR19" s="169" t="s">
        <v>1410</v>
      </c>
      <c r="AT19" s="169" t="s">
        <v>1417</v>
      </c>
      <c r="AU19" s="169" t="s">
        <v>1412</v>
      </c>
    </row>
    <row r="20" spans="1:47" x14ac:dyDescent="0.45">
      <c r="A20" s="169">
        <v>2705750009</v>
      </c>
      <c r="B20" s="169">
        <v>57</v>
      </c>
      <c r="C20" s="169" t="s">
        <v>1551</v>
      </c>
      <c r="D20" s="169">
        <v>57</v>
      </c>
      <c r="E20" s="169" t="s">
        <v>1552</v>
      </c>
      <c r="F20" s="169" t="s">
        <v>4291</v>
      </c>
      <c r="G20" s="169" t="s">
        <v>4292</v>
      </c>
      <c r="H20" s="169">
        <v>1</v>
      </c>
      <c r="I20" s="169" t="s">
        <v>4293</v>
      </c>
      <c r="J20" s="169" t="s">
        <v>1403</v>
      </c>
      <c r="K20" s="169">
        <v>0</v>
      </c>
      <c r="L20" s="169">
        <v>2027</v>
      </c>
      <c r="M20" s="171">
        <v>46299</v>
      </c>
      <c r="N20" s="169" t="s">
        <v>36</v>
      </c>
      <c r="O20" s="169">
        <v>6</v>
      </c>
      <c r="P20" s="169">
        <v>488</v>
      </c>
      <c r="Q20" s="169" t="s">
        <v>1553</v>
      </c>
      <c r="R20" s="169">
        <v>2</v>
      </c>
      <c r="S20" s="169">
        <v>1</v>
      </c>
      <c r="T20" s="169" t="s">
        <v>1527</v>
      </c>
      <c r="U20" s="169">
        <v>3</v>
      </c>
      <c r="V20" s="169">
        <v>2780037</v>
      </c>
      <c r="W20" s="169">
        <v>0</v>
      </c>
      <c r="X20" s="169" t="s">
        <v>1406</v>
      </c>
      <c r="Z20" s="169" t="s">
        <v>32</v>
      </c>
      <c r="AA20" s="171">
        <v>46317</v>
      </c>
      <c r="AB20" s="169">
        <v>27</v>
      </c>
      <c r="AC20" s="169">
        <v>80037</v>
      </c>
      <c r="AD20" s="169">
        <v>57</v>
      </c>
      <c r="AE20" s="169" t="s">
        <v>1551</v>
      </c>
      <c r="AF20" s="169">
        <v>57</v>
      </c>
      <c r="AG20" s="169" t="s">
        <v>1552</v>
      </c>
      <c r="AH20" s="169" t="s">
        <v>36</v>
      </c>
      <c r="AI20" s="169">
        <v>6</v>
      </c>
      <c r="AJ20" s="169">
        <v>488</v>
      </c>
      <c r="AK20" s="169" t="s">
        <v>1407</v>
      </c>
      <c r="AL20" s="169">
        <v>28063</v>
      </c>
      <c r="AM20" s="169" t="s">
        <v>1418</v>
      </c>
      <c r="AN20" s="169" t="s">
        <v>2863</v>
      </c>
      <c r="AO20" s="169">
        <v>28</v>
      </c>
      <c r="AP20" s="169" t="s">
        <v>1416</v>
      </c>
      <c r="AQ20" s="169">
        <v>0</v>
      </c>
      <c r="AR20" s="169" t="s">
        <v>1410</v>
      </c>
      <c r="AT20" s="169" t="s">
        <v>1411</v>
      </c>
      <c r="AU20" s="169" t="s">
        <v>1412</v>
      </c>
    </row>
    <row r="21" spans="1:47" x14ac:dyDescent="0.45">
      <c r="A21" s="169">
        <v>2705750010</v>
      </c>
      <c r="B21" s="169">
        <v>57</v>
      </c>
      <c r="C21" s="169" t="s">
        <v>1551</v>
      </c>
      <c r="D21" s="169">
        <v>57</v>
      </c>
      <c r="E21" s="169" t="s">
        <v>1552</v>
      </c>
      <c r="F21" s="169" t="s">
        <v>4294</v>
      </c>
      <c r="G21" s="169" t="s">
        <v>4295</v>
      </c>
      <c r="H21" s="169">
        <v>2</v>
      </c>
      <c r="I21" s="169" t="s">
        <v>4296</v>
      </c>
      <c r="J21" s="169" t="s">
        <v>1403</v>
      </c>
      <c r="K21" s="169">
        <v>2027</v>
      </c>
      <c r="L21" s="169">
        <v>2027</v>
      </c>
      <c r="M21" s="171">
        <v>46280</v>
      </c>
      <c r="N21" s="169" t="s">
        <v>36</v>
      </c>
      <c r="O21" s="169">
        <v>7</v>
      </c>
      <c r="P21" s="169">
        <v>266</v>
      </c>
      <c r="Q21" s="169" t="s">
        <v>1526</v>
      </c>
      <c r="R21" s="169">
        <v>2</v>
      </c>
      <c r="S21" s="169">
        <v>1</v>
      </c>
      <c r="T21" s="169" t="s">
        <v>1527</v>
      </c>
      <c r="U21" s="169">
        <v>3</v>
      </c>
      <c r="V21" s="169">
        <v>2780015</v>
      </c>
      <c r="W21" s="169">
        <v>0</v>
      </c>
      <c r="X21" s="169" t="s">
        <v>1406</v>
      </c>
      <c r="Z21" s="169" t="s">
        <v>32</v>
      </c>
      <c r="AA21" s="171">
        <v>46309</v>
      </c>
      <c r="AB21" s="169">
        <v>27</v>
      </c>
      <c r="AC21" s="169">
        <v>80015</v>
      </c>
      <c r="AD21" s="169">
        <v>57</v>
      </c>
      <c r="AE21" s="169" t="s">
        <v>1551</v>
      </c>
      <c r="AF21" s="169">
        <v>57</v>
      </c>
      <c r="AG21" s="169" t="s">
        <v>1552</v>
      </c>
      <c r="AH21" s="169" t="s">
        <v>36</v>
      </c>
      <c r="AI21" s="169">
        <v>7</v>
      </c>
      <c r="AJ21" s="169">
        <v>266</v>
      </c>
      <c r="AK21" s="169" t="s">
        <v>1407</v>
      </c>
      <c r="AL21" s="169">
        <v>28277</v>
      </c>
      <c r="AM21" s="169" t="s">
        <v>1421</v>
      </c>
      <c r="AN21" s="169" t="s">
        <v>4297</v>
      </c>
      <c r="AO21" s="169">
        <v>28</v>
      </c>
      <c r="AP21" s="169" t="s">
        <v>1416</v>
      </c>
      <c r="AQ21" s="169">
        <v>0</v>
      </c>
      <c r="AR21" s="169" t="s">
        <v>1410</v>
      </c>
      <c r="AT21" s="169" t="s">
        <v>1417</v>
      </c>
      <c r="AU21" s="169" t="s">
        <v>1412</v>
      </c>
    </row>
    <row r="22" spans="1:47" x14ac:dyDescent="0.45">
      <c r="A22" s="169">
        <v>2705750011</v>
      </c>
      <c r="B22" s="169">
        <v>57</v>
      </c>
      <c r="C22" s="169" t="s">
        <v>1551</v>
      </c>
      <c r="D22" s="169">
        <v>57</v>
      </c>
      <c r="E22" s="169" t="s">
        <v>1552</v>
      </c>
      <c r="F22" s="169" t="s">
        <v>4298</v>
      </c>
      <c r="G22" s="169" t="s">
        <v>4299</v>
      </c>
      <c r="H22" s="169">
        <v>2</v>
      </c>
      <c r="I22" s="169" t="s">
        <v>4300</v>
      </c>
      <c r="J22" s="169" t="s">
        <v>1403</v>
      </c>
      <c r="K22" s="169">
        <v>2027</v>
      </c>
      <c r="L22" s="169">
        <v>2027</v>
      </c>
      <c r="M22" s="171">
        <v>46300</v>
      </c>
      <c r="N22" s="169" t="s">
        <v>36</v>
      </c>
      <c r="O22" s="169" t="s">
        <v>94</v>
      </c>
      <c r="P22" s="169">
        <v>490</v>
      </c>
      <c r="Q22" s="169" t="s">
        <v>1508</v>
      </c>
      <c r="R22" s="169">
        <v>2</v>
      </c>
      <c r="S22" s="169">
        <v>8</v>
      </c>
      <c r="T22" s="169" t="s">
        <v>1503</v>
      </c>
      <c r="U22" s="169">
        <v>6</v>
      </c>
      <c r="V22" s="169">
        <v>0</v>
      </c>
      <c r="W22" s="169">
        <v>0</v>
      </c>
      <c r="X22" s="169" t="s">
        <v>1406</v>
      </c>
      <c r="Z22" s="169" t="s">
        <v>32</v>
      </c>
      <c r="AA22" s="169"/>
      <c r="AB22" s="169">
        <v>0</v>
      </c>
      <c r="AC22" s="169">
        <v>0</v>
      </c>
      <c r="AD22" s="169">
        <v>0</v>
      </c>
      <c r="AE22" s="169" t="s">
        <v>1446</v>
      </c>
      <c r="AG22" s="169" t="s">
        <v>1446</v>
      </c>
      <c r="AJ22" s="169">
        <v>0</v>
      </c>
      <c r="AK22" s="169" t="s">
        <v>1407</v>
      </c>
      <c r="AL22" s="169">
        <v>28168</v>
      </c>
      <c r="AM22" s="169" t="s">
        <v>1418</v>
      </c>
      <c r="AN22" s="169" t="s">
        <v>1475</v>
      </c>
      <c r="AO22" s="169">
        <v>28</v>
      </c>
      <c r="AP22" s="169" t="s">
        <v>1416</v>
      </c>
      <c r="AQ22" s="169">
        <v>0</v>
      </c>
      <c r="AR22" s="169" t="s">
        <v>1410</v>
      </c>
      <c r="AT22" s="169" t="s">
        <v>1417</v>
      </c>
      <c r="AU22" s="169" t="s">
        <v>1412</v>
      </c>
    </row>
    <row r="23" spans="1:47" x14ac:dyDescent="0.45">
      <c r="A23" s="169">
        <v>2705750012</v>
      </c>
      <c r="B23" s="169">
        <v>57</v>
      </c>
      <c r="C23" s="169" t="s">
        <v>1551</v>
      </c>
      <c r="D23" s="169">
        <v>57</v>
      </c>
      <c r="E23" s="169" t="s">
        <v>1552</v>
      </c>
      <c r="F23" s="169" t="s">
        <v>4301</v>
      </c>
      <c r="G23" s="169" t="s">
        <v>4302</v>
      </c>
      <c r="H23" s="169">
        <v>1</v>
      </c>
      <c r="I23" s="169" t="s">
        <v>421</v>
      </c>
      <c r="J23" s="169" t="s">
        <v>1403</v>
      </c>
      <c r="K23" s="169">
        <v>2027</v>
      </c>
      <c r="L23" s="169">
        <v>2027</v>
      </c>
      <c r="M23" s="171">
        <v>46299</v>
      </c>
      <c r="N23" s="169" t="s">
        <v>36</v>
      </c>
      <c r="O23" s="169">
        <v>57</v>
      </c>
      <c r="P23" s="169">
        <v>645</v>
      </c>
      <c r="Q23" s="169" t="s">
        <v>1544</v>
      </c>
      <c r="R23" s="169">
        <v>2</v>
      </c>
      <c r="S23" s="169">
        <v>3</v>
      </c>
      <c r="T23" s="169" t="s">
        <v>1477</v>
      </c>
      <c r="U23" s="169">
        <v>4</v>
      </c>
      <c r="V23" s="169">
        <v>2780039</v>
      </c>
      <c r="W23" s="169">
        <v>0</v>
      </c>
      <c r="X23" s="169" t="s">
        <v>1406</v>
      </c>
      <c r="Z23" s="169" t="s">
        <v>32</v>
      </c>
      <c r="AA23" s="171">
        <v>46322</v>
      </c>
      <c r="AB23" s="169">
        <v>27</v>
      </c>
      <c r="AC23" s="169">
        <v>80039</v>
      </c>
      <c r="AD23" s="169">
        <v>57</v>
      </c>
      <c r="AE23" s="169" t="s">
        <v>1551</v>
      </c>
      <c r="AF23" s="169">
        <v>57</v>
      </c>
      <c r="AG23" s="169" t="s">
        <v>1552</v>
      </c>
      <c r="AH23" s="169" t="s">
        <v>36</v>
      </c>
      <c r="AI23" s="169">
        <v>57</v>
      </c>
      <c r="AJ23" s="169">
        <v>645</v>
      </c>
      <c r="AK23" s="169" t="s">
        <v>1407</v>
      </c>
      <c r="AL23" s="169">
        <v>28121</v>
      </c>
      <c r="AM23" s="169" t="s">
        <v>1418</v>
      </c>
      <c r="AN23" s="169" t="s">
        <v>1556</v>
      </c>
      <c r="AO23" s="169">
        <v>28</v>
      </c>
      <c r="AP23" s="169" t="s">
        <v>1416</v>
      </c>
      <c r="AQ23" s="169">
        <v>0</v>
      </c>
      <c r="AR23" s="169" t="s">
        <v>1410</v>
      </c>
      <c r="AT23" s="169" t="s">
        <v>1417</v>
      </c>
      <c r="AU23" s="169" t="s">
        <v>1412</v>
      </c>
    </row>
    <row r="24" spans="1:47" x14ac:dyDescent="0.45">
      <c r="A24" s="169">
        <v>2705750013</v>
      </c>
      <c r="B24" s="169">
        <v>57</v>
      </c>
      <c r="C24" s="169" t="s">
        <v>1551</v>
      </c>
      <c r="D24" s="169">
        <v>57</v>
      </c>
      <c r="E24" s="169" t="s">
        <v>1552</v>
      </c>
      <c r="F24" s="169" t="s">
        <v>4303</v>
      </c>
      <c r="G24" s="169" t="s">
        <v>4304</v>
      </c>
      <c r="H24" s="169">
        <v>2</v>
      </c>
      <c r="I24" s="169" t="s">
        <v>4305</v>
      </c>
      <c r="J24" s="169" t="s">
        <v>1403</v>
      </c>
      <c r="K24" s="169">
        <v>2027</v>
      </c>
      <c r="L24" s="169">
        <v>2027</v>
      </c>
      <c r="M24" s="171">
        <v>46271</v>
      </c>
      <c r="N24" s="169" t="s">
        <v>36</v>
      </c>
      <c r="O24" s="169">
        <v>57</v>
      </c>
      <c r="P24" s="169">
        <v>1756</v>
      </c>
      <c r="Q24" s="169" t="s">
        <v>2784</v>
      </c>
      <c r="R24" s="169">
        <v>2</v>
      </c>
      <c r="S24" s="169">
        <v>3</v>
      </c>
      <c r="T24" s="169" t="s">
        <v>1477</v>
      </c>
      <c r="U24" s="169">
        <v>4</v>
      </c>
      <c r="V24" s="169">
        <v>2780006</v>
      </c>
      <c r="W24" s="169">
        <v>0</v>
      </c>
      <c r="X24" s="169" t="s">
        <v>1406</v>
      </c>
      <c r="Z24" s="169" t="s">
        <v>32</v>
      </c>
      <c r="AA24" s="171">
        <v>46307</v>
      </c>
      <c r="AB24" s="169">
        <v>27</v>
      </c>
      <c r="AC24" s="169">
        <v>80006</v>
      </c>
      <c r="AD24" s="169">
        <v>57</v>
      </c>
      <c r="AE24" s="169" t="s">
        <v>1551</v>
      </c>
      <c r="AF24" s="169">
        <v>57</v>
      </c>
      <c r="AG24" s="169" t="s">
        <v>1552</v>
      </c>
      <c r="AH24" s="169" t="s">
        <v>36</v>
      </c>
      <c r="AI24" s="169">
        <v>57</v>
      </c>
      <c r="AJ24" s="169">
        <v>1756</v>
      </c>
      <c r="AK24" s="169" t="s">
        <v>1407</v>
      </c>
      <c r="AL24" s="169">
        <v>28203</v>
      </c>
      <c r="AM24" s="169" t="s">
        <v>1418</v>
      </c>
      <c r="AN24" s="169" t="s">
        <v>1619</v>
      </c>
      <c r="AO24" s="169">
        <v>28</v>
      </c>
      <c r="AP24" s="169" t="s">
        <v>1416</v>
      </c>
      <c r="AQ24" s="169">
        <v>0</v>
      </c>
      <c r="AR24" s="169" t="s">
        <v>1410</v>
      </c>
      <c r="AT24" s="169" t="s">
        <v>1417</v>
      </c>
      <c r="AU24" s="169" t="s">
        <v>1412</v>
      </c>
    </row>
    <row r="25" spans="1:47" x14ac:dyDescent="0.45">
      <c r="A25" s="169">
        <v>2705750015</v>
      </c>
      <c r="B25" s="169">
        <v>57</v>
      </c>
      <c r="C25" s="169" t="s">
        <v>1551</v>
      </c>
      <c r="D25" s="169">
        <v>57</v>
      </c>
      <c r="E25" s="169" t="s">
        <v>1552</v>
      </c>
      <c r="F25" s="169" t="s">
        <v>4306</v>
      </c>
      <c r="G25" s="169" t="s">
        <v>4307</v>
      </c>
      <c r="H25" s="169">
        <v>2</v>
      </c>
      <c r="I25" s="169" t="s">
        <v>4308</v>
      </c>
      <c r="J25" s="169" t="s">
        <v>1403</v>
      </c>
      <c r="K25" s="169">
        <v>2027</v>
      </c>
      <c r="L25" s="169">
        <v>2027</v>
      </c>
      <c r="M25" s="171">
        <v>46280</v>
      </c>
      <c r="N25" s="169" t="s">
        <v>36</v>
      </c>
      <c r="O25" s="169">
        <v>58</v>
      </c>
      <c r="P25" s="169">
        <v>968</v>
      </c>
      <c r="Q25" s="169" t="s">
        <v>1474</v>
      </c>
      <c r="R25" s="169">
        <v>2</v>
      </c>
      <c r="S25" s="169">
        <v>2</v>
      </c>
      <c r="T25" s="169" t="s">
        <v>1464</v>
      </c>
      <c r="U25" s="169">
        <v>1</v>
      </c>
      <c r="V25" s="169">
        <v>2780010</v>
      </c>
      <c r="W25" s="169">
        <v>0</v>
      </c>
      <c r="X25" s="169" t="s">
        <v>1406</v>
      </c>
      <c r="Z25" s="169" t="s">
        <v>32</v>
      </c>
      <c r="AA25" s="171">
        <v>46307</v>
      </c>
      <c r="AB25" s="169">
        <v>27</v>
      </c>
      <c r="AC25" s="169">
        <v>80010</v>
      </c>
      <c r="AD25" s="169">
        <v>57</v>
      </c>
      <c r="AE25" s="169" t="s">
        <v>1551</v>
      </c>
      <c r="AF25" s="169">
        <v>57</v>
      </c>
      <c r="AG25" s="169" t="s">
        <v>1552</v>
      </c>
      <c r="AH25" s="169" t="s">
        <v>36</v>
      </c>
      <c r="AI25" s="169">
        <v>58</v>
      </c>
      <c r="AJ25" s="169">
        <v>968</v>
      </c>
      <c r="AK25" s="169" t="s">
        <v>1407</v>
      </c>
      <c r="AL25" s="169">
        <v>28261</v>
      </c>
      <c r="AM25" s="169" t="s">
        <v>1414</v>
      </c>
      <c r="AN25" s="169" t="s">
        <v>1586</v>
      </c>
      <c r="AO25" s="169">
        <v>28</v>
      </c>
      <c r="AP25" s="169" t="s">
        <v>1416</v>
      </c>
      <c r="AQ25" s="169">
        <v>0</v>
      </c>
      <c r="AR25" s="169" t="s">
        <v>1410</v>
      </c>
      <c r="AT25" s="169" t="s">
        <v>1417</v>
      </c>
      <c r="AU25" s="169" t="s">
        <v>1412</v>
      </c>
    </row>
    <row r="26" spans="1:47" x14ac:dyDescent="0.45">
      <c r="A26" s="169">
        <v>2705750016</v>
      </c>
      <c r="B26" s="169">
        <v>57</v>
      </c>
      <c r="C26" s="169" t="s">
        <v>1551</v>
      </c>
      <c r="D26" s="169">
        <v>57</v>
      </c>
      <c r="E26" s="169" t="s">
        <v>1552</v>
      </c>
      <c r="F26" s="169" t="s">
        <v>4309</v>
      </c>
      <c r="G26" s="169" t="s">
        <v>4310</v>
      </c>
      <c r="H26" s="169">
        <v>2</v>
      </c>
      <c r="I26" s="169" t="s">
        <v>4311</v>
      </c>
      <c r="J26" s="169" t="s">
        <v>1403</v>
      </c>
      <c r="K26" s="169">
        <v>2027</v>
      </c>
      <c r="L26" s="169">
        <v>2027</v>
      </c>
      <c r="M26" s="171">
        <v>46294</v>
      </c>
      <c r="N26" s="169" t="s">
        <v>36</v>
      </c>
      <c r="O26" s="169">
        <v>7</v>
      </c>
      <c r="P26" s="169">
        <v>266</v>
      </c>
      <c r="Q26" s="169" t="s">
        <v>1526</v>
      </c>
      <c r="R26" s="169">
        <v>2</v>
      </c>
      <c r="S26" s="169">
        <v>1</v>
      </c>
      <c r="T26" s="169" t="s">
        <v>1527</v>
      </c>
      <c r="U26" s="169">
        <v>3</v>
      </c>
      <c r="V26" s="169">
        <v>0</v>
      </c>
      <c r="W26" s="169">
        <v>0</v>
      </c>
      <c r="X26" s="169" t="s">
        <v>1406</v>
      </c>
      <c r="Z26" s="169" t="s">
        <v>32</v>
      </c>
      <c r="AA26" s="169"/>
      <c r="AB26" s="169">
        <v>0</v>
      </c>
      <c r="AC26" s="169">
        <v>0</v>
      </c>
      <c r="AD26" s="169">
        <v>0</v>
      </c>
      <c r="AE26" s="169" t="s">
        <v>1446</v>
      </c>
      <c r="AG26" s="169" t="s">
        <v>1446</v>
      </c>
      <c r="AJ26" s="169">
        <v>0</v>
      </c>
      <c r="AK26" s="169" t="s">
        <v>1407</v>
      </c>
      <c r="AL26" s="169">
        <v>28296</v>
      </c>
      <c r="AM26" s="169" t="s">
        <v>1421</v>
      </c>
      <c r="AN26" s="169" t="s">
        <v>2807</v>
      </c>
      <c r="AO26" s="169">
        <v>28</v>
      </c>
      <c r="AP26" s="169" t="s">
        <v>1416</v>
      </c>
      <c r="AQ26" s="169">
        <v>0</v>
      </c>
      <c r="AR26" s="169" t="s">
        <v>1410</v>
      </c>
      <c r="AT26" s="169" t="s">
        <v>1417</v>
      </c>
      <c r="AU26" s="169" t="s">
        <v>1412</v>
      </c>
    </row>
    <row r="27" spans="1:47" x14ac:dyDescent="0.45">
      <c r="A27" s="169">
        <v>2705750017</v>
      </c>
      <c r="B27" s="169">
        <v>57</v>
      </c>
      <c r="C27" s="169" t="s">
        <v>1551</v>
      </c>
      <c r="D27" s="169">
        <v>57</v>
      </c>
      <c r="E27" s="169" t="s">
        <v>1552</v>
      </c>
      <c r="F27" s="169" t="s">
        <v>4312</v>
      </c>
      <c r="G27" s="169" t="s">
        <v>4313</v>
      </c>
      <c r="H27" s="169">
        <v>1</v>
      </c>
      <c r="I27" s="169" t="s">
        <v>154</v>
      </c>
      <c r="J27" s="169" t="s">
        <v>1403</v>
      </c>
      <c r="K27" s="169">
        <v>2027</v>
      </c>
      <c r="L27" s="169">
        <v>2027</v>
      </c>
      <c r="M27" s="171">
        <v>46315</v>
      </c>
      <c r="N27" s="169" t="s">
        <v>36</v>
      </c>
      <c r="O27" s="169" t="s">
        <v>135</v>
      </c>
      <c r="P27" s="169">
        <v>1786</v>
      </c>
      <c r="Q27" s="169" t="s">
        <v>4314</v>
      </c>
      <c r="R27" s="169">
        <v>2</v>
      </c>
      <c r="S27" s="169">
        <v>5</v>
      </c>
      <c r="T27" s="169" t="s">
        <v>1470</v>
      </c>
      <c r="U27" s="169">
        <v>15</v>
      </c>
      <c r="V27" s="169">
        <v>0</v>
      </c>
      <c r="W27" s="169">
        <v>0</v>
      </c>
      <c r="X27" s="169" t="s">
        <v>1406</v>
      </c>
      <c r="Z27" s="169" t="s">
        <v>32</v>
      </c>
      <c r="AA27" s="169"/>
      <c r="AB27" s="169">
        <v>0</v>
      </c>
      <c r="AC27" s="169">
        <v>0</v>
      </c>
      <c r="AD27" s="169">
        <v>0</v>
      </c>
      <c r="AE27" s="169" t="s">
        <v>1446</v>
      </c>
      <c r="AG27" s="169" t="s">
        <v>1446</v>
      </c>
      <c r="AJ27" s="169">
        <v>0</v>
      </c>
      <c r="AK27" s="169" t="s">
        <v>1407</v>
      </c>
      <c r="AL27" s="169">
        <v>28121</v>
      </c>
      <c r="AM27" s="169" t="s">
        <v>1418</v>
      </c>
      <c r="AN27" s="169" t="s">
        <v>1556</v>
      </c>
      <c r="AO27" s="169">
        <v>28</v>
      </c>
      <c r="AP27" s="169" t="s">
        <v>1416</v>
      </c>
      <c r="AQ27" s="169">
        <v>0</v>
      </c>
      <c r="AR27" s="169" t="s">
        <v>1410</v>
      </c>
      <c r="AT27" s="169" t="s">
        <v>1417</v>
      </c>
      <c r="AU27" s="169" t="s">
        <v>1412</v>
      </c>
    </row>
    <row r="28" spans="1:47" x14ac:dyDescent="0.45">
      <c r="A28" s="169">
        <v>2705750018</v>
      </c>
      <c r="B28" s="169">
        <v>57</v>
      </c>
      <c r="C28" s="169" t="s">
        <v>1551</v>
      </c>
      <c r="D28" s="169">
        <v>57</v>
      </c>
      <c r="E28" s="169" t="s">
        <v>1552</v>
      </c>
      <c r="F28" s="169" t="s">
        <v>4315</v>
      </c>
      <c r="G28" s="169" t="s">
        <v>4316</v>
      </c>
      <c r="H28" s="169">
        <v>2</v>
      </c>
      <c r="I28" s="169" t="s">
        <v>4317</v>
      </c>
      <c r="J28" s="169" t="s">
        <v>1403</v>
      </c>
      <c r="K28" s="169">
        <v>2027</v>
      </c>
      <c r="L28" s="169">
        <v>2027</v>
      </c>
      <c r="M28" s="171">
        <v>46321</v>
      </c>
      <c r="N28" s="169" t="s">
        <v>36</v>
      </c>
      <c r="O28" s="169">
        <v>57</v>
      </c>
      <c r="P28" s="169">
        <v>1756</v>
      </c>
      <c r="Q28" s="169" t="s">
        <v>2784</v>
      </c>
      <c r="R28" s="169">
        <v>2</v>
      </c>
      <c r="S28" s="169">
        <v>3</v>
      </c>
      <c r="T28" s="169" t="s">
        <v>1477</v>
      </c>
      <c r="U28" s="169">
        <v>4</v>
      </c>
      <c r="V28" s="169">
        <v>0</v>
      </c>
      <c r="W28" s="169">
        <v>0</v>
      </c>
      <c r="X28" s="169" t="s">
        <v>1406</v>
      </c>
      <c r="Z28" s="169" t="s">
        <v>32</v>
      </c>
      <c r="AA28" s="169"/>
      <c r="AB28" s="169">
        <v>0</v>
      </c>
      <c r="AC28" s="169">
        <v>0</v>
      </c>
      <c r="AD28" s="169">
        <v>0</v>
      </c>
      <c r="AE28" s="169" t="s">
        <v>1446</v>
      </c>
      <c r="AG28" s="169" t="s">
        <v>1446</v>
      </c>
      <c r="AJ28" s="169">
        <v>0</v>
      </c>
      <c r="AK28" s="169" t="s">
        <v>1407</v>
      </c>
      <c r="AL28" s="169">
        <v>28173</v>
      </c>
      <c r="AM28" s="169" t="s">
        <v>1418</v>
      </c>
      <c r="AN28" s="169" t="s">
        <v>1456</v>
      </c>
      <c r="AO28" s="169">
        <v>28</v>
      </c>
      <c r="AP28" s="169" t="s">
        <v>1416</v>
      </c>
      <c r="AQ28" s="169">
        <v>0</v>
      </c>
      <c r="AT28" s="169" t="s">
        <v>1417</v>
      </c>
      <c r="AU28" s="169" t="s">
        <v>1412</v>
      </c>
    </row>
    <row r="29" spans="1:47" x14ac:dyDescent="0.45">
      <c r="A29" s="169">
        <v>2705750019</v>
      </c>
      <c r="B29" s="169">
        <v>57</v>
      </c>
      <c r="C29" s="169" t="s">
        <v>1551</v>
      </c>
      <c r="D29" s="169">
        <v>57</v>
      </c>
      <c r="E29" s="169" t="s">
        <v>1552</v>
      </c>
      <c r="F29" s="169" t="s">
        <v>4318</v>
      </c>
      <c r="G29" s="169" t="s">
        <v>4319</v>
      </c>
      <c r="H29" s="169">
        <v>2</v>
      </c>
      <c r="I29" s="169" t="s">
        <v>1677</v>
      </c>
      <c r="J29" s="169" t="s">
        <v>1403</v>
      </c>
      <c r="K29" s="169">
        <v>2027</v>
      </c>
      <c r="L29" s="169">
        <v>2027</v>
      </c>
      <c r="M29" s="171">
        <v>46268</v>
      </c>
      <c r="N29" s="169" t="s">
        <v>36</v>
      </c>
      <c r="O29" s="169">
        <v>6</v>
      </c>
      <c r="P29" s="169">
        <v>488</v>
      </c>
      <c r="Q29" s="169" t="s">
        <v>1553</v>
      </c>
      <c r="R29" s="169">
        <v>2</v>
      </c>
      <c r="S29" s="169">
        <v>1</v>
      </c>
      <c r="T29" s="169" t="s">
        <v>1527</v>
      </c>
      <c r="U29" s="169">
        <v>3</v>
      </c>
      <c r="V29" s="169">
        <v>2780001</v>
      </c>
      <c r="W29" s="169">
        <v>0</v>
      </c>
      <c r="X29" s="169" t="s">
        <v>1406</v>
      </c>
      <c r="Z29" s="169" t="s">
        <v>32</v>
      </c>
      <c r="AA29" s="171">
        <v>46307</v>
      </c>
      <c r="AB29" s="169">
        <v>27</v>
      </c>
      <c r="AC29" s="169">
        <v>80001</v>
      </c>
      <c r="AD29" s="169">
        <v>57</v>
      </c>
      <c r="AE29" s="169" t="s">
        <v>1551</v>
      </c>
      <c r="AF29" s="169">
        <v>57</v>
      </c>
      <c r="AG29" s="169" t="s">
        <v>1552</v>
      </c>
      <c r="AH29" s="169" t="s">
        <v>36</v>
      </c>
      <c r="AI29" s="169">
        <v>6</v>
      </c>
      <c r="AJ29" s="169">
        <v>488</v>
      </c>
      <c r="AK29" s="169" t="s">
        <v>1407</v>
      </c>
      <c r="AL29" s="169">
        <v>28108</v>
      </c>
      <c r="AM29" s="169" t="s">
        <v>1418</v>
      </c>
      <c r="AN29" s="169" t="s">
        <v>1534</v>
      </c>
      <c r="AO29" s="169">
        <v>28</v>
      </c>
      <c r="AP29" s="169" t="s">
        <v>1416</v>
      </c>
      <c r="AQ29" s="169">
        <v>0</v>
      </c>
      <c r="AR29" s="169" t="s">
        <v>1410</v>
      </c>
      <c r="AT29" s="169" t="s">
        <v>1417</v>
      </c>
      <c r="AU29" s="169" t="s">
        <v>1412</v>
      </c>
    </row>
    <row r="30" spans="1:47" x14ac:dyDescent="0.45">
      <c r="A30" s="169">
        <v>2705750020</v>
      </c>
      <c r="B30" s="169">
        <v>57</v>
      </c>
      <c r="C30" s="169" t="s">
        <v>1551</v>
      </c>
      <c r="D30" s="169">
        <v>57</v>
      </c>
      <c r="E30" s="169" t="s">
        <v>1552</v>
      </c>
      <c r="F30" s="169" t="s">
        <v>4320</v>
      </c>
      <c r="G30" s="169" t="s">
        <v>4321</v>
      </c>
      <c r="H30" s="169">
        <v>1</v>
      </c>
      <c r="I30" s="169" t="s">
        <v>285</v>
      </c>
      <c r="J30" s="169" t="s">
        <v>1403</v>
      </c>
      <c r="K30" s="169">
        <v>2027</v>
      </c>
      <c r="L30" s="169">
        <v>2027</v>
      </c>
      <c r="M30" s="171">
        <v>46298</v>
      </c>
      <c r="N30" s="169" t="s">
        <v>36</v>
      </c>
      <c r="O30" s="169">
        <v>58</v>
      </c>
      <c r="P30" s="169">
        <v>428</v>
      </c>
      <c r="Q30" s="169" t="s">
        <v>1463</v>
      </c>
      <c r="R30" s="169">
        <v>2</v>
      </c>
      <c r="S30" s="169">
        <v>2</v>
      </c>
      <c r="T30" s="169" t="s">
        <v>1464</v>
      </c>
      <c r="U30" s="169">
        <v>1</v>
      </c>
      <c r="V30" s="169">
        <v>0</v>
      </c>
      <c r="W30" s="169">
        <v>0</v>
      </c>
      <c r="X30" s="169" t="s">
        <v>1406</v>
      </c>
      <c r="Z30" s="169" t="s">
        <v>32</v>
      </c>
      <c r="AA30" s="169"/>
      <c r="AB30" s="169">
        <v>0</v>
      </c>
      <c r="AC30" s="169">
        <v>0</v>
      </c>
      <c r="AD30" s="169">
        <v>0</v>
      </c>
      <c r="AE30" s="169" t="s">
        <v>1446</v>
      </c>
      <c r="AG30" s="169" t="s">
        <v>1446</v>
      </c>
      <c r="AJ30" s="169">
        <v>0</v>
      </c>
      <c r="AK30" s="169" t="s">
        <v>1407</v>
      </c>
      <c r="AL30" s="169">
        <v>28220</v>
      </c>
      <c r="AM30" s="169" t="s">
        <v>1421</v>
      </c>
      <c r="AN30" s="169" t="s">
        <v>4322</v>
      </c>
      <c r="AO30" s="169">
        <v>28</v>
      </c>
      <c r="AP30" s="169" t="s">
        <v>1416</v>
      </c>
      <c r="AQ30" s="169">
        <v>0</v>
      </c>
      <c r="AR30" s="169" t="s">
        <v>1410</v>
      </c>
      <c r="AT30" s="169" t="s">
        <v>1417</v>
      </c>
      <c r="AU30" s="169" t="s">
        <v>1412</v>
      </c>
    </row>
    <row r="31" spans="1:47" x14ac:dyDescent="0.45">
      <c r="A31" s="169">
        <v>2705750022</v>
      </c>
      <c r="B31" s="169">
        <v>57</v>
      </c>
      <c r="C31" s="169" t="s">
        <v>1551</v>
      </c>
      <c r="D31" s="169">
        <v>57</v>
      </c>
      <c r="E31" s="169" t="s">
        <v>1552</v>
      </c>
      <c r="F31" s="169" t="s">
        <v>4323</v>
      </c>
      <c r="G31" s="169" t="s">
        <v>4324</v>
      </c>
      <c r="H31" s="169">
        <v>2</v>
      </c>
      <c r="I31" s="169" t="s">
        <v>249</v>
      </c>
      <c r="J31" s="169" t="s">
        <v>1403</v>
      </c>
      <c r="K31" s="169">
        <v>2027</v>
      </c>
      <c r="L31" s="169">
        <v>2027</v>
      </c>
      <c r="M31" s="171">
        <v>46271</v>
      </c>
      <c r="N31" s="169" t="s">
        <v>36</v>
      </c>
      <c r="O31" s="169" t="s">
        <v>94</v>
      </c>
      <c r="P31" s="169">
        <v>1006</v>
      </c>
      <c r="Q31" s="169" t="s">
        <v>1612</v>
      </c>
      <c r="R31" s="169">
        <v>2</v>
      </c>
      <c r="S31" s="169">
        <v>8</v>
      </c>
      <c r="T31" s="169" t="s">
        <v>1503</v>
      </c>
      <c r="U31" s="169">
        <v>6</v>
      </c>
      <c r="V31" s="169">
        <v>0</v>
      </c>
      <c r="W31" s="169">
        <v>0</v>
      </c>
      <c r="X31" s="169" t="s">
        <v>1406</v>
      </c>
      <c r="Z31" s="169" t="s">
        <v>32</v>
      </c>
      <c r="AA31" s="169"/>
      <c r="AB31" s="169">
        <v>0</v>
      </c>
      <c r="AC31" s="169">
        <v>0</v>
      </c>
      <c r="AD31" s="169">
        <v>0</v>
      </c>
      <c r="AE31" s="169" t="s">
        <v>1446</v>
      </c>
      <c r="AG31" s="169" t="s">
        <v>1446</v>
      </c>
      <c r="AJ31" s="169">
        <v>0</v>
      </c>
      <c r="AK31" s="169" t="s">
        <v>1407</v>
      </c>
      <c r="AL31" s="169">
        <v>28032</v>
      </c>
      <c r="AM31" s="169" t="s">
        <v>1421</v>
      </c>
      <c r="AN31" s="169" t="s">
        <v>1545</v>
      </c>
      <c r="AO31" s="169">
        <v>28</v>
      </c>
      <c r="AP31" s="169" t="s">
        <v>1416</v>
      </c>
      <c r="AQ31" s="169">
        <v>0</v>
      </c>
      <c r="AR31" s="169" t="s">
        <v>1410</v>
      </c>
      <c r="AT31" s="169" t="s">
        <v>1417</v>
      </c>
      <c r="AU31" s="169" t="s">
        <v>1412</v>
      </c>
    </row>
    <row r="32" spans="1:47" x14ac:dyDescent="0.45">
      <c r="A32" s="169">
        <v>2705750023</v>
      </c>
      <c r="B32" s="169">
        <v>57</v>
      </c>
      <c r="C32" s="169" t="s">
        <v>1551</v>
      </c>
      <c r="D32" s="169">
        <v>57</v>
      </c>
      <c r="E32" s="169" t="s">
        <v>1552</v>
      </c>
      <c r="F32" s="169" t="s">
        <v>4325</v>
      </c>
      <c r="G32" s="169" t="s">
        <v>4326</v>
      </c>
      <c r="H32" s="169">
        <v>1</v>
      </c>
      <c r="I32" s="169" t="s">
        <v>281</v>
      </c>
      <c r="J32" s="169" t="s">
        <v>1403</v>
      </c>
      <c r="K32" s="169">
        <v>2027</v>
      </c>
      <c r="L32" s="169">
        <v>2027</v>
      </c>
      <c r="M32" s="171">
        <v>46277</v>
      </c>
      <c r="N32" s="169" t="s">
        <v>36</v>
      </c>
      <c r="O32" s="169">
        <v>58</v>
      </c>
      <c r="P32" s="169">
        <v>968</v>
      </c>
      <c r="Q32" s="169" t="s">
        <v>1474</v>
      </c>
      <c r="R32" s="169">
        <v>2</v>
      </c>
      <c r="S32" s="169">
        <v>2</v>
      </c>
      <c r="T32" s="169" t="s">
        <v>1464</v>
      </c>
      <c r="U32" s="169">
        <v>1</v>
      </c>
      <c r="V32" s="169">
        <v>2780017</v>
      </c>
      <c r="W32" s="169">
        <v>0</v>
      </c>
      <c r="X32" s="169" t="s">
        <v>1406</v>
      </c>
      <c r="Z32" s="169" t="s">
        <v>32</v>
      </c>
      <c r="AA32" s="171">
        <v>46309</v>
      </c>
      <c r="AB32" s="169">
        <v>27</v>
      </c>
      <c r="AC32" s="169">
        <v>80017</v>
      </c>
      <c r="AD32" s="169">
        <v>57</v>
      </c>
      <c r="AE32" s="169" t="s">
        <v>1551</v>
      </c>
      <c r="AF32" s="169">
        <v>57</v>
      </c>
      <c r="AG32" s="169" t="s">
        <v>1552</v>
      </c>
      <c r="AH32" s="169" t="s">
        <v>36</v>
      </c>
      <c r="AI32" s="169">
        <v>58</v>
      </c>
      <c r="AJ32" s="169">
        <v>968</v>
      </c>
      <c r="AK32" s="169" t="s">
        <v>1407</v>
      </c>
      <c r="AL32" s="169">
        <v>28117</v>
      </c>
      <c r="AM32" s="169" t="s">
        <v>1418</v>
      </c>
      <c r="AN32" s="169" t="s">
        <v>1576</v>
      </c>
      <c r="AO32" s="169">
        <v>28</v>
      </c>
      <c r="AP32" s="169" t="s">
        <v>1416</v>
      </c>
      <c r="AQ32" s="169">
        <v>0</v>
      </c>
      <c r="AR32" s="169" t="s">
        <v>1410</v>
      </c>
      <c r="AT32" s="169" t="s">
        <v>1417</v>
      </c>
      <c r="AU32" s="169" t="s">
        <v>1412</v>
      </c>
    </row>
    <row r="33" spans="1:47" x14ac:dyDescent="0.45">
      <c r="A33" s="169">
        <v>2705750024</v>
      </c>
      <c r="B33" s="169">
        <v>57</v>
      </c>
      <c r="C33" s="169" t="s">
        <v>1551</v>
      </c>
      <c r="D33" s="169">
        <v>57</v>
      </c>
      <c r="E33" s="169" t="s">
        <v>1552</v>
      </c>
      <c r="F33" s="169" t="s">
        <v>4327</v>
      </c>
      <c r="G33" s="169" t="s">
        <v>4328</v>
      </c>
      <c r="H33" s="169">
        <v>1</v>
      </c>
      <c r="I33" s="169" t="s">
        <v>4329</v>
      </c>
      <c r="J33" s="169" t="s">
        <v>1403</v>
      </c>
      <c r="K33" s="169">
        <v>2027</v>
      </c>
      <c r="L33" s="169">
        <v>2027</v>
      </c>
      <c r="M33" s="171">
        <v>46275</v>
      </c>
      <c r="N33" s="169" t="s">
        <v>36</v>
      </c>
      <c r="O33" s="169">
        <v>7</v>
      </c>
      <c r="P33" s="169">
        <v>266</v>
      </c>
      <c r="Q33" s="169" t="s">
        <v>1526</v>
      </c>
      <c r="R33" s="169">
        <v>2</v>
      </c>
      <c r="S33" s="169">
        <v>1</v>
      </c>
      <c r="T33" s="169" t="s">
        <v>1527</v>
      </c>
      <c r="U33" s="169">
        <v>3</v>
      </c>
      <c r="V33" s="169">
        <v>2780014</v>
      </c>
      <c r="W33" s="169">
        <v>0</v>
      </c>
      <c r="X33" s="169" t="s">
        <v>1406</v>
      </c>
      <c r="Z33" s="169" t="s">
        <v>32</v>
      </c>
      <c r="AA33" s="171">
        <v>46309</v>
      </c>
      <c r="AB33" s="169">
        <v>27</v>
      </c>
      <c r="AC33" s="169">
        <v>80014</v>
      </c>
      <c r="AD33" s="169">
        <v>57</v>
      </c>
      <c r="AE33" s="169" t="s">
        <v>1551</v>
      </c>
      <c r="AF33" s="169">
        <v>57</v>
      </c>
      <c r="AG33" s="169" t="s">
        <v>1552</v>
      </c>
      <c r="AH33" s="169" t="s">
        <v>36</v>
      </c>
      <c r="AI33" s="169">
        <v>7</v>
      </c>
      <c r="AJ33" s="169">
        <v>266</v>
      </c>
      <c r="AK33" s="169" t="s">
        <v>1407</v>
      </c>
      <c r="AL33" s="169">
        <v>28032</v>
      </c>
      <c r="AM33" s="169" t="s">
        <v>1421</v>
      </c>
      <c r="AN33" s="169" t="s">
        <v>1545</v>
      </c>
      <c r="AO33" s="169">
        <v>28</v>
      </c>
      <c r="AP33" s="169" t="s">
        <v>1416</v>
      </c>
      <c r="AQ33" s="169">
        <v>0</v>
      </c>
      <c r="AR33" s="169" t="s">
        <v>1410</v>
      </c>
      <c r="AT33" s="169" t="s">
        <v>1417</v>
      </c>
      <c r="AU33" s="169" t="s">
        <v>1412</v>
      </c>
    </row>
    <row r="34" spans="1:47" x14ac:dyDescent="0.45">
      <c r="A34" s="169">
        <v>2705750026</v>
      </c>
      <c r="B34" s="169">
        <v>57</v>
      </c>
      <c r="C34" s="169" t="s">
        <v>1551</v>
      </c>
      <c r="D34" s="169">
        <v>57</v>
      </c>
      <c r="E34" s="169" t="s">
        <v>1552</v>
      </c>
      <c r="F34" s="169" t="s">
        <v>4330</v>
      </c>
      <c r="G34" s="169" t="s">
        <v>4331</v>
      </c>
      <c r="H34" s="169">
        <v>2</v>
      </c>
      <c r="I34" s="169" t="s">
        <v>4279</v>
      </c>
      <c r="J34" s="169" t="s">
        <v>1403</v>
      </c>
      <c r="K34" s="169">
        <v>2027</v>
      </c>
      <c r="L34" s="169">
        <v>2027</v>
      </c>
      <c r="M34" s="171">
        <v>46284</v>
      </c>
      <c r="N34" s="169" t="s">
        <v>36</v>
      </c>
      <c r="O34" s="169">
        <v>7</v>
      </c>
      <c r="P34" s="169">
        <v>266</v>
      </c>
      <c r="Q34" s="169" t="s">
        <v>1526</v>
      </c>
      <c r="R34" s="169">
        <v>2</v>
      </c>
      <c r="S34" s="169">
        <v>1</v>
      </c>
      <c r="T34" s="169" t="s">
        <v>1527</v>
      </c>
      <c r="U34" s="169">
        <v>3</v>
      </c>
      <c r="V34" s="169">
        <v>2780025</v>
      </c>
      <c r="W34" s="169">
        <v>0</v>
      </c>
      <c r="X34" s="169" t="s">
        <v>1406</v>
      </c>
      <c r="Z34" s="169" t="s">
        <v>32</v>
      </c>
      <c r="AA34" s="171">
        <v>46314</v>
      </c>
      <c r="AB34" s="169">
        <v>27</v>
      </c>
      <c r="AC34" s="169">
        <v>80025</v>
      </c>
      <c r="AD34" s="169">
        <v>57</v>
      </c>
      <c r="AE34" s="169" t="s">
        <v>1551</v>
      </c>
      <c r="AF34" s="169">
        <v>57</v>
      </c>
      <c r="AG34" s="169" t="s">
        <v>1552</v>
      </c>
      <c r="AH34" s="169" t="s">
        <v>36</v>
      </c>
      <c r="AI34" s="169">
        <v>7</v>
      </c>
      <c r="AJ34" s="169">
        <v>266</v>
      </c>
      <c r="AK34" s="169" t="s">
        <v>1407</v>
      </c>
      <c r="AL34" s="169">
        <v>28030</v>
      </c>
      <c r="AM34" s="169" t="s">
        <v>1418</v>
      </c>
      <c r="AN34" s="169" t="s">
        <v>1566</v>
      </c>
      <c r="AO34" s="169">
        <v>28</v>
      </c>
      <c r="AP34" s="169" t="s">
        <v>1416</v>
      </c>
      <c r="AQ34" s="169">
        <v>0</v>
      </c>
      <c r="AR34" s="169" t="s">
        <v>1410</v>
      </c>
      <c r="AT34" s="169" t="s">
        <v>1417</v>
      </c>
      <c r="AU34" s="169" t="s">
        <v>1412</v>
      </c>
    </row>
    <row r="35" spans="1:47" x14ac:dyDescent="0.45">
      <c r="A35" s="169">
        <v>2705750028</v>
      </c>
      <c r="B35" s="169">
        <v>57</v>
      </c>
      <c r="C35" s="169" t="s">
        <v>1551</v>
      </c>
      <c r="D35" s="169">
        <v>57</v>
      </c>
      <c r="E35" s="169" t="s">
        <v>1552</v>
      </c>
      <c r="F35" s="169" t="s">
        <v>4332</v>
      </c>
      <c r="G35" s="169" t="s">
        <v>4333</v>
      </c>
      <c r="H35" s="169">
        <v>1</v>
      </c>
      <c r="I35" s="169" t="s">
        <v>4334</v>
      </c>
      <c r="J35" s="169" t="s">
        <v>1403</v>
      </c>
      <c r="K35" s="169">
        <v>0</v>
      </c>
      <c r="L35" s="169">
        <v>2027</v>
      </c>
      <c r="M35" s="171">
        <v>46269</v>
      </c>
      <c r="N35" s="169" t="s">
        <v>36</v>
      </c>
      <c r="O35" s="169">
        <v>57</v>
      </c>
      <c r="P35" s="169">
        <v>1775</v>
      </c>
      <c r="Q35" s="169" t="s">
        <v>3620</v>
      </c>
      <c r="R35" s="169">
        <v>2</v>
      </c>
      <c r="S35" s="169">
        <v>3</v>
      </c>
      <c r="T35" s="169" t="s">
        <v>1477</v>
      </c>
      <c r="U35" s="169">
        <v>4</v>
      </c>
      <c r="V35" s="169">
        <v>2780007</v>
      </c>
      <c r="W35" s="169">
        <v>0</v>
      </c>
      <c r="X35" s="169" t="s">
        <v>1406</v>
      </c>
      <c r="Z35" s="169" t="s">
        <v>32</v>
      </c>
      <c r="AA35" s="171">
        <v>46307</v>
      </c>
      <c r="AB35" s="169">
        <v>27</v>
      </c>
      <c r="AC35" s="169">
        <v>80007</v>
      </c>
      <c r="AD35" s="169">
        <v>57</v>
      </c>
      <c r="AE35" s="169" t="s">
        <v>1551</v>
      </c>
      <c r="AF35" s="169">
        <v>57</v>
      </c>
      <c r="AG35" s="169" t="s">
        <v>1552</v>
      </c>
      <c r="AH35" s="169" t="s">
        <v>36</v>
      </c>
      <c r="AI35" s="169">
        <v>57</v>
      </c>
      <c r="AJ35" s="169">
        <v>1775</v>
      </c>
      <c r="AK35" s="169" t="s">
        <v>1407</v>
      </c>
      <c r="AL35" s="169">
        <v>28108</v>
      </c>
      <c r="AM35" s="169" t="s">
        <v>1418</v>
      </c>
      <c r="AN35" s="169" t="s">
        <v>1534</v>
      </c>
      <c r="AO35" s="169">
        <v>28</v>
      </c>
      <c r="AP35" s="169" t="s">
        <v>1416</v>
      </c>
      <c r="AQ35" s="169">
        <v>0</v>
      </c>
      <c r="AR35" s="169" t="s">
        <v>1410</v>
      </c>
      <c r="AT35" s="169" t="s">
        <v>1411</v>
      </c>
      <c r="AU35" s="169" t="s">
        <v>1412</v>
      </c>
    </row>
    <row r="36" spans="1:47" x14ac:dyDescent="0.45">
      <c r="A36" s="169">
        <v>2705750030</v>
      </c>
      <c r="B36" s="169">
        <v>57</v>
      </c>
      <c r="C36" s="169" t="s">
        <v>1551</v>
      </c>
      <c r="D36" s="169">
        <v>57</v>
      </c>
      <c r="E36" s="169" t="s">
        <v>1552</v>
      </c>
      <c r="F36" s="169" t="s">
        <v>4335</v>
      </c>
      <c r="G36" s="169" t="s">
        <v>4336</v>
      </c>
      <c r="H36" s="169">
        <v>2</v>
      </c>
      <c r="I36" s="169" t="s">
        <v>991</v>
      </c>
      <c r="J36" s="169" t="s">
        <v>1403</v>
      </c>
      <c r="K36" s="169">
        <v>2027</v>
      </c>
      <c r="L36" s="169">
        <v>2027</v>
      </c>
      <c r="M36" s="171">
        <v>46296</v>
      </c>
      <c r="N36" s="169" t="s">
        <v>36</v>
      </c>
      <c r="O36" s="169" t="s">
        <v>94</v>
      </c>
      <c r="P36" s="169">
        <v>121</v>
      </c>
      <c r="Q36" s="169" t="s">
        <v>1502</v>
      </c>
      <c r="R36" s="169">
        <v>2</v>
      </c>
      <c r="S36" s="169">
        <v>8</v>
      </c>
      <c r="T36" s="169" t="s">
        <v>1503</v>
      </c>
      <c r="U36" s="169">
        <v>6</v>
      </c>
      <c r="V36" s="169">
        <v>0</v>
      </c>
      <c r="W36" s="169">
        <v>0</v>
      </c>
      <c r="X36" s="169" t="s">
        <v>1406</v>
      </c>
      <c r="Z36" s="169" t="s">
        <v>32</v>
      </c>
      <c r="AA36" s="169"/>
      <c r="AB36" s="169">
        <v>0</v>
      </c>
      <c r="AC36" s="169">
        <v>0</v>
      </c>
      <c r="AD36" s="169">
        <v>0</v>
      </c>
      <c r="AE36" s="169" t="s">
        <v>1446</v>
      </c>
      <c r="AG36" s="169" t="s">
        <v>1446</v>
      </c>
      <c r="AJ36" s="169">
        <v>0</v>
      </c>
      <c r="AK36" s="169" t="s">
        <v>1407</v>
      </c>
      <c r="AL36" s="169">
        <v>28200</v>
      </c>
      <c r="AM36" s="169" t="s">
        <v>1418</v>
      </c>
      <c r="AN36" s="169" t="s">
        <v>1520</v>
      </c>
      <c r="AO36" s="169">
        <v>28</v>
      </c>
      <c r="AP36" s="169" t="s">
        <v>1416</v>
      </c>
      <c r="AQ36" s="169">
        <v>0</v>
      </c>
      <c r="AR36" s="169" t="s">
        <v>1410</v>
      </c>
      <c r="AT36" s="169" t="s">
        <v>1417</v>
      </c>
      <c r="AU36" s="169" t="s">
        <v>1412</v>
      </c>
    </row>
    <row r="37" spans="1:47" x14ac:dyDescent="0.45">
      <c r="A37" s="169">
        <v>2705750031</v>
      </c>
      <c r="B37" s="169">
        <v>57</v>
      </c>
      <c r="C37" s="169" t="s">
        <v>1551</v>
      </c>
      <c r="D37" s="169">
        <v>57</v>
      </c>
      <c r="E37" s="169" t="s">
        <v>1552</v>
      </c>
      <c r="F37" s="169" t="s">
        <v>4337</v>
      </c>
      <c r="G37" s="169" t="s">
        <v>4338</v>
      </c>
      <c r="H37" s="169">
        <v>1</v>
      </c>
      <c r="I37" s="169" t="s">
        <v>4339</v>
      </c>
      <c r="J37" s="169" t="s">
        <v>1403</v>
      </c>
      <c r="K37" s="169">
        <v>2027</v>
      </c>
      <c r="L37" s="169">
        <v>2027</v>
      </c>
      <c r="M37" s="171">
        <v>46282</v>
      </c>
      <c r="N37" s="169" t="s">
        <v>36</v>
      </c>
      <c r="O37" s="169" t="s">
        <v>135</v>
      </c>
      <c r="P37" s="169">
        <v>502</v>
      </c>
      <c r="Q37" s="169" t="s">
        <v>1500</v>
      </c>
      <c r="R37" s="169">
        <v>2</v>
      </c>
      <c r="S37" s="169">
        <v>5</v>
      </c>
      <c r="T37" s="169" t="s">
        <v>1470</v>
      </c>
      <c r="U37" s="169">
        <v>15</v>
      </c>
      <c r="V37" s="169">
        <v>2780026</v>
      </c>
      <c r="W37" s="169">
        <v>0</v>
      </c>
      <c r="X37" s="169" t="s">
        <v>1406</v>
      </c>
      <c r="Z37" s="169" t="s">
        <v>32</v>
      </c>
      <c r="AA37" s="171">
        <v>46314</v>
      </c>
      <c r="AB37" s="169">
        <v>27</v>
      </c>
      <c r="AC37" s="169">
        <v>80026</v>
      </c>
      <c r="AD37" s="169">
        <v>57</v>
      </c>
      <c r="AE37" s="169" t="s">
        <v>1551</v>
      </c>
      <c r="AF37" s="169">
        <v>57</v>
      </c>
      <c r="AG37" s="169" t="s">
        <v>1552</v>
      </c>
      <c r="AH37" s="169" t="s">
        <v>36</v>
      </c>
      <c r="AI37" s="169" t="s">
        <v>135</v>
      </c>
      <c r="AJ37" s="169">
        <v>502</v>
      </c>
      <c r="AK37" s="169" t="s">
        <v>1407</v>
      </c>
      <c r="AL37" s="169">
        <v>28231</v>
      </c>
      <c r="AM37" s="169" t="s">
        <v>1418</v>
      </c>
      <c r="AN37" s="169" t="s">
        <v>1517</v>
      </c>
      <c r="AO37" s="169">
        <v>28</v>
      </c>
      <c r="AP37" s="169" t="s">
        <v>1416</v>
      </c>
      <c r="AQ37" s="169">
        <v>0</v>
      </c>
      <c r="AR37" s="169" t="s">
        <v>1410</v>
      </c>
      <c r="AT37" s="169" t="s">
        <v>1417</v>
      </c>
      <c r="AU37" s="169" t="s">
        <v>1412</v>
      </c>
    </row>
    <row r="38" spans="1:47" x14ac:dyDescent="0.45">
      <c r="A38" s="169">
        <v>2705750033</v>
      </c>
      <c r="B38" s="169">
        <v>57</v>
      </c>
      <c r="C38" s="169" t="s">
        <v>1551</v>
      </c>
      <c r="D38" s="169">
        <v>57</v>
      </c>
      <c r="E38" s="169" t="s">
        <v>1552</v>
      </c>
      <c r="F38" s="169" t="s">
        <v>4340</v>
      </c>
      <c r="G38" s="169" t="s">
        <v>4341</v>
      </c>
      <c r="H38" s="169">
        <v>2</v>
      </c>
      <c r="I38" s="169" t="s">
        <v>241</v>
      </c>
      <c r="J38" s="169" t="s">
        <v>1403</v>
      </c>
      <c r="K38" s="169">
        <v>2027</v>
      </c>
      <c r="L38" s="169">
        <v>2027</v>
      </c>
      <c r="M38" s="171">
        <v>46271</v>
      </c>
      <c r="N38" s="169" t="s">
        <v>36</v>
      </c>
      <c r="O38" s="169">
        <v>58</v>
      </c>
      <c r="P38" s="169">
        <v>968</v>
      </c>
      <c r="Q38" s="169" t="s">
        <v>1474</v>
      </c>
      <c r="R38" s="169">
        <v>2</v>
      </c>
      <c r="S38" s="169">
        <v>2</v>
      </c>
      <c r="T38" s="169" t="s">
        <v>1464</v>
      </c>
      <c r="U38" s="169">
        <v>1</v>
      </c>
      <c r="V38" s="169">
        <v>0</v>
      </c>
      <c r="W38" s="169">
        <v>0</v>
      </c>
      <c r="X38" s="169" t="s">
        <v>1406</v>
      </c>
      <c r="Z38" s="169" t="s">
        <v>32</v>
      </c>
      <c r="AA38" s="169"/>
      <c r="AB38" s="169">
        <v>0</v>
      </c>
      <c r="AC38" s="169">
        <v>0</v>
      </c>
      <c r="AD38" s="169">
        <v>0</v>
      </c>
      <c r="AE38" s="169" t="s">
        <v>1446</v>
      </c>
      <c r="AG38" s="169" t="s">
        <v>1446</v>
      </c>
      <c r="AJ38" s="169">
        <v>0</v>
      </c>
      <c r="AK38" s="169" t="s">
        <v>1407</v>
      </c>
      <c r="AL38" s="169">
        <v>28245</v>
      </c>
      <c r="AM38" s="169" t="s">
        <v>1418</v>
      </c>
      <c r="AN38" s="169" t="s">
        <v>2806</v>
      </c>
      <c r="AO38" s="169">
        <v>28</v>
      </c>
      <c r="AP38" s="169" t="s">
        <v>1416</v>
      </c>
      <c r="AQ38" s="169">
        <v>0</v>
      </c>
      <c r="AR38" s="169" t="s">
        <v>1410</v>
      </c>
      <c r="AT38" s="169" t="s">
        <v>1417</v>
      </c>
      <c r="AU38" s="169" t="s">
        <v>1412</v>
      </c>
    </row>
    <row r="39" spans="1:47" x14ac:dyDescent="0.45">
      <c r="A39" s="169">
        <v>2705750034</v>
      </c>
      <c r="B39" s="169">
        <v>57</v>
      </c>
      <c r="C39" s="169" t="s">
        <v>1551</v>
      </c>
      <c r="D39" s="169">
        <v>57</v>
      </c>
      <c r="E39" s="169" t="s">
        <v>1552</v>
      </c>
      <c r="F39" s="169" t="s">
        <v>4342</v>
      </c>
      <c r="G39" s="169" t="s">
        <v>4343</v>
      </c>
      <c r="H39" s="169">
        <v>1</v>
      </c>
      <c r="I39" s="169" t="s">
        <v>4344</v>
      </c>
      <c r="J39" s="169" t="s">
        <v>1403</v>
      </c>
      <c r="K39" s="169">
        <v>2027</v>
      </c>
      <c r="L39" s="169">
        <v>2027</v>
      </c>
      <c r="M39" s="171">
        <v>46309</v>
      </c>
      <c r="N39" s="169" t="s">
        <v>36</v>
      </c>
      <c r="O39" s="169">
        <v>58</v>
      </c>
      <c r="P39" s="169">
        <v>428</v>
      </c>
      <c r="Q39" s="169" t="s">
        <v>1463</v>
      </c>
      <c r="R39" s="169">
        <v>2</v>
      </c>
      <c r="S39" s="169">
        <v>2</v>
      </c>
      <c r="T39" s="169" t="s">
        <v>1464</v>
      </c>
      <c r="U39" s="169">
        <v>1</v>
      </c>
      <c r="V39" s="169">
        <v>0</v>
      </c>
      <c r="W39" s="169">
        <v>0</v>
      </c>
      <c r="X39" s="169" t="s">
        <v>1406</v>
      </c>
      <c r="Z39" s="169" t="s">
        <v>32</v>
      </c>
      <c r="AA39" s="169"/>
      <c r="AB39" s="169">
        <v>0</v>
      </c>
      <c r="AC39" s="169">
        <v>0</v>
      </c>
      <c r="AD39" s="169">
        <v>0</v>
      </c>
      <c r="AE39" s="169" t="s">
        <v>1446</v>
      </c>
      <c r="AG39" s="169" t="s">
        <v>1446</v>
      </c>
      <c r="AJ39" s="169">
        <v>0</v>
      </c>
      <c r="AK39" s="169" t="s">
        <v>1407</v>
      </c>
      <c r="AL39" s="169">
        <v>31006</v>
      </c>
      <c r="AM39" s="169" t="s">
        <v>1421</v>
      </c>
      <c r="AN39" s="169" t="s">
        <v>1486</v>
      </c>
      <c r="AO39" s="169">
        <v>31</v>
      </c>
      <c r="AP39" s="169" t="s">
        <v>1487</v>
      </c>
      <c r="AQ39" s="169">
        <v>0</v>
      </c>
      <c r="AR39" s="169" t="s">
        <v>1410</v>
      </c>
      <c r="AT39" s="169" t="s">
        <v>1417</v>
      </c>
      <c r="AU39" s="169" t="s">
        <v>1412</v>
      </c>
    </row>
    <row r="40" spans="1:47" x14ac:dyDescent="0.45">
      <c r="A40" s="169">
        <v>2705750036</v>
      </c>
      <c r="B40" s="169">
        <v>57</v>
      </c>
      <c r="C40" s="169" t="s">
        <v>1551</v>
      </c>
      <c r="D40" s="169">
        <v>57</v>
      </c>
      <c r="E40" s="169" t="s">
        <v>1552</v>
      </c>
      <c r="F40" s="169" t="s">
        <v>4345</v>
      </c>
      <c r="G40" s="169" t="s">
        <v>4346</v>
      </c>
      <c r="H40" s="169">
        <v>1</v>
      </c>
      <c r="I40" s="169" t="s">
        <v>1134</v>
      </c>
      <c r="J40" s="169" t="s">
        <v>1403</v>
      </c>
      <c r="K40" s="169">
        <v>2027</v>
      </c>
      <c r="L40" s="169">
        <v>2027</v>
      </c>
      <c r="M40" s="171">
        <v>46313</v>
      </c>
      <c r="N40" s="169" t="s">
        <v>36</v>
      </c>
      <c r="O40" s="169">
        <v>58</v>
      </c>
      <c r="P40" s="169">
        <v>428</v>
      </c>
      <c r="Q40" s="169" t="s">
        <v>1463</v>
      </c>
      <c r="R40" s="169">
        <v>2</v>
      </c>
      <c r="S40" s="169">
        <v>2</v>
      </c>
      <c r="T40" s="169" t="s">
        <v>1464</v>
      </c>
      <c r="U40" s="169">
        <v>1</v>
      </c>
      <c r="V40" s="169">
        <v>0</v>
      </c>
      <c r="W40" s="169">
        <v>0</v>
      </c>
      <c r="X40" s="169" t="s">
        <v>1406</v>
      </c>
      <c r="Z40" s="169" t="s">
        <v>32</v>
      </c>
      <c r="AA40" s="169"/>
      <c r="AB40" s="169">
        <v>0</v>
      </c>
      <c r="AC40" s="169">
        <v>0</v>
      </c>
      <c r="AD40" s="169">
        <v>0</v>
      </c>
      <c r="AE40" s="169" t="s">
        <v>1446</v>
      </c>
      <c r="AG40" s="169" t="s">
        <v>1446</v>
      </c>
      <c r="AJ40" s="169">
        <v>0</v>
      </c>
      <c r="AK40" s="169" t="s">
        <v>1407</v>
      </c>
      <c r="AL40" s="169">
        <v>28022</v>
      </c>
      <c r="AM40" s="169" t="s">
        <v>1421</v>
      </c>
      <c r="AN40" s="169" t="s">
        <v>1571</v>
      </c>
      <c r="AO40" s="169">
        <v>28</v>
      </c>
      <c r="AP40" s="169" t="s">
        <v>1416</v>
      </c>
      <c r="AQ40" s="169">
        <v>0</v>
      </c>
      <c r="AR40" s="169" t="s">
        <v>1410</v>
      </c>
      <c r="AT40" s="169" t="s">
        <v>1417</v>
      </c>
      <c r="AU40" s="169" t="s">
        <v>1412</v>
      </c>
    </row>
    <row r="41" spans="1:47" x14ac:dyDescent="0.45">
      <c r="A41" s="169">
        <v>2705750037</v>
      </c>
      <c r="B41" s="169">
        <v>57</v>
      </c>
      <c r="C41" s="169" t="s">
        <v>1551</v>
      </c>
      <c r="D41" s="169">
        <v>57</v>
      </c>
      <c r="E41" s="169" t="s">
        <v>1552</v>
      </c>
      <c r="F41" s="169" t="s">
        <v>4347</v>
      </c>
      <c r="G41" s="169" t="s">
        <v>4348</v>
      </c>
      <c r="H41" s="169">
        <v>2</v>
      </c>
      <c r="I41" s="169" t="s">
        <v>3168</v>
      </c>
      <c r="J41" s="169" t="s">
        <v>1605</v>
      </c>
      <c r="K41" s="169">
        <v>2027</v>
      </c>
      <c r="L41" s="169">
        <v>2027</v>
      </c>
      <c r="M41" s="171">
        <v>46269</v>
      </c>
      <c r="N41" s="169" t="s">
        <v>36</v>
      </c>
      <c r="O41" s="169" t="s">
        <v>94</v>
      </c>
      <c r="P41" s="169">
        <v>273</v>
      </c>
      <c r="Q41" s="169" t="s">
        <v>1506</v>
      </c>
      <c r="R41" s="169">
        <v>2</v>
      </c>
      <c r="S41" s="169">
        <v>8</v>
      </c>
      <c r="T41" s="169" t="s">
        <v>1503</v>
      </c>
      <c r="U41" s="169">
        <v>6</v>
      </c>
      <c r="V41" s="169">
        <v>2780009</v>
      </c>
      <c r="W41" s="169">
        <v>0</v>
      </c>
      <c r="X41" s="169" t="s">
        <v>1406</v>
      </c>
      <c r="Z41" s="169" t="s">
        <v>32</v>
      </c>
      <c r="AA41" s="171">
        <v>46307</v>
      </c>
      <c r="AB41" s="169">
        <v>27</v>
      </c>
      <c r="AC41" s="169">
        <v>80009</v>
      </c>
      <c r="AD41" s="169">
        <v>57</v>
      </c>
      <c r="AE41" s="169" t="s">
        <v>1551</v>
      </c>
      <c r="AF41" s="169">
        <v>57</v>
      </c>
      <c r="AG41" s="169" t="s">
        <v>1552</v>
      </c>
      <c r="AH41" s="169" t="s">
        <v>36</v>
      </c>
      <c r="AI41" s="169" t="s">
        <v>94</v>
      </c>
      <c r="AJ41" s="169">
        <v>273</v>
      </c>
      <c r="AK41" s="169" t="s">
        <v>1407</v>
      </c>
      <c r="AL41" s="169">
        <v>37008</v>
      </c>
      <c r="AM41" s="169" t="s">
        <v>1421</v>
      </c>
      <c r="AN41" s="169" t="s">
        <v>4349</v>
      </c>
      <c r="AO41" s="169">
        <v>37</v>
      </c>
      <c r="AP41" s="169" t="s">
        <v>1573</v>
      </c>
      <c r="AQ41" s="169">
        <v>0</v>
      </c>
      <c r="AR41" s="169" t="s">
        <v>1410</v>
      </c>
      <c r="AT41" s="169" t="s">
        <v>1417</v>
      </c>
      <c r="AU41" s="169" t="s">
        <v>1412</v>
      </c>
    </row>
    <row r="42" spans="1:47" x14ac:dyDescent="0.45">
      <c r="A42" s="169">
        <v>2705750038</v>
      </c>
      <c r="B42" s="169">
        <v>57</v>
      </c>
      <c r="C42" s="169" t="s">
        <v>1551</v>
      </c>
      <c r="D42" s="169">
        <v>57</v>
      </c>
      <c r="E42" s="169" t="s">
        <v>1552</v>
      </c>
      <c r="F42" s="169" t="s">
        <v>4350</v>
      </c>
      <c r="G42" s="169" t="s">
        <v>4351</v>
      </c>
      <c r="H42" s="169">
        <v>1</v>
      </c>
      <c r="I42" s="169" t="s">
        <v>216</v>
      </c>
      <c r="J42" s="169" t="s">
        <v>1403</v>
      </c>
      <c r="K42" s="169">
        <v>2027</v>
      </c>
      <c r="L42" s="169">
        <v>2027</v>
      </c>
      <c r="M42" s="171">
        <v>46266</v>
      </c>
      <c r="N42" s="169" t="s">
        <v>36</v>
      </c>
      <c r="O42" s="169" t="s">
        <v>135</v>
      </c>
      <c r="P42" s="169">
        <v>502</v>
      </c>
      <c r="Q42" s="169" t="s">
        <v>1500</v>
      </c>
      <c r="R42" s="169">
        <v>2</v>
      </c>
      <c r="S42" s="169">
        <v>5</v>
      </c>
      <c r="T42" s="169" t="s">
        <v>1470</v>
      </c>
      <c r="U42" s="169">
        <v>15</v>
      </c>
      <c r="V42" s="169">
        <v>2780016</v>
      </c>
      <c r="W42" s="169">
        <v>0</v>
      </c>
      <c r="X42" s="169" t="s">
        <v>1406</v>
      </c>
      <c r="Z42" s="169" t="s">
        <v>32</v>
      </c>
      <c r="AA42" s="171">
        <v>46309</v>
      </c>
      <c r="AB42" s="169">
        <v>27</v>
      </c>
      <c r="AC42" s="169">
        <v>80016</v>
      </c>
      <c r="AD42" s="169">
        <v>57</v>
      </c>
      <c r="AE42" s="169" t="s">
        <v>1551</v>
      </c>
      <c r="AF42" s="169">
        <v>57</v>
      </c>
      <c r="AG42" s="169" t="s">
        <v>1552</v>
      </c>
      <c r="AH42" s="169" t="s">
        <v>36</v>
      </c>
      <c r="AI42" s="169" t="s">
        <v>135</v>
      </c>
      <c r="AJ42" s="169">
        <v>502</v>
      </c>
      <c r="AK42" s="169" t="s">
        <v>1407</v>
      </c>
      <c r="AL42" s="169">
        <v>28032</v>
      </c>
      <c r="AM42" s="169" t="s">
        <v>1421</v>
      </c>
      <c r="AN42" s="169" t="s">
        <v>1545</v>
      </c>
      <c r="AO42" s="169">
        <v>28</v>
      </c>
      <c r="AP42" s="169" t="s">
        <v>1416</v>
      </c>
      <c r="AQ42" s="169">
        <v>0</v>
      </c>
      <c r="AR42" s="169" t="s">
        <v>1410</v>
      </c>
      <c r="AT42" s="169" t="s">
        <v>1417</v>
      </c>
      <c r="AU42" s="169" t="s">
        <v>1412</v>
      </c>
    </row>
    <row r="43" spans="1:47" x14ac:dyDescent="0.45">
      <c r="A43" s="169">
        <v>2705750039</v>
      </c>
      <c r="B43" s="169">
        <v>57</v>
      </c>
      <c r="C43" s="169" t="s">
        <v>1551</v>
      </c>
      <c r="D43" s="169">
        <v>57</v>
      </c>
      <c r="E43" s="169" t="s">
        <v>1552</v>
      </c>
      <c r="F43" s="169" t="s">
        <v>4352</v>
      </c>
      <c r="G43" s="169" t="s">
        <v>4353</v>
      </c>
      <c r="H43" s="169">
        <v>1</v>
      </c>
      <c r="I43" s="169" t="s">
        <v>2050</v>
      </c>
      <c r="J43" s="169" t="s">
        <v>1403</v>
      </c>
      <c r="K43" s="169">
        <v>2027</v>
      </c>
      <c r="L43" s="169">
        <v>2027</v>
      </c>
      <c r="M43" s="171">
        <v>46267</v>
      </c>
      <c r="N43" s="169" t="s">
        <v>36</v>
      </c>
      <c r="O43" s="169">
        <v>6</v>
      </c>
      <c r="P43" s="169">
        <v>488</v>
      </c>
      <c r="Q43" s="169" t="s">
        <v>1553</v>
      </c>
      <c r="R43" s="169">
        <v>2</v>
      </c>
      <c r="S43" s="169">
        <v>1</v>
      </c>
      <c r="T43" s="169" t="s">
        <v>1527</v>
      </c>
      <c r="U43" s="169">
        <v>3</v>
      </c>
      <c r="V43" s="169">
        <v>2780024</v>
      </c>
      <c r="W43" s="169">
        <v>0</v>
      </c>
      <c r="X43" s="169" t="s">
        <v>1406</v>
      </c>
      <c r="Z43" s="169" t="s">
        <v>32</v>
      </c>
      <c r="AA43" s="171">
        <v>46310</v>
      </c>
      <c r="AB43" s="169">
        <v>27</v>
      </c>
      <c r="AC43" s="169">
        <v>80024</v>
      </c>
      <c r="AD43" s="169">
        <v>57</v>
      </c>
      <c r="AE43" s="169" t="s">
        <v>1551</v>
      </c>
      <c r="AF43" s="169">
        <v>57</v>
      </c>
      <c r="AG43" s="169" t="s">
        <v>1552</v>
      </c>
      <c r="AH43" s="169" t="s">
        <v>36</v>
      </c>
      <c r="AI43" s="169">
        <v>6</v>
      </c>
      <c r="AJ43" s="169">
        <v>488</v>
      </c>
      <c r="AK43" s="169" t="s">
        <v>1407</v>
      </c>
      <c r="AL43" s="169">
        <v>28030</v>
      </c>
      <c r="AM43" s="169" t="s">
        <v>1418</v>
      </c>
      <c r="AN43" s="169" t="s">
        <v>1566</v>
      </c>
      <c r="AO43" s="169">
        <v>28</v>
      </c>
      <c r="AP43" s="169" t="s">
        <v>1416</v>
      </c>
      <c r="AQ43" s="169">
        <v>0</v>
      </c>
      <c r="AR43" s="169" t="s">
        <v>1410</v>
      </c>
      <c r="AT43" s="169" t="s">
        <v>1417</v>
      </c>
      <c r="AU43" s="169" t="s">
        <v>1412</v>
      </c>
    </row>
    <row r="44" spans="1:47" x14ac:dyDescent="0.45">
      <c r="A44" s="169">
        <v>2705750040</v>
      </c>
      <c r="B44" s="169">
        <v>57</v>
      </c>
      <c r="C44" s="169" t="s">
        <v>1551</v>
      </c>
      <c r="D44" s="169">
        <v>57</v>
      </c>
      <c r="E44" s="169" t="s">
        <v>1552</v>
      </c>
      <c r="F44" s="169" t="s">
        <v>4354</v>
      </c>
      <c r="G44" s="169" t="s">
        <v>4355</v>
      </c>
      <c r="H44" s="169">
        <v>1</v>
      </c>
      <c r="I44" s="169" t="s">
        <v>285</v>
      </c>
      <c r="J44" s="169" t="s">
        <v>1403</v>
      </c>
      <c r="K44" s="169">
        <v>2027</v>
      </c>
      <c r="L44" s="169">
        <v>2027</v>
      </c>
      <c r="M44" s="171">
        <v>46273</v>
      </c>
      <c r="N44" s="169" t="s">
        <v>36</v>
      </c>
      <c r="O44" s="169">
        <v>6</v>
      </c>
      <c r="P44" s="169">
        <v>488</v>
      </c>
      <c r="Q44" s="169" t="s">
        <v>1553</v>
      </c>
      <c r="R44" s="169">
        <v>2</v>
      </c>
      <c r="S44" s="169">
        <v>1</v>
      </c>
      <c r="T44" s="169" t="s">
        <v>1527</v>
      </c>
      <c r="U44" s="169">
        <v>3</v>
      </c>
      <c r="V44" s="169">
        <v>2780003</v>
      </c>
      <c r="W44" s="169">
        <v>0</v>
      </c>
      <c r="X44" s="169" t="s">
        <v>1406</v>
      </c>
      <c r="Z44" s="169" t="s">
        <v>32</v>
      </c>
      <c r="AA44" s="171">
        <v>46307</v>
      </c>
      <c r="AB44" s="169">
        <v>27</v>
      </c>
      <c r="AC44" s="169">
        <v>80003</v>
      </c>
      <c r="AD44" s="169">
        <v>57</v>
      </c>
      <c r="AE44" s="169" t="s">
        <v>1551</v>
      </c>
      <c r="AF44" s="169">
        <v>57</v>
      </c>
      <c r="AG44" s="169" t="s">
        <v>1552</v>
      </c>
      <c r="AH44" s="169" t="s">
        <v>36</v>
      </c>
      <c r="AI44" s="169">
        <v>6</v>
      </c>
      <c r="AJ44" s="169">
        <v>488</v>
      </c>
      <c r="AK44" s="169" t="s">
        <v>1407</v>
      </c>
      <c r="AL44" s="169">
        <v>28030</v>
      </c>
      <c r="AM44" s="169" t="s">
        <v>1418</v>
      </c>
      <c r="AN44" s="169" t="s">
        <v>1566</v>
      </c>
      <c r="AO44" s="169">
        <v>28</v>
      </c>
      <c r="AP44" s="169" t="s">
        <v>1416</v>
      </c>
      <c r="AQ44" s="169">
        <v>0</v>
      </c>
      <c r="AR44" s="169" t="s">
        <v>1410</v>
      </c>
      <c r="AT44" s="169" t="s">
        <v>1417</v>
      </c>
      <c r="AU44" s="169" t="s">
        <v>1412</v>
      </c>
    </row>
    <row r="45" spans="1:47" x14ac:dyDescent="0.45">
      <c r="A45" s="169">
        <v>2705750041</v>
      </c>
      <c r="B45" s="169">
        <v>57</v>
      </c>
      <c r="C45" s="169" t="s">
        <v>1551</v>
      </c>
      <c r="D45" s="169">
        <v>57</v>
      </c>
      <c r="E45" s="169" t="s">
        <v>1552</v>
      </c>
      <c r="F45" s="169" t="s">
        <v>4356</v>
      </c>
      <c r="G45" s="169" t="s">
        <v>4357</v>
      </c>
      <c r="H45" s="169">
        <v>1</v>
      </c>
      <c r="I45" s="169" t="s">
        <v>4358</v>
      </c>
      <c r="J45" s="169" t="s">
        <v>1403</v>
      </c>
      <c r="K45" s="169">
        <v>2027</v>
      </c>
      <c r="L45" s="169">
        <v>2027</v>
      </c>
      <c r="M45" s="171">
        <v>46268</v>
      </c>
      <c r="N45" s="169" t="s">
        <v>36</v>
      </c>
      <c r="O45" s="169">
        <v>6</v>
      </c>
      <c r="P45" s="169">
        <v>488</v>
      </c>
      <c r="Q45" s="169" t="s">
        <v>1553</v>
      </c>
      <c r="R45" s="169">
        <v>2</v>
      </c>
      <c r="S45" s="169">
        <v>1</v>
      </c>
      <c r="T45" s="169" t="s">
        <v>1527</v>
      </c>
      <c r="U45" s="169">
        <v>3</v>
      </c>
      <c r="V45" s="169">
        <v>2780020</v>
      </c>
      <c r="W45" s="169">
        <v>0</v>
      </c>
      <c r="X45" s="169" t="s">
        <v>1406</v>
      </c>
      <c r="Z45" s="169" t="s">
        <v>32</v>
      </c>
      <c r="AA45" s="171">
        <v>46310</v>
      </c>
      <c r="AB45" s="169">
        <v>27</v>
      </c>
      <c r="AC45" s="169">
        <v>80020</v>
      </c>
      <c r="AD45" s="169">
        <v>57</v>
      </c>
      <c r="AE45" s="169" t="s">
        <v>1551</v>
      </c>
      <c r="AF45" s="169">
        <v>57</v>
      </c>
      <c r="AG45" s="169" t="s">
        <v>1552</v>
      </c>
      <c r="AH45" s="169" t="s">
        <v>36</v>
      </c>
      <c r="AI45" s="169">
        <v>6</v>
      </c>
      <c r="AJ45" s="169">
        <v>488</v>
      </c>
      <c r="AK45" s="169" t="s">
        <v>1407</v>
      </c>
      <c r="AL45" s="169">
        <v>28030</v>
      </c>
      <c r="AM45" s="169" t="s">
        <v>1418</v>
      </c>
      <c r="AN45" s="169" t="s">
        <v>1566</v>
      </c>
      <c r="AO45" s="169">
        <v>28</v>
      </c>
      <c r="AP45" s="169" t="s">
        <v>1416</v>
      </c>
      <c r="AQ45" s="169">
        <v>0</v>
      </c>
      <c r="AR45" s="169" t="s">
        <v>1410</v>
      </c>
      <c r="AT45" s="169" t="s">
        <v>1417</v>
      </c>
      <c r="AU45" s="169" t="s">
        <v>1412</v>
      </c>
    </row>
    <row r="46" spans="1:47" x14ac:dyDescent="0.45">
      <c r="A46" s="169">
        <v>2705750043</v>
      </c>
      <c r="B46" s="169">
        <v>57</v>
      </c>
      <c r="C46" s="169" t="s">
        <v>1551</v>
      </c>
      <c r="D46" s="169">
        <v>57</v>
      </c>
      <c r="E46" s="169" t="s">
        <v>1552</v>
      </c>
      <c r="F46" s="169" t="s">
        <v>4359</v>
      </c>
      <c r="G46" s="169" t="s">
        <v>4360</v>
      </c>
      <c r="H46" s="169">
        <v>1</v>
      </c>
      <c r="I46" s="169" t="s">
        <v>3652</v>
      </c>
      <c r="J46" s="169" t="s">
        <v>1403</v>
      </c>
      <c r="K46" s="169">
        <v>0</v>
      </c>
      <c r="L46" s="169">
        <v>2027</v>
      </c>
      <c r="M46" s="171">
        <v>46302</v>
      </c>
      <c r="N46" s="169" t="s">
        <v>36</v>
      </c>
      <c r="O46" s="169">
        <v>6</v>
      </c>
      <c r="P46" s="169">
        <v>488</v>
      </c>
      <c r="Q46" s="169" t="s">
        <v>1553</v>
      </c>
      <c r="R46" s="169">
        <v>2</v>
      </c>
      <c r="S46" s="169">
        <v>1</v>
      </c>
      <c r="T46" s="169" t="s">
        <v>1527</v>
      </c>
      <c r="U46" s="169">
        <v>3</v>
      </c>
      <c r="V46" s="169">
        <v>0</v>
      </c>
      <c r="W46" s="169">
        <v>0</v>
      </c>
      <c r="X46" s="169" t="s">
        <v>1406</v>
      </c>
      <c r="Z46" s="169" t="s">
        <v>32</v>
      </c>
      <c r="AA46" s="169"/>
      <c r="AB46" s="169">
        <v>0</v>
      </c>
      <c r="AC46" s="169">
        <v>0</v>
      </c>
      <c r="AD46" s="169">
        <v>0</v>
      </c>
      <c r="AE46" s="169" t="s">
        <v>1446</v>
      </c>
      <c r="AG46" s="169" t="s">
        <v>1446</v>
      </c>
      <c r="AJ46" s="169">
        <v>0</v>
      </c>
      <c r="AK46" s="169" t="s">
        <v>1407</v>
      </c>
      <c r="AL46" s="169">
        <v>28037</v>
      </c>
      <c r="AM46" s="169" t="s">
        <v>1418</v>
      </c>
      <c r="AN46" s="169" t="s">
        <v>3013</v>
      </c>
      <c r="AO46" s="169">
        <v>28</v>
      </c>
      <c r="AP46" s="169" t="s">
        <v>1416</v>
      </c>
      <c r="AQ46" s="169">
        <v>0</v>
      </c>
      <c r="AR46" s="169" t="s">
        <v>1410</v>
      </c>
      <c r="AT46" s="169" t="s">
        <v>1411</v>
      </c>
      <c r="AU46" s="169" t="s">
        <v>1412</v>
      </c>
    </row>
    <row r="47" spans="1:47" x14ac:dyDescent="0.45">
      <c r="A47" s="169">
        <v>2705750044</v>
      </c>
      <c r="B47" s="169">
        <v>57</v>
      </c>
      <c r="C47" s="169" t="s">
        <v>1551</v>
      </c>
      <c r="D47" s="169">
        <v>57</v>
      </c>
      <c r="E47" s="169" t="s">
        <v>1552</v>
      </c>
      <c r="F47" s="169" t="s">
        <v>4361</v>
      </c>
      <c r="G47" s="169" t="s">
        <v>4362</v>
      </c>
      <c r="H47" s="169">
        <v>2</v>
      </c>
      <c r="I47" s="169" t="s">
        <v>4363</v>
      </c>
      <c r="J47" s="169" t="s">
        <v>1461</v>
      </c>
      <c r="K47" s="169">
        <v>2027</v>
      </c>
      <c r="L47" s="169">
        <v>2027</v>
      </c>
      <c r="M47" s="171">
        <v>46267</v>
      </c>
      <c r="N47" s="169" t="s">
        <v>36</v>
      </c>
      <c r="O47" s="169">
        <v>7</v>
      </c>
      <c r="P47" s="169">
        <v>266</v>
      </c>
      <c r="Q47" s="169" t="s">
        <v>1526</v>
      </c>
      <c r="R47" s="169">
        <v>2</v>
      </c>
      <c r="S47" s="169">
        <v>1</v>
      </c>
      <c r="T47" s="169" t="s">
        <v>1527</v>
      </c>
      <c r="U47" s="169">
        <v>3</v>
      </c>
      <c r="V47" s="169">
        <v>2780002</v>
      </c>
      <c r="W47" s="169">
        <v>0</v>
      </c>
      <c r="X47" s="169" t="s">
        <v>1406</v>
      </c>
      <c r="Z47" s="169" t="s">
        <v>32</v>
      </c>
      <c r="AA47" s="171">
        <v>46307</v>
      </c>
      <c r="AB47" s="169">
        <v>27</v>
      </c>
      <c r="AC47" s="169">
        <v>80002</v>
      </c>
      <c r="AD47" s="169">
        <v>57</v>
      </c>
      <c r="AE47" s="169" t="s">
        <v>1551</v>
      </c>
      <c r="AF47" s="169">
        <v>57</v>
      </c>
      <c r="AG47" s="169" t="s">
        <v>1552</v>
      </c>
      <c r="AH47" s="169" t="s">
        <v>36</v>
      </c>
      <c r="AI47" s="169">
        <v>7</v>
      </c>
      <c r="AJ47" s="169">
        <v>266</v>
      </c>
      <c r="AK47" s="169" t="s">
        <v>1407</v>
      </c>
      <c r="AL47" s="169">
        <v>36030</v>
      </c>
      <c r="AM47" s="169" t="s">
        <v>1418</v>
      </c>
      <c r="AN47" s="169" t="s">
        <v>1602</v>
      </c>
      <c r="AO47" s="169">
        <v>36</v>
      </c>
      <c r="AP47" s="169" t="s">
        <v>1603</v>
      </c>
      <c r="AQ47" s="169">
        <v>0</v>
      </c>
      <c r="AR47" s="169" t="s">
        <v>1410</v>
      </c>
      <c r="AT47" s="169" t="s">
        <v>1417</v>
      </c>
      <c r="AU47" s="169" t="s">
        <v>1412</v>
      </c>
    </row>
    <row r="48" spans="1:47" x14ac:dyDescent="0.45">
      <c r="A48" s="169">
        <v>2705750045</v>
      </c>
      <c r="B48" s="169">
        <v>57</v>
      </c>
      <c r="C48" s="169" t="s">
        <v>1551</v>
      </c>
      <c r="D48" s="169">
        <v>57</v>
      </c>
      <c r="E48" s="169" t="s">
        <v>1552</v>
      </c>
      <c r="F48" s="169" t="s">
        <v>4364</v>
      </c>
      <c r="G48" s="169" t="s">
        <v>4365</v>
      </c>
      <c r="H48" s="169">
        <v>2</v>
      </c>
      <c r="I48" s="169" t="s">
        <v>1131</v>
      </c>
      <c r="J48" s="169" t="s">
        <v>1403</v>
      </c>
      <c r="K48" s="169">
        <v>2027</v>
      </c>
      <c r="L48" s="169">
        <v>2027</v>
      </c>
      <c r="M48" s="171">
        <v>46271</v>
      </c>
      <c r="N48" s="169" t="s">
        <v>36</v>
      </c>
      <c r="O48" s="169">
        <v>58</v>
      </c>
      <c r="P48" s="169">
        <v>859</v>
      </c>
      <c r="Q48" s="169" t="s">
        <v>1494</v>
      </c>
      <c r="R48" s="169">
        <v>2</v>
      </c>
      <c r="S48" s="169">
        <v>2</v>
      </c>
      <c r="T48" s="169" t="s">
        <v>1464</v>
      </c>
      <c r="U48" s="169">
        <v>1</v>
      </c>
      <c r="V48" s="169">
        <v>0</v>
      </c>
      <c r="W48" s="169">
        <v>0</v>
      </c>
      <c r="X48" s="169" t="s">
        <v>1406</v>
      </c>
      <c r="Z48" s="169" t="s">
        <v>32</v>
      </c>
      <c r="AA48" s="169"/>
      <c r="AB48" s="169">
        <v>0</v>
      </c>
      <c r="AC48" s="169">
        <v>0</v>
      </c>
      <c r="AD48" s="169">
        <v>0</v>
      </c>
      <c r="AE48" s="169" t="s">
        <v>1446</v>
      </c>
      <c r="AG48" s="169" t="s">
        <v>1446</v>
      </c>
      <c r="AJ48" s="169">
        <v>0</v>
      </c>
      <c r="AK48" s="169" t="s">
        <v>1473</v>
      </c>
      <c r="AL48" s="169">
        <v>28282</v>
      </c>
      <c r="AM48" s="169" t="s">
        <v>1414</v>
      </c>
      <c r="AN48" s="169" t="s">
        <v>1572</v>
      </c>
      <c r="AO48" s="169">
        <v>28</v>
      </c>
      <c r="AP48" s="169" t="s">
        <v>1416</v>
      </c>
      <c r="AQ48" s="169">
        <v>0</v>
      </c>
      <c r="AR48" s="169" t="s">
        <v>1410</v>
      </c>
      <c r="AT48" s="169" t="s">
        <v>1417</v>
      </c>
      <c r="AU48" s="169" t="s">
        <v>1412</v>
      </c>
    </row>
    <row r="49" spans="1:47" x14ac:dyDescent="0.45">
      <c r="A49" s="169">
        <v>2705750046</v>
      </c>
      <c r="B49" s="169">
        <v>57</v>
      </c>
      <c r="C49" s="169" t="s">
        <v>1551</v>
      </c>
      <c r="D49" s="169">
        <v>57</v>
      </c>
      <c r="E49" s="169" t="s">
        <v>1552</v>
      </c>
      <c r="F49" s="169" t="s">
        <v>4366</v>
      </c>
      <c r="G49" s="169" t="s">
        <v>4367</v>
      </c>
      <c r="H49" s="169">
        <v>1</v>
      </c>
      <c r="I49" s="169" t="s">
        <v>1204</v>
      </c>
      <c r="J49" s="169" t="s">
        <v>1403</v>
      </c>
      <c r="K49" s="169">
        <v>2027</v>
      </c>
      <c r="L49" s="169">
        <v>2027</v>
      </c>
      <c r="M49" s="171">
        <v>46317</v>
      </c>
      <c r="N49" s="169" t="s">
        <v>36</v>
      </c>
      <c r="O49" s="169">
        <v>58</v>
      </c>
      <c r="P49" s="169">
        <v>428</v>
      </c>
      <c r="Q49" s="169" t="s">
        <v>1463</v>
      </c>
      <c r="R49" s="169">
        <v>2</v>
      </c>
      <c r="S49" s="169">
        <v>2</v>
      </c>
      <c r="T49" s="169" t="s">
        <v>1464</v>
      </c>
      <c r="U49" s="169">
        <v>1</v>
      </c>
      <c r="V49" s="169">
        <v>0</v>
      </c>
      <c r="W49" s="169">
        <v>0</v>
      </c>
      <c r="X49" s="169" t="s">
        <v>1406</v>
      </c>
      <c r="Z49" s="169" t="s">
        <v>32</v>
      </c>
      <c r="AA49" s="169"/>
      <c r="AB49" s="169">
        <v>0</v>
      </c>
      <c r="AC49" s="169">
        <v>0</v>
      </c>
      <c r="AD49" s="169">
        <v>0</v>
      </c>
      <c r="AE49" s="169" t="s">
        <v>1446</v>
      </c>
      <c r="AG49" s="169" t="s">
        <v>1446</v>
      </c>
      <c r="AJ49" s="169">
        <v>0</v>
      </c>
      <c r="AK49" s="169" t="s">
        <v>1473</v>
      </c>
      <c r="AL49" s="169">
        <v>28185</v>
      </c>
      <c r="AM49" s="169" t="s">
        <v>1418</v>
      </c>
      <c r="AN49" s="169" t="s">
        <v>1438</v>
      </c>
      <c r="AO49" s="169">
        <v>28</v>
      </c>
      <c r="AP49" s="169" t="s">
        <v>1416</v>
      </c>
      <c r="AQ49" s="169">
        <v>0</v>
      </c>
      <c r="AR49" s="169" t="s">
        <v>1410</v>
      </c>
      <c r="AT49" s="169" t="s">
        <v>1417</v>
      </c>
      <c r="AU49" s="169" t="s">
        <v>1412</v>
      </c>
    </row>
    <row r="50" spans="1:47" x14ac:dyDescent="0.45">
      <c r="A50" s="169">
        <v>2705750047</v>
      </c>
      <c r="B50" s="169">
        <v>57</v>
      </c>
      <c r="C50" s="169" t="s">
        <v>1551</v>
      </c>
      <c r="D50" s="169">
        <v>57</v>
      </c>
      <c r="E50" s="169" t="s">
        <v>1552</v>
      </c>
      <c r="F50" s="169" t="s">
        <v>4368</v>
      </c>
      <c r="G50" s="169" t="s">
        <v>4369</v>
      </c>
      <c r="H50" s="169">
        <v>2</v>
      </c>
      <c r="I50" s="169" t="s">
        <v>4370</v>
      </c>
      <c r="J50" s="169" t="s">
        <v>1403</v>
      </c>
      <c r="K50" s="169">
        <v>2027</v>
      </c>
      <c r="L50" s="169">
        <v>2027</v>
      </c>
      <c r="M50" s="171">
        <v>46301</v>
      </c>
      <c r="N50" s="169" t="s">
        <v>36</v>
      </c>
      <c r="O50" s="169">
        <v>58</v>
      </c>
      <c r="P50" s="169">
        <v>427</v>
      </c>
      <c r="Q50" s="169" t="s">
        <v>1479</v>
      </c>
      <c r="R50" s="169">
        <v>2</v>
      </c>
      <c r="S50" s="169">
        <v>2</v>
      </c>
      <c r="T50" s="169" t="s">
        <v>1464</v>
      </c>
      <c r="U50" s="169">
        <v>1</v>
      </c>
      <c r="V50" s="169">
        <v>0</v>
      </c>
      <c r="W50" s="169">
        <v>0</v>
      </c>
      <c r="X50" s="169" t="s">
        <v>1406</v>
      </c>
      <c r="Z50" s="169" t="s">
        <v>32</v>
      </c>
      <c r="AA50" s="169"/>
      <c r="AB50" s="169">
        <v>0</v>
      </c>
      <c r="AC50" s="169">
        <v>0</v>
      </c>
      <c r="AD50" s="169">
        <v>0</v>
      </c>
      <c r="AE50" s="169" t="s">
        <v>1446</v>
      </c>
      <c r="AG50" s="169" t="s">
        <v>1446</v>
      </c>
      <c r="AJ50" s="169">
        <v>0</v>
      </c>
      <c r="AK50" s="169" t="s">
        <v>1407</v>
      </c>
      <c r="AL50" s="169">
        <v>28025</v>
      </c>
      <c r="AM50" s="169" t="s">
        <v>1421</v>
      </c>
      <c r="AN50" s="169" t="s">
        <v>1550</v>
      </c>
      <c r="AO50" s="169">
        <v>28</v>
      </c>
      <c r="AP50" s="169" t="s">
        <v>1416</v>
      </c>
      <c r="AQ50" s="169">
        <v>0</v>
      </c>
      <c r="AR50" s="169" t="s">
        <v>1410</v>
      </c>
      <c r="AT50" s="169" t="s">
        <v>1417</v>
      </c>
      <c r="AU50" s="169" t="s">
        <v>1412</v>
      </c>
    </row>
    <row r="51" spans="1:47" x14ac:dyDescent="0.45">
      <c r="A51" s="169">
        <v>2705750048</v>
      </c>
      <c r="B51" s="169">
        <v>57</v>
      </c>
      <c r="C51" s="169" t="s">
        <v>1551</v>
      </c>
      <c r="D51" s="169">
        <v>57</v>
      </c>
      <c r="E51" s="169" t="s">
        <v>1552</v>
      </c>
      <c r="F51" s="169" t="s">
        <v>4371</v>
      </c>
      <c r="G51" s="169" t="s">
        <v>4372</v>
      </c>
      <c r="H51" s="169">
        <v>2</v>
      </c>
      <c r="I51" s="169" t="s">
        <v>4373</v>
      </c>
      <c r="J51" s="169" t="s">
        <v>1403</v>
      </c>
      <c r="K51" s="169">
        <v>2027</v>
      </c>
      <c r="L51" s="169">
        <v>2027</v>
      </c>
      <c r="M51" s="171">
        <v>46280</v>
      </c>
      <c r="N51" s="169" t="s">
        <v>36</v>
      </c>
      <c r="O51" s="169">
        <v>57</v>
      </c>
      <c r="P51" s="169">
        <v>1044</v>
      </c>
      <c r="Q51" s="169" t="s">
        <v>1476</v>
      </c>
      <c r="R51" s="169">
        <v>2</v>
      </c>
      <c r="S51" s="169">
        <v>3</v>
      </c>
      <c r="T51" s="169" t="s">
        <v>1477</v>
      </c>
      <c r="U51" s="169">
        <v>4</v>
      </c>
      <c r="V51" s="169">
        <v>2780008</v>
      </c>
      <c r="W51" s="169">
        <v>0</v>
      </c>
      <c r="X51" s="169" t="s">
        <v>1406</v>
      </c>
      <c r="Z51" s="169" t="s">
        <v>32</v>
      </c>
      <c r="AA51" s="171">
        <v>46307</v>
      </c>
      <c r="AB51" s="169">
        <v>27</v>
      </c>
      <c r="AC51" s="169">
        <v>80008</v>
      </c>
      <c r="AD51" s="169">
        <v>57</v>
      </c>
      <c r="AE51" s="169" t="s">
        <v>1551</v>
      </c>
      <c r="AF51" s="169">
        <v>57</v>
      </c>
      <c r="AG51" s="169" t="s">
        <v>1552</v>
      </c>
      <c r="AH51" s="169" t="s">
        <v>36</v>
      </c>
      <c r="AI51" s="169">
        <v>57</v>
      </c>
      <c r="AJ51" s="169">
        <v>1044</v>
      </c>
      <c r="AK51" s="169" t="s">
        <v>1407</v>
      </c>
      <c r="AL51" s="169">
        <v>28150</v>
      </c>
      <c r="AM51" s="169" t="s">
        <v>1418</v>
      </c>
      <c r="AN51" s="169" t="s">
        <v>1620</v>
      </c>
      <c r="AO51" s="169">
        <v>28</v>
      </c>
      <c r="AP51" s="169" t="s">
        <v>1416</v>
      </c>
      <c r="AQ51" s="169">
        <v>0</v>
      </c>
      <c r="AR51" s="169" t="s">
        <v>1410</v>
      </c>
      <c r="AT51" s="169" t="s">
        <v>1417</v>
      </c>
      <c r="AU51" s="169" t="s">
        <v>1412</v>
      </c>
    </row>
    <row r="52" spans="1:47" x14ac:dyDescent="0.45">
      <c r="A52" s="169">
        <v>2705750049</v>
      </c>
      <c r="B52" s="169">
        <v>57</v>
      </c>
      <c r="C52" s="169" t="s">
        <v>1551</v>
      </c>
      <c r="D52" s="169">
        <v>57</v>
      </c>
      <c r="E52" s="169" t="s">
        <v>1552</v>
      </c>
      <c r="F52" s="169" t="s">
        <v>4374</v>
      </c>
      <c r="G52" s="169" t="s">
        <v>4375</v>
      </c>
      <c r="H52" s="169">
        <v>1</v>
      </c>
      <c r="I52" s="169" t="s">
        <v>1677</v>
      </c>
      <c r="J52" s="169" t="s">
        <v>1403</v>
      </c>
      <c r="K52" s="169">
        <v>2027</v>
      </c>
      <c r="L52" s="169">
        <v>2027</v>
      </c>
      <c r="M52" s="171">
        <v>46269</v>
      </c>
      <c r="N52" s="169" t="s">
        <v>36</v>
      </c>
      <c r="O52" s="169">
        <v>58</v>
      </c>
      <c r="P52" s="169">
        <v>428</v>
      </c>
      <c r="Q52" s="169" t="s">
        <v>1463</v>
      </c>
      <c r="R52" s="169">
        <v>2</v>
      </c>
      <c r="S52" s="169">
        <v>2</v>
      </c>
      <c r="T52" s="169" t="s">
        <v>1464</v>
      </c>
      <c r="U52" s="169">
        <v>1</v>
      </c>
      <c r="V52" s="169">
        <v>2780018</v>
      </c>
      <c r="W52" s="169">
        <v>0</v>
      </c>
      <c r="X52" s="169" t="s">
        <v>1406</v>
      </c>
      <c r="Z52" s="169" t="s">
        <v>32</v>
      </c>
      <c r="AA52" s="171">
        <v>46309</v>
      </c>
      <c r="AB52" s="169">
        <v>27</v>
      </c>
      <c r="AC52" s="169">
        <v>80018</v>
      </c>
      <c r="AD52" s="169">
        <v>57</v>
      </c>
      <c r="AE52" s="169" t="s">
        <v>1551</v>
      </c>
      <c r="AF52" s="169">
        <v>57</v>
      </c>
      <c r="AG52" s="169" t="s">
        <v>1552</v>
      </c>
      <c r="AH52" s="169" t="s">
        <v>36</v>
      </c>
      <c r="AI52" s="169">
        <v>58</v>
      </c>
      <c r="AJ52" s="169">
        <v>428</v>
      </c>
      <c r="AK52" s="169" t="s">
        <v>1407</v>
      </c>
      <c r="AL52" s="169">
        <v>28124</v>
      </c>
      <c r="AM52" s="169" t="s">
        <v>1414</v>
      </c>
      <c r="AN52" s="169" t="s">
        <v>1483</v>
      </c>
      <c r="AO52" s="169">
        <v>28</v>
      </c>
      <c r="AP52" s="169" t="s">
        <v>1416</v>
      </c>
      <c r="AQ52" s="169">
        <v>0</v>
      </c>
      <c r="AR52" s="169" t="s">
        <v>1410</v>
      </c>
      <c r="AT52" s="169" t="s">
        <v>1417</v>
      </c>
      <c r="AU52" s="169" t="s">
        <v>1412</v>
      </c>
    </row>
    <row r="53" spans="1:47" x14ac:dyDescent="0.45">
      <c r="A53" s="169">
        <v>2705750050</v>
      </c>
      <c r="B53" s="169">
        <v>57</v>
      </c>
      <c r="C53" s="169" t="s">
        <v>1551</v>
      </c>
      <c r="D53" s="169">
        <v>57</v>
      </c>
      <c r="E53" s="169" t="s">
        <v>1552</v>
      </c>
      <c r="F53" s="169" t="s">
        <v>4376</v>
      </c>
      <c r="G53" s="169" t="s">
        <v>4377</v>
      </c>
      <c r="H53" s="169">
        <v>1</v>
      </c>
      <c r="I53" s="169" t="s">
        <v>204</v>
      </c>
      <c r="J53" s="169" t="s">
        <v>1403</v>
      </c>
      <c r="K53" s="169">
        <v>2027</v>
      </c>
      <c r="L53" s="169">
        <v>2027</v>
      </c>
      <c r="M53" s="171">
        <v>46271</v>
      </c>
      <c r="N53" s="169" t="s">
        <v>36</v>
      </c>
      <c r="O53" s="169">
        <v>58</v>
      </c>
      <c r="P53" s="169">
        <v>428</v>
      </c>
      <c r="Q53" s="169" t="s">
        <v>1463</v>
      </c>
      <c r="R53" s="169">
        <v>2</v>
      </c>
      <c r="S53" s="169">
        <v>2</v>
      </c>
      <c r="T53" s="169" t="s">
        <v>1464</v>
      </c>
      <c r="U53" s="169">
        <v>1</v>
      </c>
      <c r="V53" s="169">
        <v>0</v>
      </c>
      <c r="W53" s="169">
        <v>0</v>
      </c>
      <c r="X53" s="169" t="s">
        <v>1406</v>
      </c>
      <c r="Z53" s="169" t="s">
        <v>32</v>
      </c>
      <c r="AA53" s="169"/>
      <c r="AB53" s="169">
        <v>0</v>
      </c>
      <c r="AC53" s="169">
        <v>0</v>
      </c>
      <c r="AD53" s="169">
        <v>0</v>
      </c>
      <c r="AE53" s="169" t="s">
        <v>1446</v>
      </c>
      <c r="AG53" s="169" t="s">
        <v>1446</v>
      </c>
      <c r="AJ53" s="169">
        <v>0</v>
      </c>
      <c r="AK53" s="169" t="s">
        <v>1473</v>
      </c>
      <c r="AL53" s="169">
        <v>28121</v>
      </c>
      <c r="AM53" s="169" t="s">
        <v>1418</v>
      </c>
      <c r="AN53" s="169" t="s">
        <v>1556</v>
      </c>
      <c r="AO53" s="169">
        <v>28</v>
      </c>
      <c r="AP53" s="169" t="s">
        <v>1416</v>
      </c>
      <c r="AQ53" s="169">
        <v>0</v>
      </c>
      <c r="AR53" s="169" t="s">
        <v>1410</v>
      </c>
      <c r="AT53" s="169" t="s">
        <v>1417</v>
      </c>
      <c r="AU53" s="169" t="s">
        <v>1412</v>
      </c>
    </row>
    <row r="54" spans="1:47" x14ac:dyDescent="0.45">
      <c r="A54" s="169">
        <v>2705750052</v>
      </c>
      <c r="B54" s="169">
        <v>57</v>
      </c>
      <c r="C54" s="169" t="s">
        <v>1551</v>
      </c>
      <c r="D54" s="169">
        <v>57</v>
      </c>
      <c r="E54" s="169" t="s">
        <v>1552</v>
      </c>
      <c r="F54" s="169" t="s">
        <v>4378</v>
      </c>
      <c r="G54" s="169" t="s">
        <v>4379</v>
      </c>
      <c r="H54" s="169">
        <v>1</v>
      </c>
      <c r="I54" s="169" t="s">
        <v>4155</v>
      </c>
      <c r="J54" s="169" t="s">
        <v>1403</v>
      </c>
      <c r="K54" s="169">
        <v>2027</v>
      </c>
      <c r="L54" s="169">
        <v>2027</v>
      </c>
      <c r="M54" s="171">
        <v>46270</v>
      </c>
      <c r="N54" s="169" t="s">
        <v>36</v>
      </c>
      <c r="O54" s="169">
        <v>58</v>
      </c>
      <c r="P54" s="169">
        <v>428</v>
      </c>
      <c r="Q54" s="169" t="s">
        <v>1463</v>
      </c>
      <c r="R54" s="169">
        <v>2</v>
      </c>
      <c r="S54" s="169">
        <v>2</v>
      </c>
      <c r="T54" s="169" t="s">
        <v>1464</v>
      </c>
      <c r="U54" s="169">
        <v>1</v>
      </c>
      <c r="V54" s="169">
        <v>0</v>
      </c>
      <c r="W54" s="169">
        <v>0</v>
      </c>
      <c r="X54" s="169" t="s">
        <v>1406</v>
      </c>
      <c r="Z54" s="169" t="s">
        <v>32</v>
      </c>
      <c r="AA54" s="169"/>
      <c r="AB54" s="169">
        <v>0</v>
      </c>
      <c r="AC54" s="169">
        <v>0</v>
      </c>
      <c r="AD54" s="169">
        <v>0</v>
      </c>
      <c r="AE54" s="169" t="s">
        <v>1446</v>
      </c>
      <c r="AG54" s="169" t="s">
        <v>1446</v>
      </c>
      <c r="AJ54" s="169">
        <v>0</v>
      </c>
      <c r="AK54" s="169" t="s">
        <v>1473</v>
      </c>
      <c r="AL54" s="169">
        <v>28012</v>
      </c>
      <c r="AM54" s="169" t="s">
        <v>1421</v>
      </c>
      <c r="AN54" s="169" t="s">
        <v>1600</v>
      </c>
      <c r="AO54" s="169">
        <v>28</v>
      </c>
      <c r="AP54" s="169" t="s">
        <v>1416</v>
      </c>
      <c r="AQ54" s="169">
        <v>0</v>
      </c>
      <c r="AR54" s="169" t="s">
        <v>1410</v>
      </c>
      <c r="AT54" s="169" t="s">
        <v>1417</v>
      </c>
      <c r="AU54" s="169" t="s">
        <v>1412</v>
      </c>
    </row>
    <row r="55" spans="1:47" x14ac:dyDescent="0.45">
      <c r="A55" s="169">
        <v>2705750053</v>
      </c>
      <c r="B55" s="169">
        <v>57</v>
      </c>
      <c r="C55" s="169" t="s">
        <v>1551</v>
      </c>
      <c r="D55" s="169">
        <v>57</v>
      </c>
      <c r="E55" s="169" t="s">
        <v>1552</v>
      </c>
      <c r="F55" s="169" t="s">
        <v>4380</v>
      </c>
      <c r="G55" s="169" t="s">
        <v>4381</v>
      </c>
      <c r="H55" s="169">
        <v>2</v>
      </c>
      <c r="I55" s="169" t="s">
        <v>4382</v>
      </c>
      <c r="J55" s="169" t="s">
        <v>1403</v>
      </c>
      <c r="K55" s="169">
        <v>2027</v>
      </c>
      <c r="L55" s="169">
        <v>2027</v>
      </c>
      <c r="M55" s="171">
        <v>46291</v>
      </c>
      <c r="N55" s="169" t="s">
        <v>36</v>
      </c>
      <c r="O55" s="169">
        <v>7</v>
      </c>
      <c r="P55" s="169">
        <v>266</v>
      </c>
      <c r="Q55" s="169" t="s">
        <v>1526</v>
      </c>
      <c r="R55" s="169">
        <v>2</v>
      </c>
      <c r="S55" s="169">
        <v>1</v>
      </c>
      <c r="T55" s="169" t="s">
        <v>1527</v>
      </c>
      <c r="U55" s="169">
        <v>3</v>
      </c>
      <c r="V55" s="169">
        <v>0</v>
      </c>
      <c r="W55" s="169">
        <v>0</v>
      </c>
      <c r="X55" s="169" t="s">
        <v>1406</v>
      </c>
      <c r="Z55" s="169" t="s">
        <v>32</v>
      </c>
      <c r="AA55" s="169"/>
      <c r="AB55" s="169">
        <v>0</v>
      </c>
      <c r="AC55" s="169">
        <v>0</v>
      </c>
      <c r="AD55" s="169">
        <v>0</v>
      </c>
      <c r="AE55" s="169" t="s">
        <v>1446</v>
      </c>
      <c r="AG55" s="169" t="s">
        <v>1446</v>
      </c>
      <c r="AJ55" s="169">
        <v>0</v>
      </c>
      <c r="AK55" s="169" t="s">
        <v>1407</v>
      </c>
      <c r="AL55" s="169">
        <v>28231</v>
      </c>
      <c r="AM55" s="169" t="s">
        <v>1418</v>
      </c>
      <c r="AN55" s="169" t="s">
        <v>1517</v>
      </c>
      <c r="AO55" s="169">
        <v>28</v>
      </c>
      <c r="AP55" s="169" t="s">
        <v>1416</v>
      </c>
      <c r="AQ55" s="169">
        <v>0</v>
      </c>
      <c r="AR55" s="169" t="s">
        <v>1410</v>
      </c>
      <c r="AT55" s="169" t="s">
        <v>1417</v>
      </c>
      <c r="AU55" s="169" t="s">
        <v>1412</v>
      </c>
    </row>
    <row r="56" spans="1:47" x14ac:dyDescent="0.45">
      <c r="A56" s="169">
        <v>2705750054</v>
      </c>
      <c r="B56" s="169">
        <v>57</v>
      </c>
      <c r="C56" s="169" t="s">
        <v>1551</v>
      </c>
      <c r="D56" s="169">
        <v>57</v>
      </c>
      <c r="E56" s="169" t="s">
        <v>1552</v>
      </c>
      <c r="F56" s="169" t="s">
        <v>4383</v>
      </c>
      <c r="G56" s="169" t="s">
        <v>4384</v>
      </c>
      <c r="H56" s="169">
        <v>1</v>
      </c>
      <c r="I56" s="169" t="s">
        <v>4385</v>
      </c>
      <c r="J56" s="169" t="s">
        <v>1403</v>
      </c>
      <c r="K56" s="169">
        <v>2027</v>
      </c>
      <c r="L56" s="169">
        <v>2027</v>
      </c>
      <c r="M56" s="171">
        <v>46273</v>
      </c>
      <c r="N56" s="169" t="s">
        <v>36</v>
      </c>
      <c r="O56" s="169" t="s">
        <v>135</v>
      </c>
      <c r="P56" s="169">
        <v>61</v>
      </c>
      <c r="Q56" s="169" t="s">
        <v>2792</v>
      </c>
      <c r="R56" s="169">
        <v>2</v>
      </c>
      <c r="S56" s="169">
        <v>5</v>
      </c>
      <c r="T56" s="169" t="s">
        <v>1470</v>
      </c>
      <c r="U56" s="169">
        <v>15</v>
      </c>
      <c r="V56" s="169">
        <v>2780005</v>
      </c>
      <c r="W56" s="169">
        <v>0</v>
      </c>
      <c r="X56" s="169" t="s">
        <v>1406</v>
      </c>
      <c r="Z56" s="169" t="s">
        <v>32</v>
      </c>
      <c r="AA56" s="171">
        <v>46307</v>
      </c>
      <c r="AB56" s="169">
        <v>27</v>
      </c>
      <c r="AC56" s="169">
        <v>80005</v>
      </c>
      <c r="AD56" s="169">
        <v>57</v>
      </c>
      <c r="AE56" s="169" t="s">
        <v>1551</v>
      </c>
      <c r="AF56" s="169">
        <v>57</v>
      </c>
      <c r="AG56" s="169" t="s">
        <v>1552</v>
      </c>
      <c r="AH56" s="169" t="s">
        <v>36</v>
      </c>
      <c r="AI56" s="169" t="s">
        <v>135</v>
      </c>
      <c r="AJ56" s="169">
        <v>61</v>
      </c>
      <c r="AK56" s="169" t="s">
        <v>1407</v>
      </c>
      <c r="AL56" s="169">
        <v>28120</v>
      </c>
      <c r="AM56" s="169" t="s">
        <v>1418</v>
      </c>
      <c r="AN56" s="169" t="s">
        <v>1593</v>
      </c>
      <c r="AO56" s="169">
        <v>28</v>
      </c>
      <c r="AP56" s="169" t="s">
        <v>1416</v>
      </c>
      <c r="AQ56" s="169">
        <v>0</v>
      </c>
      <c r="AR56" s="169" t="s">
        <v>1410</v>
      </c>
      <c r="AT56" s="169" t="s">
        <v>1417</v>
      </c>
      <c r="AU56" s="169" t="s">
        <v>1412</v>
      </c>
    </row>
    <row r="57" spans="1:47" x14ac:dyDescent="0.45">
      <c r="A57" s="169">
        <v>2705750057</v>
      </c>
      <c r="B57" s="169">
        <v>57</v>
      </c>
      <c r="C57" s="169" t="s">
        <v>1551</v>
      </c>
      <c r="D57" s="169">
        <v>57</v>
      </c>
      <c r="E57" s="169" t="s">
        <v>1552</v>
      </c>
      <c r="F57" s="169" t="s">
        <v>4386</v>
      </c>
      <c r="G57" s="169" t="s">
        <v>4387</v>
      </c>
      <c r="H57" s="169">
        <v>2</v>
      </c>
      <c r="I57" s="169" t="s">
        <v>2897</v>
      </c>
      <c r="J57" s="169" t="s">
        <v>1403</v>
      </c>
      <c r="K57" s="169">
        <v>2027</v>
      </c>
      <c r="L57" s="169">
        <v>2027</v>
      </c>
      <c r="M57" s="171">
        <v>46295</v>
      </c>
      <c r="N57" s="169" t="s">
        <v>36</v>
      </c>
      <c r="O57" s="169">
        <v>58</v>
      </c>
      <c r="P57" s="169">
        <v>968</v>
      </c>
      <c r="Q57" s="169" t="s">
        <v>1474</v>
      </c>
      <c r="R57" s="169">
        <v>2</v>
      </c>
      <c r="S57" s="169">
        <v>2</v>
      </c>
      <c r="T57" s="169" t="s">
        <v>1464</v>
      </c>
      <c r="U57" s="169">
        <v>1</v>
      </c>
      <c r="V57" s="169">
        <v>0</v>
      </c>
      <c r="W57" s="169">
        <v>0</v>
      </c>
      <c r="X57" s="169" t="s">
        <v>1406</v>
      </c>
      <c r="Z57" s="169" t="s">
        <v>32</v>
      </c>
      <c r="AA57" s="169"/>
      <c r="AB57" s="169">
        <v>0</v>
      </c>
      <c r="AC57" s="169">
        <v>0</v>
      </c>
      <c r="AD57" s="169">
        <v>0</v>
      </c>
      <c r="AE57" s="169" t="s">
        <v>1446</v>
      </c>
      <c r="AG57" s="169" t="s">
        <v>1446</v>
      </c>
      <c r="AJ57" s="169">
        <v>0</v>
      </c>
      <c r="AK57" s="169" t="s">
        <v>1410</v>
      </c>
      <c r="AL57" s="169">
        <v>28210</v>
      </c>
      <c r="AM57" s="169" t="s">
        <v>1418</v>
      </c>
      <c r="AN57" s="169" t="s">
        <v>1617</v>
      </c>
      <c r="AO57" s="169">
        <v>28</v>
      </c>
      <c r="AP57" s="169" t="s">
        <v>1416</v>
      </c>
      <c r="AQ57" s="169">
        <v>0</v>
      </c>
      <c r="AR57" s="169" t="s">
        <v>1410</v>
      </c>
      <c r="AT57" s="169" t="s">
        <v>1417</v>
      </c>
      <c r="AU57" s="169" t="s">
        <v>1412</v>
      </c>
    </row>
    <row r="58" spans="1:47" x14ac:dyDescent="0.45">
      <c r="A58" s="169">
        <v>2705750058</v>
      </c>
      <c r="B58" s="169">
        <v>57</v>
      </c>
      <c r="C58" s="169" t="s">
        <v>1551</v>
      </c>
      <c r="D58" s="169">
        <v>57</v>
      </c>
      <c r="E58" s="169" t="s">
        <v>1552</v>
      </c>
      <c r="F58" s="169" t="s">
        <v>4388</v>
      </c>
      <c r="G58" s="169" t="s">
        <v>4389</v>
      </c>
      <c r="H58" s="169">
        <v>2</v>
      </c>
      <c r="I58" s="169" t="s">
        <v>2897</v>
      </c>
      <c r="J58" s="169" t="s">
        <v>1403</v>
      </c>
      <c r="K58" s="169">
        <v>2027</v>
      </c>
      <c r="L58" s="169">
        <v>2027</v>
      </c>
      <c r="M58" s="171">
        <v>46295</v>
      </c>
      <c r="N58" s="169" t="s">
        <v>36</v>
      </c>
      <c r="O58" s="169">
        <v>58</v>
      </c>
      <c r="P58" s="169">
        <v>968</v>
      </c>
      <c r="Q58" s="169" t="s">
        <v>1474</v>
      </c>
      <c r="R58" s="169">
        <v>2</v>
      </c>
      <c r="S58" s="169">
        <v>2</v>
      </c>
      <c r="T58" s="169" t="s">
        <v>1464</v>
      </c>
      <c r="U58" s="169">
        <v>1</v>
      </c>
      <c r="V58" s="169">
        <v>0</v>
      </c>
      <c r="W58" s="169">
        <v>0</v>
      </c>
      <c r="X58" s="169" t="s">
        <v>1406</v>
      </c>
      <c r="Z58" s="169" t="s">
        <v>32</v>
      </c>
      <c r="AA58" s="169"/>
      <c r="AB58" s="169">
        <v>0</v>
      </c>
      <c r="AC58" s="169">
        <v>0</v>
      </c>
      <c r="AD58" s="169">
        <v>0</v>
      </c>
      <c r="AE58" s="169" t="s">
        <v>1446</v>
      </c>
      <c r="AG58" s="169" t="s">
        <v>1446</v>
      </c>
      <c r="AJ58" s="169">
        <v>0</v>
      </c>
      <c r="AK58" s="169" t="s">
        <v>1410</v>
      </c>
      <c r="AL58" s="169">
        <v>28210</v>
      </c>
      <c r="AM58" s="169" t="s">
        <v>1418</v>
      </c>
      <c r="AN58" s="169" t="s">
        <v>1617</v>
      </c>
      <c r="AO58" s="169">
        <v>28</v>
      </c>
      <c r="AP58" s="169" t="s">
        <v>1416</v>
      </c>
      <c r="AQ58" s="169">
        <v>0</v>
      </c>
      <c r="AR58" s="169" t="s">
        <v>1410</v>
      </c>
      <c r="AT58" s="169" t="s">
        <v>1417</v>
      </c>
      <c r="AU58" s="169" t="s">
        <v>1412</v>
      </c>
    </row>
    <row r="59" spans="1:47" x14ac:dyDescent="0.45">
      <c r="A59" s="169">
        <v>2705750059</v>
      </c>
      <c r="B59" s="169">
        <v>57</v>
      </c>
      <c r="C59" s="169" t="s">
        <v>1551</v>
      </c>
      <c r="D59" s="169">
        <v>57</v>
      </c>
      <c r="E59" s="169" t="s">
        <v>1552</v>
      </c>
      <c r="F59" s="169" t="s">
        <v>4390</v>
      </c>
      <c r="G59" s="169" t="s">
        <v>4391</v>
      </c>
      <c r="H59" s="169">
        <v>1</v>
      </c>
      <c r="I59" s="169" t="s">
        <v>245</v>
      </c>
      <c r="J59" s="169" t="s">
        <v>1403</v>
      </c>
      <c r="K59" s="169">
        <v>2027</v>
      </c>
      <c r="L59" s="169">
        <v>2027</v>
      </c>
      <c r="M59" s="171">
        <v>46274</v>
      </c>
      <c r="N59" s="169" t="s">
        <v>36</v>
      </c>
      <c r="O59" s="169">
        <v>7</v>
      </c>
      <c r="P59" s="169">
        <v>266</v>
      </c>
      <c r="Q59" s="169" t="s">
        <v>1526</v>
      </c>
      <c r="R59" s="169">
        <v>2</v>
      </c>
      <c r="S59" s="169">
        <v>1</v>
      </c>
      <c r="T59" s="169" t="s">
        <v>1527</v>
      </c>
      <c r="U59" s="169">
        <v>3</v>
      </c>
      <c r="V59" s="169">
        <v>2780023</v>
      </c>
      <c r="W59" s="169">
        <v>0</v>
      </c>
      <c r="X59" s="169" t="s">
        <v>1406</v>
      </c>
      <c r="Z59" s="169" t="s">
        <v>32</v>
      </c>
      <c r="AA59" s="171">
        <v>46310</v>
      </c>
      <c r="AB59" s="169">
        <v>27</v>
      </c>
      <c r="AC59" s="169">
        <v>80023</v>
      </c>
      <c r="AD59" s="169">
        <v>57</v>
      </c>
      <c r="AE59" s="169" t="s">
        <v>1551</v>
      </c>
      <c r="AF59" s="169">
        <v>57</v>
      </c>
      <c r="AG59" s="169" t="s">
        <v>1552</v>
      </c>
      <c r="AH59" s="169" t="s">
        <v>36</v>
      </c>
      <c r="AI59" s="169">
        <v>7</v>
      </c>
      <c r="AJ59" s="169">
        <v>266</v>
      </c>
      <c r="AK59" s="169" t="s">
        <v>1407</v>
      </c>
      <c r="AL59" s="169">
        <v>28136</v>
      </c>
      <c r="AM59" s="169" t="s">
        <v>1418</v>
      </c>
      <c r="AN59" s="169" t="s">
        <v>2985</v>
      </c>
      <c r="AO59" s="169">
        <v>28</v>
      </c>
      <c r="AP59" s="169" t="s">
        <v>1416</v>
      </c>
      <c r="AQ59" s="169">
        <v>0</v>
      </c>
      <c r="AR59" s="169" t="s">
        <v>1410</v>
      </c>
      <c r="AT59" s="169" t="s">
        <v>1417</v>
      </c>
      <c r="AU59" s="169" t="s">
        <v>1412</v>
      </c>
    </row>
    <row r="60" spans="1:47" x14ac:dyDescent="0.45">
      <c r="A60" s="169">
        <v>2705750060</v>
      </c>
      <c r="B60" s="169">
        <v>57</v>
      </c>
      <c r="C60" s="169" t="s">
        <v>1551</v>
      </c>
      <c r="D60" s="169">
        <v>57</v>
      </c>
      <c r="E60" s="169" t="s">
        <v>1552</v>
      </c>
      <c r="F60" s="169" t="s">
        <v>4392</v>
      </c>
      <c r="G60" s="169" t="s">
        <v>4393</v>
      </c>
      <c r="H60" s="169">
        <v>2</v>
      </c>
      <c r="I60" s="169" t="s">
        <v>4394</v>
      </c>
      <c r="J60" s="169" t="s">
        <v>1605</v>
      </c>
      <c r="K60" s="169">
        <v>2027</v>
      </c>
      <c r="L60" s="169">
        <v>2027</v>
      </c>
      <c r="M60" s="171">
        <v>46296</v>
      </c>
      <c r="N60" s="169" t="s">
        <v>36</v>
      </c>
      <c r="O60" s="169">
        <v>57</v>
      </c>
      <c r="P60" s="169">
        <v>1044</v>
      </c>
      <c r="Q60" s="169" t="s">
        <v>1476</v>
      </c>
      <c r="R60" s="169">
        <v>2</v>
      </c>
      <c r="S60" s="169">
        <v>3</v>
      </c>
      <c r="T60" s="169" t="s">
        <v>1477</v>
      </c>
      <c r="U60" s="169">
        <v>4</v>
      </c>
      <c r="V60" s="169">
        <v>0</v>
      </c>
      <c r="W60" s="169">
        <v>0</v>
      </c>
      <c r="X60" s="169" t="s">
        <v>1406</v>
      </c>
      <c r="Z60" s="169" t="s">
        <v>32</v>
      </c>
      <c r="AA60" s="169"/>
      <c r="AB60" s="169">
        <v>0</v>
      </c>
      <c r="AC60" s="169">
        <v>0</v>
      </c>
      <c r="AD60" s="169">
        <v>0</v>
      </c>
      <c r="AE60" s="169" t="s">
        <v>1446</v>
      </c>
      <c r="AG60" s="169" t="s">
        <v>1446</v>
      </c>
      <c r="AJ60" s="169">
        <v>0</v>
      </c>
      <c r="AK60" s="169" t="s">
        <v>1407</v>
      </c>
      <c r="AL60" s="169">
        <v>37021</v>
      </c>
      <c r="AM60" s="169" t="s">
        <v>1418</v>
      </c>
      <c r="AN60" s="169" t="s">
        <v>2959</v>
      </c>
      <c r="AO60" s="169">
        <v>37</v>
      </c>
      <c r="AP60" s="169" t="s">
        <v>1573</v>
      </c>
      <c r="AQ60" s="169">
        <v>0</v>
      </c>
      <c r="AR60" s="169" t="s">
        <v>1410</v>
      </c>
      <c r="AT60" s="169" t="s">
        <v>1417</v>
      </c>
      <c r="AU60" s="169" t="s">
        <v>1412</v>
      </c>
    </row>
    <row r="61" spans="1:47" x14ac:dyDescent="0.45">
      <c r="A61" s="169">
        <v>2705750061</v>
      </c>
      <c r="B61" s="169">
        <v>57</v>
      </c>
      <c r="C61" s="169" t="s">
        <v>1551</v>
      </c>
      <c r="D61" s="169">
        <v>57</v>
      </c>
      <c r="E61" s="169" t="s">
        <v>1552</v>
      </c>
      <c r="F61" s="169" t="s">
        <v>4395</v>
      </c>
      <c r="G61" s="169" t="s">
        <v>4396</v>
      </c>
      <c r="H61" s="169">
        <v>2</v>
      </c>
      <c r="I61" s="169" t="s">
        <v>4397</v>
      </c>
      <c r="J61" s="169" t="s">
        <v>1605</v>
      </c>
      <c r="K61" s="169">
        <v>2027</v>
      </c>
      <c r="L61" s="169">
        <v>2027</v>
      </c>
      <c r="M61" s="171">
        <v>46296</v>
      </c>
      <c r="N61" s="169" t="s">
        <v>36</v>
      </c>
      <c r="O61" s="169">
        <v>57</v>
      </c>
      <c r="P61" s="169">
        <v>1044</v>
      </c>
      <c r="Q61" s="169" t="s">
        <v>1476</v>
      </c>
      <c r="R61" s="169">
        <v>2</v>
      </c>
      <c r="S61" s="169">
        <v>3</v>
      </c>
      <c r="T61" s="169" t="s">
        <v>1477</v>
      </c>
      <c r="U61" s="169">
        <v>4</v>
      </c>
      <c r="V61" s="169">
        <v>2780038</v>
      </c>
      <c r="W61" s="169">
        <v>0</v>
      </c>
      <c r="X61" s="169" t="s">
        <v>1406</v>
      </c>
      <c r="Z61" s="169" t="s">
        <v>32</v>
      </c>
      <c r="AA61" s="171">
        <v>46322</v>
      </c>
      <c r="AB61" s="169">
        <v>27</v>
      </c>
      <c r="AC61" s="169">
        <v>80038</v>
      </c>
      <c r="AD61" s="169">
        <v>57</v>
      </c>
      <c r="AE61" s="169" t="s">
        <v>1551</v>
      </c>
      <c r="AF61" s="169">
        <v>57</v>
      </c>
      <c r="AG61" s="169" t="s">
        <v>1552</v>
      </c>
      <c r="AH61" s="169" t="s">
        <v>36</v>
      </c>
      <c r="AI61" s="169">
        <v>57</v>
      </c>
      <c r="AJ61" s="169">
        <v>1044</v>
      </c>
      <c r="AK61" s="169" t="s">
        <v>1407</v>
      </c>
      <c r="AL61" s="169">
        <v>37021</v>
      </c>
      <c r="AM61" s="169" t="s">
        <v>1418</v>
      </c>
      <c r="AN61" s="169" t="s">
        <v>2959</v>
      </c>
      <c r="AO61" s="169">
        <v>37</v>
      </c>
      <c r="AP61" s="169" t="s">
        <v>1573</v>
      </c>
      <c r="AQ61" s="169">
        <v>0</v>
      </c>
      <c r="AR61" s="169" t="s">
        <v>1410</v>
      </c>
      <c r="AT61" s="169" t="s">
        <v>1417</v>
      </c>
      <c r="AU61" s="169" t="s">
        <v>1412</v>
      </c>
    </row>
    <row r="62" spans="1:47" x14ac:dyDescent="0.45">
      <c r="A62" s="169">
        <v>2705750062</v>
      </c>
      <c r="B62" s="169">
        <v>57</v>
      </c>
      <c r="C62" s="169" t="s">
        <v>1551</v>
      </c>
      <c r="D62" s="169">
        <v>57</v>
      </c>
      <c r="E62" s="169" t="s">
        <v>1552</v>
      </c>
      <c r="F62" s="169" t="s">
        <v>4398</v>
      </c>
      <c r="G62" s="169" t="s">
        <v>4399</v>
      </c>
      <c r="H62" s="169">
        <v>2</v>
      </c>
      <c r="I62" s="169" t="s">
        <v>4400</v>
      </c>
      <c r="J62" s="169" t="s">
        <v>1403</v>
      </c>
      <c r="K62" s="169">
        <v>2027</v>
      </c>
      <c r="L62" s="169">
        <v>2027</v>
      </c>
      <c r="M62" s="171">
        <v>46318</v>
      </c>
      <c r="N62" s="169" t="s">
        <v>36</v>
      </c>
      <c r="O62" s="169">
        <v>58</v>
      </c>
      <c r="P62" s="169">
        <v>856</v>
      </c>
      <c r="Q62" s="169" t="s">
        <v>1533</v>
      </c>
      <c r="R62" s="169">
        <v>2</v>
      </c>
      <c r="S62" s="169">
        <v>2</v>
      </c>
      <c r="T62" s="169" t="s">
        <v>1464</v>
      </c>
      <c r="U62" s="169">
        <v>1</v>
      </c>
      <c r="V62" s="169">
        <v>0</v>
      </c>
      <c r="W62" s="169">
        <v>0</v>
      </c>
      <c r="X62" s="169" t="s">
        <v>1406</v>
      </c>
      <c r="Z62" s="169" t="s">
        <v>32</v>
      </c>
      <c r="AA62" s="169"/>
      <c r="AB62" s="169">
        <v>0</v>
      </c>
      <c r="AC62" s="169">
        <v>0</v>
      </c>
      <c r="AD62" s="169">
        <v>0</v>
      </c>
      <c r="AE62" s="169" t="s">
        <v>1446</v>
      </c>
      <c r="AG62" s="169" t="s">
        <v>1446</v>
      </c>
      <c r="AJ62" s="169">
        <v>0</v>
      </c>
      <c r="AK62" s="169" t="s">
        <v>1407</v>
      </c>
      <c r="AL62" s="169">
        <v>28282</v>
      </c>
      <c r="AM62" s="169" t="s">
        <v>1414</v>
      </c>
      <c r="AN62" s="169" t="s">
        <v>1572</v>
      </c>
      <c r="AO62" s="169">
        <v>28</v>
      </c>
      <c r="AP62" s="169" t="s">
        <v>1416</v>
      </c>
      <c r="AQ62" s="169">
        <v>0</v>
      </c>
      <c r="AT62" s="169" t="s">
        <v>1417</v>
      </c>
      <c r="AU62" s="169" t="s">
        <v>1412</v>
      </c>
    </row>
    <row r="63" spans="1:47" x14ac:dyDescent="0.45">
      <c r="A63" s="169">
        <v>2705750063</v>
      </c>
      <c r="B63" s="169">
        <v>57</v>
      </c>
      <c r="C63" s="169" t="s">
        <v>1551</v>
      </c>
      <c r="D63" s="169">
        <v>57</v>
      </c>
      <c r="E63" s="169" t="s">
        <v>1552</v>
      </c>
      <c r="F63" s="169" t="s">
        <v>4401</v>
      </c>
      <c r="G63" s="169" t="s">
        <v>4402</v>
      </c>
      <c r="H63" s="169">
        <v>1</v>
      </c>
      <c r="I63" s="169" t="s">
        <v>3074</v>
      </c>
      <c r="J63" s="169" t="s">
        <v>1403</v>
      </c>
      <c r="K63" s="169">
        <v>2027</v>
      </c>
      <c r="L63" s="169">
        <v>2027</v>
      </c>
      <c r="M63" s="171">
        <v>46270</v>
      </c>
      <c r="N63" s="169" t="s">
        <v>36</v>
      </c>
      <c r="O63" s="169" t="s">
        <v>135</v>
      </c>
      <c r="P63" s="169">
        <v>502</v>
      </c>
      <c r="Q63" s="169" t="s">
        <v>1500</v>
      </c>
      <c r="R63" s="169">
        <v>2</v>
      </c>
      <c r="S63" s="169">
        <v>5</v>
      </c>
      <c r="T63" s="169" t="s">
        <v>1470</v>
      </c>
      <c r="U63" s="169">
        <v>15</v>
      </c>
      <c r="V63" s="169">
        <v>2780012</v>
      </c>
      <c r="W63" s="169">
        <v>0</v>
      </c>
      <c r="X63" s="169" t="s">
        <v>1406</v>
      </c>
      <c r="Z63" s="169" t="s">
        <v>32</v>
      </c>
      <c r="AA63" s="171">
        <v>46309</v>
      </c>
      <c r="AB63" s="169">
        <v>27</v>
      </c>
      <c r="AC63" s="169">
        <v>80012</v>
      </c>
      <c r="AD63" s="169">
        <v>57</v>
      </c>
      <c r="AE63" s="169" t="s">
        <v>1551</v>
      </c>
      <c r="AF63" s="169">
        <v>57</v>
      </c>
      <c r="AG63" s="169" t="s">
        <v>1552</v>
      </c>
      <c r="AH63" s="169" t="s">
        <v>36</v>
      </c>
      <c r="AI63" s="169" t="s">
        <v>135</v>
      </c>
      <c r="AJ63" s="169">
        <v>502</v>
      </c>
      <c r="AK63" s="169" t="s">
        <v>1407</v>
      </c>
      <c r="AL63" s="169">
        <v>28029</v>
      </c>
      <c r="AM63" s="169" t="s">
        <v>1421</v>
      </c>
      <c r="AN63" s="169" t="s">
        <v>1441</v>
      </c>
      <c r="AO63" s="169">
        <v>28</v>
      </c>
      <c r="AP63" s="169" t="s">
        <v>1416</v>
      </c>
      <c r="AQ63" s="169">
        <v>0</v>
      </c>
      <c r="AR63" s="169" t="s">
        <v>1410</v>
      </c>
      <c r="AT63" s="169" t="s">
        <v>1417</v>
      </c>
      <c r="AU63" s="169" t="s">
        <v>1412</v>
      </c>
    </row>
    <row r="64" spans="1:47" x14ac:dyDescent="0.45">
      <c r="A64" s="169">
        <v>2705750065</v>
      </c>
      <c r="B64" s="169">
        <v>57</v>
      </c>
      <c r="C64" s="169" t="s">
        <v>1551</v>
      </c>
      <c r="D64" s="169">
        <v>57</v>
      </c>
      <c r="E64" s="169" t="s">
        <v>1552</v>
      </c>
      <c r="F64" s="169" t="s">
        <v>4403</v>
      </c>
      <c r="G64" s="169" t="s">
        <v>4404</v>
      </c>
      <c r="H64" s="169">
        <v>1</v>
      </c>
      <c r="I64" s="169" t="s">
        <v>828</v>
      </c>
      <c r="J64" s="169" t="s">
        <v>1403</v>
      </c>
      <c r="K64" s="169">
        <v>2027</v>
      </c>
      <c r="L64" s="169">
        <v>2027</v>
      </c>
      <c r="M64" s="171">
        <v>46322</v>
      </c>
      <c r="N64" s="169" t="s">
        <v>36</v>
      </c>
      <c r="O64" s="169">
        <v>58</v>
      </c>
      <c r="P64" s="169">
        <v>428</v>
      </c>
      <c r="Q64" s="169" t="s">
        <v>1463</v>
      </c>
      <c r="R64" s="169">
        <v>2</v>
      </c>
      <c r="S64" s="169">
        <v>2</v>
      </c>
      <c r="T64" s="169" t="s">
        <v>1464</v>
      </c>
      <c r="U64" s="169">
        <v>1</v>
      </c>
      <c r="V64" s="169">
        <v>0</v>
      </c>
      <c r="W64" s="169">
        <v>0</v>
      </c>
      <c r="X64" s="169" t="s">
        <v>1406</v>
      </c>
      <c r="Z64" s="169" t="s">
        <v>32</v>
      </c>
      <c r="AA64" s="169"/>
      <c r="AB64" s="169">
        <v>0</v>
      </c>
      <c r="AC64" s="169">
        <v>0</v>
      </c>
      <c r="AD64" s="169">
        <v>0</v>
      </c>
      <c r="AE64" s="169" t="s">
        <v>1446</v>
      </c>
      <c r="AG64" s="169" t="s">
        <v>1446</v>
      </c>
      <c r="AJ64" s="169">
        <v>0</v>
      </c>
      <c r="AK64" s="169" t="s">
        <v>1407</v>
      </c>
      <c r="AL64" s="169">
        <v>28257</v>
      </c>
      <c r="AM64" s="169" t="s">
        <v>1421</v>
      </c>
      <c r="AN64" s="169" t="s">
        <v>4405</v>
      </c>
      <c r="AO64" s="169">
        <v>28</v>
      </c>
      <c r="AP64" s="169" t="s">
        <v>1416</v>
      </c>
      <c r="AQ64" s="169">
        <v>0</v>
      </c>
      <c r="AT64" s="169" t="s">
        <v>1417</v>
      </c>
      <c r="AU64" s="169" t="s">
        <v>1412</v>
      </c>
    </row>
    <row r="65" spans="1:47" x14ac:dyDescent="0.45">
      <c r="A65" s="169">
        <v>2705750067</v>
      </c>
      <c r="B65" s="169">
        <v>57</v>
      </c>
      <c r="C65" s="169" t="s">
        <v>1551</v>
      </c>
      <c r="D65" s="169">
        <v>57</v>
      </c>
      <c r="E65" s="169" t="s">
        <v>1552</v>
      </c>
      <c r="F65" s="169" t="s">
        <v>4406</v>
      </c>
      <c r="G65" s="169" t="s">
        <v>4407</v>
      </c>
      <c r="H65" s="169">
        <v>1</v>
      </c>
      <c r="I65" s="169" t="s">
        <v>4408</v>
      </c>
      <c r="J65" s="169" t="s">
        <v>1403</v>
      </c>
      <c r="K65" s="169">
        <v>2027</v>
      </c>
      <c r="L65" s="169">
        <v>2027</v>
      </c>
      <c r="M65" s="171">
        <v>46288</v>
      </c>
      <c r="N65" s="169" t="s">
        <v>36</v>
      </c>
      <c r="O65" s="169">
        <v>58</v>
      </c>
      <c r="P65" s="169">
        <v>428</v>
      </c>
      <c r="Q65" s="169" t="s">
        <v>1463</v>
      </c>
      <c r="R65" s="169">
        <v>2</v>
      </c>
      <c r="S65" s="169">
        <v>2</v>
      </c>
      <c r="T65" s="169" t="s">
        <v>1464</v>
      </c>
      <c r="U65" s="169">
        <v>1</v>
      </c>
      <c r="V65" s="169">
        <v>0</v>
      </c>
      <c r="W65" s="169">
        <v>0</v>
      </c>
      <c r="X65" s="169" t="s">
        <v>1406</v>
      </c>
      <c r="Z65" s="169" t="s">
        <v>32</v>
      </c>
      <c r="AA65" s="169"/>
      <c r="AB65" s="169">
        <v>0</v>
      </c>
      <c r="AC65" s="169">
        <v>0</v>
      </c>
      <c r="AD65" s="169">
        <v>0</v>
      </c>
      <c r="AE65" s="169" t="s">
        <v>1446</v>
      </c>
      <c r="AG65" s="169" t="s">
        <v>1446</v>
      </c>
      <c r="AJ65" s="169">
        <v>0</v>
      </c>
      <c r="AK65" s="169" t="s">
        <v>1473</v>
      </c>
      <c r="AL65" s="169">
        <v>28198</v>
      </c>
      <c r="AM65" s="169" t="s">
        <v>1418</v>
      </c>
      <c r="AN65" s="169" t="s">
        <v>2808</v>
      </c>
      <c r="AO65" s="169">
        <v>28</v>
      </c>
      <c r="AP65" s="169" t="s">
        <v>1416</v>
      </c>
      <c r="AQ65" s="169">
        <v>0</v>
      </c>
      <c r="AR65" s="169" t="s">
        <v>1410</v>
      </c>
      <c r="AT65" s="169" t="s">
        <v>1417</v>
      </c>
      <c r="AU65" s="169" t="s">
        <v>1412</v>
      </c>
    </row>
    <row r="66" spans="1:47" x14ac:dyDescent="0.45">
      <c r="A66" s="169">
        <v>2705750068</v>
      </c>
      <c r="B66" s="169">
        <v>57</v>
      </c>
      <c r="C66" s="169" t="s">
        <v>1551</v>
      </c>
      <c r="D66" s="169">
        <v>57</v>
      </c>
      <c r="E66" s="169" t="s">
        <v>1552</v>
      </c>
      <c r="F66" s="169" t="s">
        <v>4409</v>
      </c>
      <c r="G66" s="169" t="s">
        <v>4410</v>
      </c>
      <c r="H66" s="169">
        <v>1</v>
      </c>
      <c r="I66" s="169" t="s">
        <v>4411</v>
      </c>
      <c r="J66" s="169" t="s">
        <v>1403</v>
      </c>
      <c r="K66" s="169">
        <v>2027</v>
      </c>
      <c r="L66" s="169">
        <v>2027</v>
      </c>
      <c r="M66" s="171">
        <v>46281</v>
      </c>
      <c r="N66" s="169" t="s">
        <v>36</v>
      </c>
      <c r="O66" s="169">
        <v>58</v>
      </c>
      <c r="P66" s="169">
        <v>968</v>
      </c>
      <c r="Q66" s="169" t="s">
        <v>1474</v>
      </c>
      <c r="R66" s="169">
        <v>2</v>
      </c>
      <c r="S66" s="169">
        <v>2</v>
      </c>
      <c r="T66" s="169" t="s">
        <v>1464</v>
      </c>
      <c r="U66" s="169">
        <v>1</v>
      </c>
      <c r="V66" s="169">
        <v>0</v>
      </c>
      <c r="W66" s="169">
        <v>0</v>
      </c>
      <c r="X66" s="169" t="s">
        <v>1406</v>
      </c>
      <c r="Z66" s="169" t="s">
        <v>32</v>
      </c>
      <c r="AA66" s="169"/>
      <c r="AB66" s="169">
        <v>0</v>
      </c>
      <c r="AC66" s="169">
        <v>0</v>
      </c>
      <c r="AD66" s="169">
        <v>0</v>
      </c>
      <c r="AE66" s="169" t="s">
        <v>1446</v>
      </c>
      <c r="AG66" s="169" t="s">
        <v>1446</v>
      </c>
      <c r="AJ66" s="169">
        <v>0</v>
      </c>
      <c r="AK66" s="169" t="s">
        <v>1473</v>
      </c>
      <c r="AL66" s="169">
        <v>28203</v>
      </c>
      <c r="AM66" s="169" t="s">
        <v>1418</v>
      </c>
      <c r="AN66" s="169" t="s">
        <v>1619</v>
      </c>
      <c r="AO66" s="169">
        <v>28</v>
      </c>
      <c r="AP66" s="169" t="s">
        <v>1416</v>
      </c>
      <c r="AQ66" s="169">
        <v>0</v>
      </c>
      <c r="AR66" s="169" t="s">
        <v>1410</v>
      </c>
      <c r="AT66" s="169" t="s">
        <v>1417</v>
      </c>
      <c r="AU66" s="169" t="s">
        <v>1412</v>
      </c>
    </row>
    <row r="67" spans="1:47" x14ac:dyDescent="0.45">
      <c r="A67" s="169">
        <v>2705750071</v>
      </c>
      <c r="B67" s="169">
        <v>57</v>
      </c>
      <c r="C67" s="169" t="s">
        <v>1551</v>
      </c>
      <c r="D67" s="169">
        <v>57</v>
      </c>
      <c r="E67" s="169" t="s">
        <v>1552</v>
      </c>
      <c r="F67" s="169" t="s">
        <v>4412</v>
      </c>
      <c r="G67" s="169" t="s">
        <v>4413</v>
      </c>
      <c r="H67" s="169">
        <v>2</v>
      </c>
      <c r="I67" s="169" t="s">
        <v>2984</v>
      </c>
      <c r="J67" s="169" t="s">
        <v>1403</v>
      </c>
      <c r="K67" s="169">
        <v>2027</v>
      </c>
      <c r="L67" s="169">
        <v>2027</v>
      </c>
      <c r="M67" s="171">
        <v>46277</v>
      </c>
      <c r="N67" s="169" t="s">
        <v>36</v>
      </c>
      <c r="O67" s="169">
        <v>7</v>
      </c>
      <c r="P67" s="169">
        <v>266</v>
      </c>
      <c r="Q67" s="169" t="s">
        <v>1526</v>
      </c>
      <c r="R67" s="169">
        <v>2</v>
      </c>
      <c r="S67" s="169">
        <v>1</v>
      </c>
      <c r="T67" s="169" t="s">
        <v>1527</v>
      </c>
      <c r="U67" s="169">
        <v>3</v>
      </c>
      <c r="V67" s="169">
        <v>0</v>
      </c>
      <c r="W67" s="169">
        <v>0</v>
      </c>
      <c r="X67" s="169" t="s">
        <v>1406</v>
      </c>
      <c r="Z67" s="169" t="s">
        <v>32</v>
      </c>
      <c r="AA67" s="169"/>
      <c r="AB67" s="169">
        <v>0</v>
      </c>
      <c r="AC67" s="169">
        <v>0</v>
      </c>
      <c r="AD67" s="169">
        <v>0</v>
      </c>
      <c r="AE67" s="169" t="s">
        <v>1446</v>
      </c>
      <c r="AG67" s="169" t="s">
        <v>1446</v>
      </c>
      <c r="AJ67" s="169">
        <v>0</v>
      </c>
      <c r="AK67" s="169" t="s">
        <v>1407</v>
      </c>
      <c r="AL67" s="169">
        <v>28136</v>
      </c>
      <c r="AM67" s="169" t="s">
        <v>1418</v>
      </c>
      <c r="AN67" s="169" t="s">
        <v>2985</v>
      </c>
      <c r="AO67" s="169">
        <v>28</v>
      </c>
      <c r="AP67" s="169" t="s">
        <v>1416</v>
      </c>
      <c r="AQ67" s="169">
        <v>0</v>
      </c>
      <c r="AR67" s="169" t="s">
        <v>1410</v>
      </c>
      <c r="AT67" s="169" t="s">
        <v>1417</v>
      </c>
      <c r="AU67" s="169" t="s">
        <v>1412</v>
      </c>
    </row>
    <row r="68" spans="1:47" x14ac:dyDescent="0.45">
      <c r="A68" s="169">
        <v>2705750072</v>
      </c>
      <c r="B68" s="169">
        <v>57</v>
      </c>
      <c r="C68" s="169" t="s">
        <v>1551</v>
      </c>
      <c r="D68" s="169">
        <v>57</v>
      </c>
      <c r="E68" s="169" t="s">
        <v>1552</v>
      </c>
      <c r="F68" s="169" t="s">
        <v>4414</v>
      </c>
      <c r="G68" s="169" t="s">
        <v>4415</v>
      </c>
      <c r="H68" s="169">
        <v>1</v>
      </c>
      <c r="I68" s="169" t="s">
        <v>4155</v>
      </c>
      <c r="J68" s="169" t="s">
        <v>1403</v>
      </c>
      <c r="K68" s="169">
        <v>2027</v>
      </c>
      <c r="L68" s="169">
        <v>2027</v>
      </c>
      <c r="M68" s="171">
        <v>46309</v>
      </c>
      <c r="N68" s="169" t="s">
        <v>36</v>
      </c>
      <c r="O68" s="169" t="s">
        <v>51</v>
      </c>
      <c r="P68" s="169">
        <v>428</v>
      </c>
      <c r="Q68" s="169" t="s">
        <v>1463</v>
      </c>
      <c r="R68" s="169">
        <v>1</v>
      </c>
      <c r="S68" s="169">
        <v>2</v>
      </c>
      <c r="T68" s="169" t="s">
        <v>1464</v>
      </c>
      <c r="U68" s="169">
        <v>1</v>
      </c>
      <c r="V68" s="169">
        <v>0</v>
      </c>
      <c r="W68" s="169">
        <v>0</v>
      </c>
      <c r="X68" s="169" t="s">
        <v>1406</v>
      </c>
      <c r="Z68" s="169" t="s">
        <v>32</v>
      </c>
      <c r="AA68" s="169"/>
      <c r="AB68" s="169">
        <v>0</v>
      </c>
      <c r="AC68" s="169">
        <v>0</v>
      </c>
      <c r="AD68" s="169">
        <v>0</v>
      </c>
      <c r="AE68" s="169" t="s">
        <v>1446</v>
      </c>
      <c r="AG68" s="169" t="s">
        <v>1446</v>
      </c>
      <c r="AJ68" s="169">
        <v>0</v>
      </c>
      <c r="AK68" s="169" t="s">
        <v>1407</v>
      </c>
      <c r="AL68" s="169">
        <v>28012</v>
      </c>
      <c r="AM68" s="169" t="s">
        <v>1421</v>
      </c>
      <c r="AN68" s="169" t="s">
        <v>1600</v>
      </c>
      <c r="AO68" s="169">
        <v>28</v>
      </c>
      <c r="AP68" s="169" t="s">
        <v>1416</v>
      </c>
      <c r="AQ68" s="169">
        <v>0</v>
      </c>
      <c r="AR68" s="169" t="s">
        <v>1410</v>
      </c>
      <c r="AT68" s="169" t="s">
        <v>1417</v>
      </c>
      <c r="AU68" s="169" t="s">
        <v>1412</v>
      </c>
    </row>
    <row r="69" spans="1:47" x14ac:dyDescent="0.45">
      <c r="A69" s="169">
        <v>2705750073</v>
      </c>
      <c r="B69" s="169">
        <v>57</v>
      </c>
      <c r="C69" s="169" t="s">
        <v>1551</v>
      </c>
      <c r="D69" s="169">
        <v>57</v>
      </c>
      <c r="E69" s="169" t="s">
        <v>1552</v>
      </c>
      <c r="F69" s="169" t="s">
        <v>4416</v>
      </c>
      <c r="G69" s="169" t="s">
        <v>4417</v>
      </c>
      <c r="H69" s="169">
        <v>1</v>
      </c>
      <c r="I69" s="169" t="s">
        <v>1778</v>
      </c>
      <c r="J69" s="169" t="s">
        <v>1403</v>
      </c>
      <c r="K69" s="169">
        <v>2027</v>
      </c>
      <c r="L69" s="169">
        <v>2027</v>
      </c>
      <c r="M69" s="171">
        <v>46273</v>
      </c>
      <c r="N69" s="169" t="s">
        <v>36</v>
      </c>
      <c r="O69" s="169">
        <v>58</v>
      </c>
      <c r="P69" s="169">
        <v>427</v>
      </c>
      <c r="Q69" s="169" t="s">
        <v>1479</v>
      </c>
      <c r="R69" s="169">
        <v>2</v>
      </c>
      <c r="S69" s="169">
        <v>2</v>
      </c>
      <c r="T69" s="169" t="s">
        <v>1464</v>
      </c>
      <c r="U69" s="169">
        <v>1</v>
      </c>
      <c r="V69" s="169">
        <v>0</v>
      </c>
      <c r="W69" s="169">
        <v>0</v>
      </c>
      <c r="X69" s="169" t="s">
        <v>1406</v>
      </c>
      <c r="Z69" s="169" t="s">
        <v>32</v>
      </c>
      <c r="AA69" s="169"/>
      <c r="AB69" s="169">
        <v>0</v>
      </c>
      <c r="AC69" s="169">
        <v>0</v>
      </c>
      <c r="AD69" s="169">
        <v>0</v>
      </c>
      <c r="AE69" s="169" t="s">
        <v>1446</v>
      </c>
      <c r="AG69" s="169" t="s">
        <v>1446</v>
      </c>
      <c r="AJ69" s="169">
        <v>0</v>
      </c>
      <c r="AK69" s="169" t="s">
        <v>1407</v>
      </c>
      <c r="AL69" s="169">
        <v>28121</v>
      </c>
      <c r="AM69" s="169" t="s">
        <v>1418</v>
      </c>
      <c r="AN69" s="169" t="s">
        <v>1556</v>
      </c>
      <c r="AO69" s="169">
        <v>28</v>
      </c>
      <c r="AP69" s="169" t="s">
        <v>1416</v>
      </c>
      <c r="AQ69" s="169">
        <v>0</v>
      </c>
      <c r="AR69" s="169" t="s">
        <v>1410</v>
      </c>
      <c r="AT69" s="169" t="s">
        <v>1417</v>
      </c>
      <c r="AU69" s="169" t="s">
        <v>1412</v>
      </c>
    </row>
    <row r="70" spans="1:47" x14ac:dyDescent="0.45">
      <c r="A70" s="169">
        <v>2705750077</v>
      </c>
      <c r="B70" s="169">
        <v>57</v>
      </c>
      <c r="C70" s="169" t="s">
        <v>1551</v>
      </c>
      <c r="D70" s="169">
        <v>57</v>
      </c>
      <c r="E70" s="169" t="s">
        <v>1552</v>
      </c>
      <c r="F70" s="169" t="s">
        <v>4418</v>
      </c>
      <c r="G70" s="169" t="s">
        <v>4419</v>
      </c>
      <c r="H70" s="169">
        <v>2</v>
      </c>
      <c r="I70" s="169" t="s">
        <v>4420</v>
      </c>
      <c r="J70" s="169" t="s">
        <v>1461</v>
      </c>
      <c r="K70" s="169">
        <v>2027</v>
      </c>
      <c r="L70" s="169">
        <v>2027</v>
      </c>
      <c r="M70" s="171">
        <v>46277</v>
      </c>
      <c r="N70" s="169" t="s">
        <v>36</v>
      </c>
      <c r="O70" s="169">
        <v>57</v>
      </c>
      <c r="P70" s="169">
        <v>1775</v>
      </c>
      <c r="Q70" s="169" t="s">
        <v>3620</v>
      </c>
      <c r="R70" s="169">
        <v>2</v>
      </c>
      <c r="S70" s="169">
        <v>3</v>
      </c>
      <c r="T70" s="169" t="s">
        <v>1477</v>
      </c>
      <c r="U70" s="169">
        <v>4</v>
      </c>
      <c r="V70" s="169">
        <v>2780028</v>
      </c>
      <c r="W70" s="169">
        <v>0</v>
      </c>
      <c r="X70" s="169" t="s">
        <v>1406</v>
      </c>
      <c r="Z70" s="169" t="s">
        <v>32</v>
      </c>
      <c r="AA70" s="171">
        <v>46314</v>
      </c>
      <c r="AB70" s="169">
        <v>27</v>
      </c>
      <c r="AC70" s="169">
        <v>80028</v>
      </c>
      <c r="AD70" s="169">
        <v>57</v>
      </c>
      <c r="AE70" s="169" t="s">
        <v>1551</v>
      </c>
      <c r="AF70" s="169">
        <v>57</v>
      </c>
      <c r="AG70" s="169" t="s">
        <v>1552</v>
      </c>
      <c r="AH70" s="169" t="s">
        <v>36</v>
      </c>
      <c r="AI70" s="169">
        <v>57</v>
      </c>
      <c r="AJ70" s="169">
        <v>1775</v>
      </c>
      <c r="AK70" s="169" t="s">
        <v>1407</v>
      </c>
      <c r="AL70" s="169">
        <v>36014</v>
      </c>
      <c r="AM70" s="169" t="s">
        <v>1418</v>
      </c>
      <c r="AN70" s="169" t="s">
        <v>4421</v>
      </c>
      <c r="AO70" s="169">
        <v>36</v>
      </c>
      <c r="AP70" s="169" t="s">
        <v>1603</v>
      </c>
      <c r="AQ70" s="169">
        <v>0</v>
      </c>
      <c r="AR70" s="169" t="s">
        <v>1410</v>
      </c>
      <c r="AT70" s="169" t="s">
        <v>1417</v>
      </c>
      <c r="AU70" s="169" t="s">
        <v>1412</v>
      </c>
    </row>
    <row r="71" spans="1:47" x14ac:dyDescent="0.45">
      <c r="A71" s="169">
        <v>2705750081</v>
      </c>
      <c r="B71" s="169">
        <v>57</v>
      </c>
      <c r="C71" s="169" t="s">
        <v>1551</v>
      </c>
      <c r="D71" s="169">
        <v>57</v>
      </c>
      <c r="E71" s="169" t="s">
        <v>1552</v>
      </c>
      <c r="F71" s="169" t="s">
        <v>4422</v>
      </c>
      <c r="G71" s="169" t="s">
        <v>4423</v>
      </c>
      <c r="H71" s="169">
        <v>2</v>
      </c>
      <c r="I71" s="169" t="s">
        <v>4424</v>
      </c>
      <c r="J71" s="169" t="s">
        <v>1403</v>
      </c>
      <c r="K71" s="169">
        <v>2027</v>
      </c>
      <c r="L71" s="169">
        <v>2027</v>
      </c>
      <c r="M71" s="171">
        <v>46281</v>
      </c>
      <c r="N71" s="169" t="s">
        <v>36</v>
      </c>
      <c r="O71" s="169" t="s">
        <v>51</v>
      </c>
      <c r="P71" s="169">
        <v>427</v>
      </c>
      <c r="Q71" s="169" t="s">
        <v>1479</v>
      </c>
      <c r="R71" s="169">
        <v>1</v>
      </c>
      <c r="S71" s="169">
        <v>2</v>
      </c>
      <c r="T71" s="169" t="s">
        <v>1464</v>
      </c>
      <c r="U71" s="169">
        <v>1</v>
      </c>
      <c r="V71" s="169">
        <v>0</v>
      </c>
      <c r="W71" s="169">
        <v>0</v>
      </c>
      <c r="X71" s="169" t="s">
        <v>1406</v>
      </c>
      <c r="Z71" s="169" t="s">
        <v>32</v>
      </c>
      <c r="AA71" s="169"/>
      <c r="AB71" s="169">
        <v>0</v>
      </c>
      <c r="AC71" s="169">
        <v>0</v>
      </c>
      <c r="AD71" s="169">
        <v>0</v>
      </c>
      <c r="AE71" s="169" t="s">
        <v>1446</v>
      </c>
      <c r="AG71" s="169" t="s">
        <v>1446</v>
      </c>
      <c r="AJ71" s="169">
        <v>0</v>
      </c>
      <c r="AK71" s="169" t="s">
        <v>1473</v>
      </c>
      <c r="AL71" s="169">
        <v>28163</v>
      </c>
      <c r="AM71" s="169" t="s">
        <v>1418</v>
      </c>
      <c r="AN71" s="169" t="s">
        <v>2827</v>
      </c>
      <c r="AO71" s="169">
        <v>28</v>
      </c>
      <c r="AP71" s="169" t="s">
        <v>1416</v>
      </c>
      <c r="AQ71" s="169">
        <v>0</v>
      </c>
      <c r="AR71" s="169" t="s">
        <v>1410</v>
      </c>
      <c r="AT71" s="169" t="s">
        <v>1417</v>
      </c>
      <c r="AU71" s="169" t="s">
        <v>1412</v>
      </c>
    </row>
    <row r="72" spans="1:47" x14ac:dyDescent="0.45">
      <c r="A72" s="169">
        <v>2705750082</v>
      </c>
      <c r="B72" s="169">
        <v>57</v>
      </c>
      <c r="C72" s="169" t="s">
        <v>1551</v>
      </c>
      <c r="D72" s="169">
        <v>57</v>
      </c>
      <c r="E72" s="169" t="s">
        <v>1552</v>
      </c>
      <c r="F72" s="169" t="s">
        <v>4425</v>
      </c>
      <c r="G72" s="169" t="s">
        <v>4426</v>
      </c>
      <c r="H72" s="169">
        <v>1</v>
      </c>
      <c r="I72" s="169" t="s">
        <v>4427</v>
      </c>
      <c r="J72" s="169" t="s">
        <v>1485</v>
      </c>
      <c r="K72" s="169">
        <v>2027</v>
      </c>
      <c r="L72" s="169">
        <v>2027</v>
      </c>
      <c r="M72" s="171">
        <v>46295</v>
      </c>
      <c r="N72" s="169" t="s">
        <v>36</v>
      </c>
      <c r="O72" s="169" t="s">
        <v>135</v>
      </c>
      <c r="P72" s="169">
        <v>1046</v>
      </c>
      <c r="Q72" s="169" t="s">
        <v>2790</v>
      </c>
      <c r="R72" s="169">
        <v>2</v>
      </c>
      <c r="S72" s="169">
        <v>5</v>
      </c>
      <c r="T72" s="169" t="s">
        <v>1470</v>
      </c>
      <c r="U72" s="169">
        <v>15</v>
      </c>
      <c r="V72" s="169">
        <v>0</v>
      </c>
      <c r="W72" s="169">
        <v>0</v>
      </c>
      <c r="X72" s="169" t="s">
        <v>1406</v>
      </c>
      <c r="Z72" s="169" t="s">
        <v>32</v>
      </c>
      <c r="AA72" s="169"/>
      <c r="AB72" s="169">
        <v>0</v>
      </c>
      <c r="AC72" s="169">
        <v>0</v>
      </c>
      <c r="AD72" s="169">
        <v>0</v>
      </c>
      <c r="AE72" s="169" t="s">
        <v>1446</v>
      </c>
      <c r="AG72" s="169" t="s">
        <v>1446</v>
      </c>
      <c r="AJ72" s="169">
        <v>0</v>
      </c>
      <c r="AK72" s="169" t="s">
        <v>1407</v>
      </c>
      <c r="AL72" s="169">
        <v>31006</v>
      </c>
      <c r="AM72" s="169" t="s">
        <v>1421</v>
      </c>
      <c r="AN72" s="169" t="s">
        <v>1486</v>
      </c>
      <c r="AO72" s="169">
        <v>31</v>
      </c>
      <c r="AP72" s="169" t="s">
        <v>1487</v>
      </c>
      <c r="AQ72" s="169">
        <v>0</v>
      </c>
      <c r="AR72" s="169" t="s">
        <v>1410</v>
      </c>
      <c r="AT72" s="169" t="s">
        <v>1417</v>
      </c>
      <c r="AU72" s="169" t="s">
        <v>1412</v>
      </c>
    </row>
    <row r="73" spans="1:47" x14ac:dyDescent="0.45">
      <c r="A73" s="169">
        <v>2705750086</v>
      </c>
      <c r="B73" s="169">
        <v>57</v>
      </c>
      <c r="C73" s="169" t="s">
        <v>1551</v>
      </c>
      <c r="D73" s="169">
        <v>57</v>
      </c>
      <c r="E73" s="169" t="s">
        <v>1552</v>
      </c>
      <c r="F73" s="169" t="s">
        <v>4428</v>
      </c>
      <c r="G73" s="169" t="s">
        <v>4429</v>
      </c>
      <c r="H73" s="169">
        <v>1</v>
      </c>
      <c r="I73" s="169" t="s">
        <v>2228</v>
      </c>
      <c r="J73" s="169" t="s">
        <v>1403</v>
      </c>
      <c r="K73" s="169">
        <v>2027</v>
      </c>
      <c r="L73" s="169">
        <v>2027</v>
      </c>
      <c r="M73" s="171">
        <v>46290</v>
      </c>
      <c r="N73" s="169" t="s">
        <v>36</v>
      </c>
      <c r="O73" s="169">
        <v>58</v>
      </c>
      <c r="P73" s="169">
        <v>428</v>
      </c>
      <c r="Q73" s="169" t="s">
        <v>1463</v>
      </c>
      <c r="R73" s="169">
        <v>2</v>
      </c>
      <c r="S73" s="169">
        <v>2</v>
      </c>
      <c r="T73" s="169" t="s">
        <v>1464</v>
      </c>
      <c r="U73" s="169">
        <v>1</v>
      </c>
      <c r="V73" s="169">
        <v>2780029</v>
      </c>
      <c r="W73" s="169">
        <v>0</v>
      </c>
      <c r="X73" s="169" t="s">
        <v>1406</v>
      </c>
      <c r="Z73" s="169" t="s">
        <v>32</v>
      </c>
      <c r="AA73" s="171">
        <v>46314</v>
      </c>
      <c r="AB73" s="169">
        <v>27</v>
      </c>
      <c r="AC73" s="169">
        <v>80029</v>
      </c>
      <c r="AD73" s="169">
        <v>57</v>
      </c>
      <c r="AE73" s="169" t="s">
        <v>1551</v>
      </c>
      <c r="AF73" s="169">
        <v>57</v>
      </c>
      <c r="AG73" s="169" t="s">
        <v>1552</v>
      </c>
      <c r="AH73" s="169" t="s">
        <v>36</v>
      </c>
      <c r="AI73" s="169">
        <v>58</v>
      </c>
      <c r="AJ73" s="169">
        <v>428</v>
      </c>
      <c r="AK73" s="169" t="s">
        <v>1407</v>
      </c>
      <c r="AL73" s="169">
        <v>28150</v>
      </c>
      <c r="AM73" s="169" t="s">
        <v>1418</v>
      </c>
      <c r="AN73" s="169" t="s">
        <v>1620</v>
      </c>
      <c r="AO73" s="169">
        <v>28</v>
      </c>
      <c r="AP73" s="169" t="s">
        <v>1416</v>
      </c>
      <c r="AQ73" s="169">
        <v>0</v>
      </c>
      <c r="AR73" s="169" t="s">
        <v>1410</v>
      </c>
      <c r="AT73" s="169" t="s">
        <v>1417</v>
      </c>
      <c r="AU73" s="169" t="s">
        <v>1412</v>
      </c>
    </row>
    <row r="74" spans="1:47" x14ac:dyDescent="0.45">
      <c r="A74" s="169">
        <v>2705750088</v>
      </c>
      <c r="B74" s="169">
        <v>57</v>
      </c>
      <c r="C74" s="169" t="s">
        <v>1551</v>
      </c>
      <c r="D74" s="169">
        <v>57</v>
      </c>
      <c r="E74" s="169" t="s">
        <v>1552</v>
      </c>
      <c r="F74" s="169" t="s">
        <v>4430</v>
      </c>
      <c r="G74" s="169" t="s">
        <v>4431</v>
      </c>
      <c r="H74" s="169">
        <v>2</v>
      </c>
      <c r="I74" s="169" t="s">
        <v>3365</v>
      </c>
      <c r="J74" s="169" t="s">
        <v>1403</v>
      </c>
      <c r="K74" s="169">
        <v>2027</v>
      </c>
      <c r="L74" s="169">
        <v>2027</v>
      </c>
      <c r="M74" s="171">
        <v>46270</v>
      </c>
      <c r="N74" s="169" t="s">
        <v>36</v>
      </c>
      <c r="O74" s="169">
        <v>58</v>
      </c>
      <c r="P74" s="169">
        <v>427</v>
      </c>
      <c r="Q74" s="169" t="s">
        <v>1479</v>
      </c>
      <c r="R74" s="169">
        <v>2</v>
      </c>
      <c r="S74" s="169">
        <v>2</v>
      </c>
      <c r="T74" s="169" t="s">
        <v>1464</v>
      </c>
      <c r="U74" s="169">
        <v>1</v>
      </c>
      <c r="V74" s="169">
        <v>2780021</v>
      </c>
      <c r="W74" s="169">
        <v>0</v>
      </c>
      <c r="X74" s="169" t="s">
        <v>1406</v>
      </c>
      <c r="Z74" s="169" t="s">
        <v>32</v>
      </c>
      <c r="AA74" s="171">
        <v>46310</v>
      </c>
      <c r="AB74" s="169">
        <v>27</v>
      </c>
      <c r="AC74" s="169">
        <v>80021</v>
      </c>
      <c r="AD74" s="169">
        <v>57</v>
      </c>
      <c r="AE74" s="169" t="s">
        <v>1551</v>
      </c>
      <c r="AF74" s="169">
        <v>57</v>
      </c>
      <c r="AG74" s="169" t="s">
        <v>1552</v>
      </c>
      <c r="AH74" s="169" t="s">
        <v>36</v>
      </c>
      <c r="AI74" s="169">
        <v>58</v>
      </c>
      <c r="AJ74" s="169">
        <v>427</v>
      </c>
      <c r="AK74" s="169" t="s">
        <v>1407</v>
      </c>
      <c r="AL74" s="169">
        <v>28025</v>
      </c>
      <c r="AM74" s="169" t="s">
        <v>1421</v>
      </c>
      <c r="AN74" s="169" t="s">
        <v>1550</v>
      </c>
      <c r="AO74" s="169">
        <v>28</v>
      </c>
      <c r="AP74" s="169" t="s">
        <v>1416</v>
      </c>
      <c r="AQ74" s="169">
        <v>0</v>
      </c>
      <c r="AR74" s="169" t="s">
        <v>1410</v>
      </c>
      <c r="AT74" s="169" t="s">
        <v>1417</v>
      </c>
      <c r="AU74" s="169" t="s">
        <v>1412</v>
      </c>
    </row>
    <row r="75" spans="1:47" x14ac:dyDescent="0.45">
      <c r="A75" s="169">
        <v>2705750089</v>
      </c>
      <c r="B75" s="169">
        <v>57</v>
      </c>
      <c r="C75" s="169" t="s">
        <v>1551</v>
      </c>
      <c r="D75" s="169">
        <v>57</v>
      </c>
      <c r="E75" s="169" t="s">
        <v>1552</v>
      </c>
      <c r="F75" s="169" t="s">
        <v>4432</v>
      </c>
      <c r="G75" s="169" t="s">
        <v>4433</v>
      </c>
      <c r="H75" s="169">
        <v>2</v>
      </c>
      <c r="I75" s="169" t="s">
        <v>4434</v>
      </c>
      <c r="J75" s="169" t="s">
        <v>1403</v>
      </c>
      <c r="K75" s="169">
        <v>2027</v>
      </c>
      <c r="L75" s="169">
        <v>2027</v>
      </c>
      <c r="M75" s="171">
        <v>46270</v>
      </c>
      <c r="N75" s="169" t="s">
        <v>36</v>
      </c>
      <c r="O75" s="169">
        <v>58</v>
      </c>
      <c r="P75" s="169">
        <v>588</v>
      </c>
      <c r="Q75" s="169" t="s">
        <v>1524</v>
      </c>
      <c r="R75" s="169">
        <v>2</v>
      </c>
      <c r="S75" s="169">
        <v>2</v>
      </c>
      <c r="T75" s="169" t="s">
        <v>1464</v>
      </c>
      <c r="U75" s="169">
        <v>1</v>
      </c>
      <c r="V75" s="169">
        <v>2780022</v>
      </c>
      <c r="W75" s="169">
        <v>0</v>
      </c>
      <c r="X75" s="169" t="s">
        <v>1406</v>
      </c>
      <c r="Z75" s="169" t="s">
        <v>32</v>
      </c>
      <c r="AA75" s="171">
        <v>46310</v>
      </c>
      <c r="AB75" s="169">
        <v>27</v>
      </c>
      <c r="AC75" s="169">
        <v>80022</v>
      </c>
      <c r="AD75" s="169">
        <v>57</v>
      </c>
      <c r="AE75" s="169" t="s">
        <v>1551</v>
      </c>
      <c r="AF75" s="169">
        <v>57</v>
      </c>
      <c r="AG75" s="169" t="s">
        <v>1552</v>
      </c>
      <c r="AH75" s="169" t="s">
        <v>36</v>
      </c>
      <c r="AI75" s="169">
        <v>58</v>
      </c>
      <c r="AJ75" s="169">
        <v>588</v>
      </c>
      <c r="AK75" s="169" t="s">
        <v>1407</v>
      </c>
      <c r="AL75" s="169">
        <v>28025</v>
      </c>
      <c r="AM75" s="169" t="s">
        <v>1421</v>
      </c>
      <c r="AN75" s="169" t="s">
        <v>1550</v>
      </c>
      <c r="AO75" s="169">
        <v>28</v>
      </c>
      <c r="AP75" s="169" t="s">
        <v>1416</v>
      </c>
      <c r="AQ75" s="169">
        <v>0</v>
      </c>
      <c r="AR75" s="169" t="s">
        <v>1410</v>
      </c>
      <c r="AT75" s="169" t="s">
        <v>1417</v>
      </c>
      <c r="AU75" s="169" t="s">
        <v>1412</v>
      </c>
    </row>
    <row r="76" spans="1:47" x14ac:dyDescent="0.45">
      <c r="A76" s="169">
        <v>2705750090</v>
      </c>
      <c r="B76" s="169">
        <v>57</v>
      </c>
      <c r="C76" s="169" t="s">
        <v>1551</v>
      </c>
      <c r="D76" s="169">
        <v>57</v>
      </c>
      <c r="E76" s="169" t="s">
        <v>1552</v>
      </c>
      <c r="F76" s="169" t="s">
        <v>4435</v>
      </c>
      <c r="G76" s="169" t="s">
        <v>4436</v>
      </c>
      <c r="H76" s="169">
        <v>1</v>
      </c>
      <c r="I76" s="169" t="s">
        <v>4437</v>
      </c>
      <c r="J76" s="169" t="s">
        <v>3700</v>
      </c>
      <c r="K76" s="169">
        <v>2027</v>
      </c>
      <c r="L76" s="169">
        <v>2027</v>
      </c>
      <c r="M76" s="171">
        <v>46315</v>
      </c>
      <c r="N76" s="169" t="s">
        <v>36</v>
      </c>
      <c r="O76" s="169">
        <v>58</v>
      </c>
      <c r="P76" s="169">
        <v>427</v>
      </c>
      <c r="Q76" s="169" t="s">
        <v>1479</v>
      </c>
      <c r="R76" s="169">
        <v>2</v>
      </c>
      <c r="S76" s="169">
        <v>2</v>
      </c>
      <c r="T76" s="169" t="s">
        <v>1464</v>
      </c>
      <c r="U76" s="169">
        <v>1</v>
      </c>
      <c r="V76" s="169">
        <v>0</v>
      </c>
      <c r="W76" s="169">
        <v>0</v>
      </c>
      <c r="X76" s="169" t="s">
        <v>1406</v>
      </c>
      <c r="Z76" s="169" t="s">
        <v>32</v>
      </c>
      <c r="AA76" s="169"/>
      <c r="AB76" s="169">
        <v>0</v>
      </c>
      <c r="AC76" s="169">
        <v>0</v>
      </c>
      <c r="AD76" s="169">
        <v>0</v>
      </c>
      <c r="AE76" s="169" t="s">
        <v>1446</v>
      </c>
      <c r="AG76" s="169" t="s">
        <v>1446</v>
      </c>
      <c r="AJ76" s="169">
        <v>0</v>
      </c>
      <c r="AK76" s="169" t="s">
        <v>1407</v>
      </c>
      <c r="AL76" s="169">
        <v>22998</v>
      </c>
      <c r="AM76" s="169" t="s">
        <v>1421</v>
      </c>
      <c r="AN76" s="169" t="s">
        <v>4438</v>
      </c>
      <c r="AO76" s="169">
        <v>22</v>
      </c>
      <c r="AP76" s="169" t="s">
        <v>3702</v>
      </c>
      <c r="AQ76" s="169">
        <v>0</v>
      </c>
      <c r="AR76" s="169" t="s">
        <v>1410</v>
      </c>
      <c r="AT76" s="169" t="s">
        <v>1417</v>
      </c>
      <c r="AU76" s="169" t="s">
        <v>1412</v>
      </c>
    </row>
    <row r="77" spans="1:47" x14ac:dyDescent="0.45">
      <c r="A77" s="169">
        <v>2705750093</v>
      </c>
      <c r="B77" s="169">
        <v>57</v>
      </c>
      <c r="C77" s="169" t="s">
        <v>1551</v>
      </c>
      <c r="D77" s="169">
        <v>57</v>
      </c>
      <c r="E77" s="169" t="s">
        <v>1552</v>
      </c>
      <c r="F77" s="169" t="s">
        <v>4439</v>
      </c>
      <c r="G77" s="169" t="s">
        <v>4440</v>
      </c>
      <c r="H77" s="169">
        <v>2</v>
      </c>
      <c r="I77" s="169" t="s">
        <v>4441</v>
      </c>
      <c r="J77" s="169" t="s">
        <v>1403</v>
      </c>
      <c r="K77" s="169">
        <v>2027</v>
      </c>
      <c r="L77" s="169">
        <v>2027</v>
      </c>
      <c r="M77" s="171">
        <v>46271</v>
      </c>
      <c r="N77" s="169" t="s">
        <v>36</v>
      </c>
      <c r="O77" s="169" t="s">
        <v>51</v>
      </c>
      <c r="P77" s="169">
        <v>968</v>
      </c>
      <c r="Q77" s="169" t="s">
        <v>1474</v>
      </c>
      <c r="R77" s="169">
        <v>1</v>
      </c>
      <c r="S77" s="169">
        <v>2</v>
      </c>
      <c r="T77" s="169" t="s">
        <v>1464</v>
      </c>
      <c r="U77" s="169">
        <v>1</v>
      </c>
      <c r="V77" s="169">
        <v>0</v>
      </c>
      <c r="W77" s="169">
        <v>0</v>
      </c>
      <c r="X77" s="169" t="s">
        <v>1406</v>
      </c>
      <c r="Z77" s="169" t="s">
        <v>32</v>
      </c>
      <c r="AA77" s="169"/>
      <c r="AB77" s="169">
        <v>0</v>
      </c>
      <c r="AC77" s="169">
        <v>0</v>
      </c>
      <c r="AD77" s="169">
        <v>0</v>
      </c>
      <c r="AE77" s="169" t="s">
        <v>1446</v>
      </c>
      <c r="AG77" s="169" t="s">
        <v>1446</v>
      </c>
      <c r="AJ77" s="169">
        <v>0</v>
      </c>
      <c r="AK77" s="169" t="s">
        <v>1473</v>
      </c>
      <c r="AL77" s="169">
        <v>28091</v>
      </c>
      <c r="AM77" s="169" t="s">
        <v>1421</v>
      </c>
      <c r="AN77" s="169" t="s">
        <v>1452</v>
      </c>
      <c r="AO77" s="169">
        <v>28</v>
      </c>
      <c r="AP77" s="169" t="s">
        <v>1416</v>
      </c>
      <c r="AQ77" s="169">
        <v>0</v>
      </c>
      <c r="AR77" s="169" t="s">
        <v>1410</v>
      </c>
      <c r="AT77" s="169" t="s">
        <v>1417</v>
      </c>
      <c r="AU77" s="169" t="s">
        <v>1412</v>
      </c>
    </row>
    <row r="78" spans="1:47" x14ac:dyDescent="0.45">
      <c r="A78" s="169">
        <v>2705750094</v>
      </c>
      <c r="B78" s="169">
        <v>57</v>
      </c>
      <c r="C78" s="169" t="s">
        <v>1551</v>
      </c>
      <c r="D78" s="169">
        <v>57</v>
      </c>
      <c r="E78" s="169" t="s">
        <v>1552</v>
      </c>
      <c r="F78" s="169" t="s">
        <v>4442</v>
      </c>
      <c r="G78" s="169" t="s">
        <v>4443</v>
      </c>
      <c r="H78" s="169">
        <v>1</v>
      </c>
      <c r="I78" s="169" t="s">
        <v>2074</v>
      </c>
      <c r="J78" s="169" t="s">
        <v>1403</v>
      </c>
      <c r="K78" s="169">
        <v>2027</v>
      </c>
      <c r="L78" s="169">
        <v>2027</v>
      </c>
      <c r="M78" s="171">
        <v>46317</v>
      </c>
      <c r="N78" s="169" t="s">
        <v>36</v>
      </c>
      <c r="O78" s="169" t="s">
        <v>51</v>
      </c>
      <c r="P78" s="169">
        <v>428</v>
      </c>
      <c r="Q78" s="169" t="s">
        <v>1463</v>
      </c>
      <c r="R78" s="169">
        <v>1</v>
      </c>
      <c r="S78" s="169">
        <v>2</v>
      </c>
      <c r="T78" s="169" t="s">
        <v>1464</v>
      </c>
      <c r="U78" s="169">
        <v>1</v>
      </c>
      <c r="V78" s="169">
        <v>0</v>
      </c>
      <c r="W78" s="169">
        <v>0</v>
      </c>
      <c r="X78" s="169" t="s">
        <v>1406</v>
      </c>
      <c r="Z78" s="169" t="s">
        <v>32</v>
      </c>
      <c r="AA78" s="169"/>
      <c r="AB78" s="169">
        <v>0</v>
      </c>
      <c r="AC78" s="169">
        <v>0</v>
      </c>
      <c r="AD78" s="169">
        <v>0</v>
      </c>
      <c r="AE78" s="169" t="s">
        <v>1446</v>
      </c>
      <c r="AG78" s="169" t="s">
        <v>1446</v>
      </c>
      <c r="AJ78" s="169">
        <v>0</v>
      </c>
      <c r="AK78" s="169" t="s">
        <v>1407</v>
      </c>
      <c r="AL78" s="169">
        <v>28233</v>
      </c>
      <c r="AM78" s="169" t="s">
        <v>1414</v>
      </c>
      <c r="AN78" s="169" t="s">
        <v>1493</v>
      </c>
      <c r="AO78" s="169">
        <v>28</v>
      </c>
      <c r="AP78" s="169" t="s">
        <v>1416</v>
      </c>
      <c r="AQ78" s="169">
        <v>0</v>
      </c>
      <c r="AR78" s="169" t="s">
        <v>1410</v>
      </c>
      <c r="AT78" s="169" t="s">
        <v>1417</v>
      </c>
      <c r="AU78" s="169" t="s">
        <v>1412</v>
      </c>
    </row>
    <row r="79" spans="1:47" x14ac:dyDescent="0.45">
      <c r="A79" s="169">
        <v>2705750095</v>
      </c>
      <c r="B79" s="169">
        <v>57</v>
      </c>
      <c r="C79" s="169" t="s">
        <v>1551</v>
      </c>
      <c r="D79" s="169">
        <v>57</v>
      </c>
      <c r="E79" s="169" t="s">
        <v>1552</v>
      </c>
      <c r="F79" s="169" t="s">
        <v>4444</v>
      </c>
      <c r="G79" s="169" t="s">
        <v>4445</v>
      </c>
      <c r="H79" s="169">
        <v>1</v>
      </c>
      <c r="I79" s="169" t="s">
        <v>1355</v>
      </c>
      <c r="J79" s="169" t="s">
        <v>1403</v>
      </c>
      <c r="K79" s="169">
        <v>2027</v>
      </c>
      <c r="L79" s="169">
        <v>2027</v>
      </c>
      <c r="M79" s="171">
        <v>46295</v>
      </c>
      <c r="N79" s="169" t="s">
        <v>36</v>
      </c>
      <c r="O79" s="169">
        <v>58</v>
      </c>
      <c r="P79" s="169">
        <v>428</v>
      </c>
      <c r="Q79" s="169" t="s">
        <v>1463</v>
      </c>
      <c r="R79" s="169">
        <v>2</v>
      </c>
      <c r="S79" s="169">
        <v>2</v>
      </c>
      <c r="T79" s="169" t="s">
        <v>1464</v>
      </c>
      <c r="U79" s="169">
        <v>1</v>
      </c>
      <c r="V79" s="169">
        <v>2780030</v>
      </c>
      <c r="W79" s="169">
        <v>0</v>
      </c>
      <c r="X79" s="169" t="s">
        <v>1406</v>
      </c>
      <c r="Z79" s="169" t="s">
        <v>32</v>
      </c>
      <c r="AA79" s="171">
        <v>46314</v>
      </c>
      <c r="AB79" s="169">
        <v>27</v>
      </c>
      <c r="AC79" s="169">
        <v>80030</v>
      </c>
      <c r="AD79" s="169">
        <v>57</v>
      </c>
      <c r="AE79" s="169" t="s">
        <v>1551</v>
      </c>
      <c r="AF79" s="169">
        <v>57</v>
      </c>
      <c r="AG79" s="169" t="s">
        <v>1552</v>
      </c>
      <c r="AH79" s="169" t="s">
        <v>36</v>
      </c>
      <c r="AI79" s="169">
        <v>58</v>
      </c>
      <c r="AJ79" s="169">
        <v>428</v>
      </c>
      <c r="AK79" s="169" t="s">
        <v>1407</v>
      </c>
      <c r="AL79" s="169">
        <v>28124</v>
      </c>
      <c r="AM79" s="169" t="s">
        <v>1414</v>
      </c>
      <c r="AN79" s="169" t="s">
        <v>1483</v>
      </c>
      <c r="AO79" s="169">
        <v>28</v>
      </c>
      <c r="AP79" s="169" t="s">
        <v>1416</v>
      </c>
      <c r="AQ79" s="169">
        <v>0</v>
      </c>
      <c r="AR79" s="169" t="s">
        <v>1410</v>
      </c>
      <c r="AT79" s="169" t="s">
        <v>1417</v>
      </c>
      <c r="AU79" s="169" t="s">
        <v>1412</v>
      </c>
    </row>
    <row r="80" spans="1:47" x14ac:dyDescent="0.45">
      <c r="A80" s="169">
        <v>2705750096</v>
      </c>
      <c r="B80" s="169">
        <v>57</v>
      </c>
      <c r="C80" s="169" t="s">
        <v>1551</v>
      </c>
      <c r="D80" s="169">
        <v>57</v>
      </c>
      <c r="E80" s="169" t="s">
        <v>1552</v>
      </c>
      <c r="F80" s="169" t="s">
        <v>4446</v>
      </c>
      <c r="G80" s="169" t="s">
        <v>4447</v>
      </c>
      <c r="H80" s="169">
        <v>1</v>
      </c>
      <c r="I80" s="169" t="s">
        <v>348</v>
      </c>
      <c r="J80" s="169" t="s">
        <v>1403</v>
      </c>
      <c r="K80" s="169">
        <v>2027</v>
      </c>
      <c r="L80" s="169">
        <v>2027</v>
      </c>
      <c r="M80" s="171">
        <v>46288</v>
      </c>
      <c r="N80" s="169" t="s">
        <v>36</v>
      </c>
      <c r="O80" s="169">
        <v>58</v>
      </c>
      <c r="P80" s="169">
        <v>290</v>
      </c>
      <c r="Q80" s="169" t="s">
        <v>1496</v>
      </c>
      <c r="R80" s="169">
        <v>2</v>
      </c>
      <c r="S80" s="169">
        <v>2</v>
      </c>
      <c r="T80" s="169" t="s">
        <v>1464</v>
      </c>
      <c r="U80" s="169">
        <v>1</v>
      </c>
      <c r="V80" s="169">
        <v>0</v>
      </c>
      <c r="W80" s="169">
        <v>0</v>
      </c>
      <c r="X80" s="169" t="s">
        <v>1406</v>
      </c>
      <c r="Z80" s="169" t="s">
        <v>32</v>
      </c>
      <c r="AA80" s="169"/>
      <c r="AB80" s="169">
        <v>0</v>
      </c>
      <c r="AC80" s="169">
        <v>0</v>
      </c>
      <c r="AD80" s="169">
        <v>0</v>
      </c>
      <c r="AE80" s="169" t="s">
        <v>1446</v>
      </c>
      <c r="AG80" s="169" t="s">
        <v>1446</v>
      </c>
      <c r="AJ80" s="169">
        <v>0</v>
      </c>
      <c r="AK80" s="169" t="s">
        <v>1473</v>
      </c>
      <c r="AL80" s="169">
        <v>28282</v>
      </c>
      <c r="AM80" s="169" t="s">
        <v>1414</v>
      </c>
      <c r="AN80" s="169" t="s">
        <v>1572</v>
      </c>
      <c r="AO80" s="169">
        <v>28</v>
      </c>
      <c r="AP80" s="169" t="s">
        <v>1416</v>
      </c>
      <c r="AQ80" s="169">
        <v>0</v>
      </c>
      <c r="AR80" s="169" t="s">
        <v>1410</v>
      </c>
      <c r="AT80" s="169" t="s">
        <v>1417</v>
      </c>
      <c r="AU80" s="169" t="s">
        <v>1412</v>
      </c>
    </row>
    <row r="81" spans="1:47" x14ac:dyDescent="0.45">
      <c r="A81" s="169">
        <v>2705750097</v>
      </c>
      <c r="B81" s="169">
        <v>57</v>
      </c>
      <c r="C81" s="169" t="s">
        <v>1551</v>
      </c>
      <c r="D81" s="169">
        <v>57</v>
      </c>
      <c r="E81" s="169" t="s">
        <v>1552</v>
      </c>
      <c r="F81" s="169" t="s">
        <v>4448</v>
      </c>
      <c r="G81" s="169" t="s">
        <v>4449</v>
      </c>
      <c r="H81" s="169">
        <v>2</v>
      </c>
      <c r="I81" s="169" t="s">
        <v>4450</v>
      </c>
      <c r="J81" s="169" t="s">
        <v>1403</v>
      </c>
      <c r="K81" s="169">
        <v>2027</v>
      </c>
      <c r="L81" s="169">
        <v>2027</v>
      </c>
      <c r="M81" s="171">
        <v>46299</v>
      </c>
      <c r="N81" s="169" t="s">
        <v>36</v>
      </c>
      <c r="O81" s="169">
        <v>58</v>
      </c>
      <c r="P81" s="169">
        <v>856</v>
      </c>
      <c r="Q81" s="169" t="s">
        <v>1533</v>
      </c>
      <c r="R81" s="169">
        <v>2</v>
      </c>
      <c r="S81" s="169">
        <v>2</v>
      </c>
      <c r="T81" s="169" t="s">
        <v>1464</v>
      </c>
      <c r="U81" s="169">
        <v>1</v>
      </c>
      <c r="V81" s="169">
        <v>0</v>
      </c>
      <c r="W81" s="169">
        <v>0</v>
      </c>
      <c r="X81" s="169" t="s">
        <v>1406</v>
      </c>
      <c r="Z81" s="169" t="s">
        <v>32</v>
      </c>
      <c r="AA81" s="169"/>
      <c r="AB81" s="169">
        <v>0</v>
      </c>
      <c r="AC81" s="169">
        <v>0</v>
      </c>
      <c r="AD81" s="169">
        <v>0</v>
      </c>
      <c r="AE81" s="169" t="s">
        <v>1446</v>
      </c>
      <c r="AG81" s="169" t="s">
        <v>1446</v>
      </c>
      <c r="AJ81" s="169">
        <v>0</v>
      </c>
      <c r="AK81" s="169" t="s">
        <v>1410</v>
      </c>
      <c r="AL81" s="169">
        <v>28145</v>
      </c>
      <c r="AM81" s="169" t="s">
        <v>1418</v>
      </c>
      <c r="AN81" s="169" t="s">
        <v>1627</v>
      </c>
      <c r="AO81" s="169">
        <v>28</v>
      </c>
      <c r="AP81" s="169" t="s">
        <v>1416</v>
      </c>
      <c r="AQ81" s="169">
        <v>0</v>
      </c>
      <c r="AR81" s="169" t="s">
        <v>1410</v>
      </c>
      <c r="AT81" s="169" t="s">
        <v>1417</v>
      </c>
      <c r="AU81" s="169" t="s">
        <v>1412</v>
      </c>
    </row>
    <row r="82" spans="1:47" x14ac:dyDescent="0.45">
      <c r="A82" s="169">
        <v>2705750100</v>
      </c>
      <c r="B82" s="169">
        <v>57</v>
      </c>
      <c r="C82" s="169" t="s">
        <v>1551</v>
      </c>
      <c r="D82" s="169">
        <v>57</v>
      </c>
      <c r="E82" s="169" t="s">
        <v>1552</v>
      </c>
      <c r="F82" s="169" t="s">
        <v>4451</v>
      </c>
      <c r="G82" s="169" t="s">
        <v>4452</v>
      </c>
      <c r="H82" s="169">
        <v>2</v>
      </c>
      <c r="I82" s="169" t="s">
        <v>4453</v>
      </c>
      <c r="J82" s="169" t="s">
        <v>1403</v>
      </c>
      <c r="K82" s="169">
        <v>2027</v>
      </c>
      <c r="L82" s="169">
        <v>2027</v>
      </c>
      <c r="M82" s="171">
        <v>46283</v>
      </c>
      <c r="N82" s="169" t="s">
        <v>36</v>
      </c>
      <c r="O82" s="169">
        <v>57</v>
      </c>
      <c r="P82" s="169">
        <v>1775</v>
      </c>
      <c r="Q82" s="169" t="s">
        <v>3620</v>
      </c>
      <c r="R82" s="169">
        <v>2</v>
      </c>
      <c r="S82" s="169">
        <v>3</v>
      </c>
      <c r="T82" s="169" t="s">
        <v>1477</v>
      </c>
      <c r="U82" s="169">
        <v>4</v>
      </c>
      <c r="V82" s="169">
        <v>2780013</v>
      </c>
      <c r="W82" s="169">
        <v>0</v>
      </c>
      <c r="X82" s="169" t="s">
        <v>1406</v>
      </c>
      <c r="Z82" s="169" t="s">
        <v>32</v>
      </c>
      <c r="AA82" s="171">
        <v>46309</v>
      </c>
      <c r="AB82" s="169">
        <v>27</v>
      </c>
      <c r="AC82" s="169">
        <v>80013</v>
      </c>
      <c r="AD82" s="169">
        <v>57</v>
      </c>
      <c r="AE82" s="169" t="s">
        <v>1551</v>
      </c>
      <c r="AF82" s="169">
        <v>57</v>
      </c>
      <c r="AG82" s="169" t="s">
        <v>1552</v>
      </c>
      <c r="AH82" s="169" t="s">
        <v>36</v>
      </c>
      <c r="AI82" s="169">
        <v>57</v>
      </c>
      <c r="AJ82" s="169">
        <v>1775</v>
      </c>
      <c r="AK82" s="169" t="s">
        <v>1407</v>
      </c>
      <c r="AL82" s="169">
        <v>28116</v>
      </c>
      <c r="AM82" s="169" t="s">
        <v>1418</v>
      </c>
      <c r="AN82" s="169" t="s">
        <v>1559</v>
      </c>
      <c r="AO82" s="169">
        <v>28</v>
      </c>
      <c r="AP82" s="169" t="s">
        <v>1416</v>
      </c>
      <c r="AQ82" s="169">
        <v>0</v>
      </c>
      <c r="AR82" s="169" t="s">
        <v>1410</v>
      </c>
      <c r="AT82" s="169" t="s">
        <v>1417</v>
      </c>
      <c r="AU82" s="169" t="s">
        <v>1412</v>
      </c>
    </row>
    <row r="83" spans="1:47" x14ac:dyDescent="0.45">
      <c r="A83" s="169">
        <v>2705750101</v>
      </c>
      <c r="B83" s="169">
        <v>57</v>
      </c>
      <c r="C83" s="169" t="s">
        <v>1551</v>
      </c>
      <c r="D83" s="169">
        <v>57</v>
      </c>
      <c r="E83" s="169" t="s">
        <v>1552</v>
      </c>
      <c r="F83" s="169" t="s">
        <v>4454</v>
      </c>
      <c r="G83" s="169" t="s">
        <v>4455</v>
      </c>
      <c r="H83" s="169">
        <v>1</v>
      </c>
      <c r="I83" s="169" t="s">
        <v>4456</v>
      </c>
      <c r="J83" s="169" t="s">
        <v>1403</v>
      </c>
      <c r="K83" s="169">
        <v>2027</v>
      </c>
      <c r="L83" s="169">
        <v>2027</v>
      </c>
      <c r="M83" s="171">
        <v>46277</v>
      </c>
      <c r="N83" s="169" t="s">
        <v>36</v>
      </c>
      <c r="O83" s="169">
        <v>58</v>
      </c>
      <c r="P83" s="169">
        <v>427</v>
      </c>
      <c r="Q83" s="169" t="s">
        <v>1479</v>
      </c>
      <c r="R83" s="169">
        <v>2</v>
      </c>
      <c r="S83" s="169">
        <v>2</v>
      </c>
      <c r="T83" s="169" t="s">
        <v>1464</v>
      </c>
      <c r="U83" s="169">
        <v>1</v>
      </c>
      <c r="V83" s="169">
        <v>0</v>
      </c>
      <c r="W83" s="169">
        <v>0</v>
      </c>
      <c r="X83" s="169" t="s">
        <v>1406</v>
      </c>
      <c r="Z83" s="169" t="s">
        <v>32</v>
      </c>
      <c r="AA83" s="169"/>
      <c r="AB83" s="169">
        <v>0</v>
      </c>
      <c r="AC83" s="169">
        <v>0</v>
      </c>
      <c r="AD83" s="169">
        <v>0</v>
      </c>
      <c r="AE83" s="169" t="s">
        <v>1446</v>
      </c>
      <c r="AG83" s="169" t="s">
        <v>1446</v>
      </c>
      <c r="AJ83" s="169">
        <v>0</v>
      </c>
      <c r="AK83" s="169" t="s">
        <v>1410</v>
      </c>
      <c r="AL83" s="169">
        <v>28121</v>
      </c>
      <c r="AM83" s="169" t="s">
        <v>1418</v>
      </c>
      <c r="AN83" s="169" t="s">
        <v>1556</v>
      </c>
      <c r="AO83" s="169">
        <v>28</v>
      </c>
      <c r="AP83" s="169" t="s">
        <v>1416</v>
      </c>
      <c r="AQ83" s="169">
        <v>0</v>
      </c>
      <c r="AR83" s="169" t="s">
        <v>1410</v>
      </c>
      <c r="AT83" s="169" t="s">
        <v>1417</v>
      </c>
      <c r="AU83" s="169" t="s">
        <v>1412</v>
      </c>
    </row>
    <row r="84" spans="1:47" x14ac:dyDescent="0.45">
      <c r="A84" s="169">
        <v>2705750103</v>
      </c>
      <c r="B84" s="169">
        <v>57</v>
      </c>
      <c r="C84" s="169" t="s">
        <v>1551</v>
      </c>
      <c r="D84" s="169">
        <v>57</v>
      </c>
      <c r="E84" s="169" t="s">
        <v>1552</v>
      </c>
      <c r="F84" s="169" t="s">
        <v>4457</v>
      </c>
      <c r="G84" s="169" t="s">
        <v>4458</v>
      </c>
      <c r="H84" s="169">
        <v>2</v>
      </c>
      <c r="I84" s="169" t="s">
        <v>4459</v>
      </c>
      <c r="J84" s="169" t="s">
        <v>1403</v>
      </c>
      <c r="K84" s="169">
        <v>2027</v>
      </c>
      <c r="L84" s="169">
        <v>2027</v>
      </c>
      <c r="M84" s="171">
        <v>46304</v>
      </c>
      <c r="N84" s="169" t="s">
        <v>36</v>
      </c>
      <c r="O84" s="169" t="s">
        <v>51</v>
      </c>
      <c r="P84" s="169">
        <v>427</v>
      </c>
      <c r="Q84" s="169" t="s">
        <v>1479</v>
      </c>
      <c r="R84" s="169">
        <v>1</v>
      </c>
      <c r="S84" s="169">
        <v>2</v>
      </c>
      <c r="T84" s="169" t="s">
        <v>1464</v>
      </c>
      <c r="U84" s="169">
        <v>1</v>
      </c>
      <c r="V84" s="169">
        <v>0</v>
      </c>
      <c r="W84" s="169">
        <v>0</v>
      </c>
      <c r="X84" s="169" t="s">
        <v>1406</v>
      </c>
      <c r="Z84" s="169" t="s">
        <v>32</v>
      </c>
      <c r="AA84" s="169"/>
      <c r="AB84" s="169">
        <v>0</v>
      </c>
      <c r="AC84" s="169">
        <v>0</v>
      </c>
      <c r="AD84" s="169">
        <v>0</v>
      </c>
      <c r="AE84" s="169" t="s">
        <v>1446</v>
      </c>
      <c r="AG84" s="169" t="s">
        <v>1446</v>
      </c>
      <c r="AJ84" s="169">
        <v>0</v>
      </c>
      <c r="AK84" s="169" t="s">
        <v>1473</v>
      </c>
      <c r="AL84" s="169">
        <v>28018</v>
      </c>
      <c r="AM84" s="169" t="s">
        <v>1421</v>
      </c>
      <c r="AN84" s="169" t="s">
        <v>4460</v>
      </c>
      <c r="AO84" s="169">
        <v>28</v>
      </c>
      <c r="AP84" s="169" t="s">
        <v>1416</v>
      </c>
      <c r="AQ84" s="169">
        <v>0</v>
      </c>
      <c r="AR84" s="169" t="s">
        <v>1410</v>
      </c>
      <c r="AT84" s="169" t="s">
        <v>1417</v>
      </c>
      <c r="AU84" s="169" t="s">
        <v>1412</v>
      </c>
    </row>
    <row r="85" spans="1:47" x14ac:dyDescent="0.45">
      <c r="A85" s="169">
        <v>2705750106</v>
      </c>
      <c r="B85" s="169">
        <v>57</v>
      </c>
      <c r="C85" s="169" t="s">
        <v>1551</v>
      </c>
      <c r="D85" s="169">
        <v>57</v>
      </c>
      <c r="E85" s="169" t="s">
        <v>1552</v>
      </c>
      <c r="F85" s="169" t="s">
        <v>4461</v>
      </c>
      <c r="G85" s="169" t="s">
        <v>4462</v>
      </c>
      <c r="H85" s="169">
        <v>2</v>
      </c>
      <c r="I85" s="169" t="s">
        <v>2984</v>
      </c>
      <c r="J85" s="169" t="s">
        <v>1403</v>
      </c>
      <c r="K85" s="169">
        <v>2027</v>
      </c>
      <c r="L85" s="169">
        <v>2027</v>
      </c>
      <c r="M85" s="171">
        <v>46304</v>
      </c>
      <c r="N85" s="169" t="s">
        <v>36</v>
      </c>
      <c r="O85" s="169" t="s">
        <v>135</v>
      </c>
      <c r="P85" s="169">
        <v>502</v>
      </c>
      <c r="Q85" s="169" t="s">
        <v>1500</v>
      </c>
      <c r="R85" s="169">
        <v>2</v>
      </c>
      <c r="S85" s="169">
        <v>5</v>
      </c>
      <c r="T85" s="169" t="s">
        <v>1470</v>
      </c>
      <c r="U85" s="169">
        <v>15</v>
      </c>
      <c r="V85" s="169">
        <v>0</v>
      </c>
      <c r="W85" s="169">
        <v>0</v>
      </c>
      <c r="X85" s="169" t="s">
        <v>1406</v>
      </c>
      <c r="Z85" s="169" t="s">
        <v>32</v>
      </c>
      <c r="AA85" s="169"/>
      <c r="AB85" s="169">
        <v>0</v>
      </c>
      <c r="AC85" s="169">
        <v>0</v>
      </c>
      <c r="AD85" s="169">
        <v>0</v>
      </c>
      <c r="AE85" s="169" t="s">
        <v>1446</v>
      </c>
      <c r="AG85" s="169" t="s">
        <v>1446</v>
      </c>
      <c r="AJ85" s="169">
        <v>0</v>
      </c>
      <c r="AK85" s="169" t="s">
        <v>1407</v>
      </c>
      <c r="AL85" s="169">
        <v>28137</v>
      </c>
      <c r="AM85" s="169" t="s">
        <v>1418</v>
      </c>
      <c r="AN85" s="169" t="s">
        <v>1609</v>
      </c>
      <c r="AO85" s="169">
        <v>28</v>
      </c>
      <c r="AP85" s="169" t="s">
        <v>1416</v>
      </c>
      <c r="AQ85" s="169">
        <v>0</v>
      </c>
      <c r="AR85" s="169" t="s">
        <v>1410</v>
      </c>
      <c r="AT85" s="169" t="s">
        <v>1417</v>
      </c>
      <c r="AU85" s="169" t="s">
        <v>1412</v>
      </c>
    </row>
    <row r="86" spans="1:47" x14ac:dyDescent="0.45">
      <c r="A86" s="169">
        <v>2705750107</v>
      </c>
      <c r="B86" s="169">
        <v>57</v>
      </c>
      <c r="C86" s="169" t="s">
        <v>1551</v>
      </c>
      <c r="D86" s="169">
        <v>57</v>
      </c>
      <c r="E86" s="169" t="s">
        <v>1552</v>
      </c>
      <c r="F86" s="169" t="s">
        <v>4463</v>
      </c>
      <c r="G86" s="169" t="s">
        <v>4464</v>
      </c>
      <c r="H86" s="169">
        <v>1</v>
      </c>
      <c r="I86" s="169" t="s">
        <v>66</v>
      </c>
      <c r="J86" s="169" t="s">
        <v>1403</v>
      </c>
      <c r="K86" s="169">
        <v>2027</v>
      </c>
      <c r="L86" s="169">
        <v>2027</v>
      </c>
      <c r="M86" s="171">
        <v>46316</v>
      </c>
      <c r="N86" s="169" t="s">
        <v>36</v>
      </c>
      <c r="O86" s="169" t="s">
        <v>51</v>
      </c>
      <c r="P86" s="169">
        <v>428</v>
      </c>
      <c r="Q86" s="169" t="s">
        <v>1463</v>
      </c>
      <c r="R86" s="169">
        <v>1</v>
      </c>
      <c r="S86" s="169">
        <v>2</v>
      </c>
      <c r="T86" s="169" t="s">
        <v>1464</v>
      </c>
      <c r="U86" s="169">
        <v>1</v>
      </c>
      <c r="V86" s="169">
        <v>0</v>
      </c>
      <c r="W86" s="169">
        <v>0</v>
      </c>
      <c r="X86" s="169" t="s">
        <v>1406</v>
      </c>
      <c r="Z86" s="169" t="s">
        <v>32</v>
      </c>
      <c r="AA86" s="169"/>
      <c r="AB86" s="169">
        <v>0</v>
      </c>
      <c r="AC86" s="169">
        <v>0</v>
      </c>
      <c r="AD86" s="169">
        <v>0</v>
      </c>
      <c r="AE86" s="169" t="s">
        <v>1446</v>
      </c>
      <c r="AG86" s="169" t="s">
        <v>1446</v>
      </c>
      <c r="AJ86" s="169">
        <v>0</v>
      </c>
      <c r="AK86" s="169" t="s">
        <v>1473</v>
      </c>
      <c r="AL86" s="169">
        <v>28116</v>
      </c>
      <c r="AM86" s="169" t="s">
        <v>1418</v>
      </c>
      <c r="AN86" s="169" t="s">
        <v>1559</v>
      </c>
      <c r="AO86" s="169">
        <v>28</v>
      </c>
      <c r="AP86" s="169" t="s">
        <v>1416</v>
      </c>
      <c r="AQ86" s="169">
        <v>0</v>
      </c>
      <c r="AR86" s="169" t="s">
        <v>1410</v>
      </c>
      <c r="AT86" s="169" t="s">
        <v>1417</v>
      </c>
      <c r="AU86" s="169" t="s">
        <v>1412</v>
      </c>
    </row>
    <row r="87" spans="1:47" x14ac:dyDescent="0.45">
      <c r="A87" s="169">
        <v>2705750111</v>
      </c>
      <c r="B87" s="169">
        <v>57</v>
      </c>
      <c r="C87" s="169" t="s">
        <v>1551</v>
      </c>
      <c r="D87" s="169">
        <v>57</v>
      </c>
      <c r="E87" s="169" t="s">
        <v>1552</v>
      </c>
      <c r="F87" s="169" t="s">
        <v>4465</v>
      </c>
      <c r="G87" s="169" t="s">
        <v>4466</v>
      </c>
      <c r="H87" s="169">
        <v>2</v>
      </c>
      <c r="I87" s="169" t="s">
        <v>2228</v>
      </c>
      <c r="J87" s="169" t="s">
        <v>1403</v>
      </c>
      <c r="K87" s="169">
        <v>2027</v>
      </c>
      <c r="L87" s="169">
        <v>2027</v>
      </c>
      <c r="M87" s="171">
        <v>46316</v>
      </c>
      <c r="N87" s="169" t="s">
        <v>36</v>
      </c>
      <c r="O87" s="169">
        <v>57</v>
      </c>
      <c r="P87" s="169">
        <v>1756</v>
      </c>
      <c r="Q87" s="169" t="s">
        <v>2784</v>
      </c>
      <c r="R87" s="169">
        <v>2</v>
      </c>
      <c r="S87" s="169">
        <v>3</v>
      </c>
      <c r="T87" s="169" t="s">
        <v>1477</v>
      </c>
      <c r="U87" s="169">
        <v>4</v>
      </c>
      <c r="V87" s="169">
        <v>0</v>
      </c>
      <c r="W87" s="169">
        <v>0</v>
      </c>
      <c r="X87" s="169" t="s">
        <v>1406</v>
      </c>
      <c r="Z87" s="169" t="s">
        <v>32</v>
      </c>
      <c r="AA87" s="169"/>
      <c r="AB87" s="169">
        <v>0</v>
      </c>
      <c r="AC87" s="169">
        <v>0</v>
      </c>
      <c r="AD87" s="169">
        <v>0</v>
      </c>
      <c r="AE87" s="169" t="s">
        <v>1446</v>
      </c>
      <c r="AG87" s="169" t="s">
        <v>1446</v>
      </c>
      <c r="AJ87" s="169">
        <v>0</v>
      </c>
      <c r="AK87" s="169" t="s">
        <v>1407</v>
      </c>
      <c r="AL87" s="169">
        <v>28150</v>
      </c>
      <c r="AM87" s="169" t="s">
        <v>1418</v>
      </c>
      <c r="AN87" s="169" t="s">
        <v>1620</v>
      </c>
      <c r="AO87" s="169">
        <v>28</v>
      </c>
      <c r="AP87" s="169" t="s">
        <v>1416</v>
      </c>
      <c r="AQ87" s="169">
        <v>0</v>
      </c>
      <c r="AR87" s="169" t="s">
        <v>1410</v>
      </c>
      <c r="AT87" s="169" t="s">
        <v>1417</v>
      </c>
      <c r="AU87" s="169" t="s">
        <v>1412</v>
      </c>
    </row>
    <row r="88" spans="1:47" x14ac:dyDescent="0.45">
      <c r="A88" s="169">
        <v>2705750112</v>
      </c>
      <c r="B88" s="169">
        <v>57</v>
      </c>
      <c r="C88" s="169" t="s">
        <v>1551</v>
      </c>
      <c r="D88" s="169">
        <v>57</v>
      </c>
      <c r="E88" s="169" t="s">
        <v>1552</v>
      </c>
      <c r="F88" s="169" t="s">
        <v>4467</v>
      </c>
      <c r="G88" s="169" t="s">
        <v>4468</v>
      </c>
      <c r="H88" s="169">
        <v>1</v>
      </c>
      <c r="I88" s="169" t="s">
        <v>2574</v>
      </c>
      <c r="J88" s="169" t="s">
        <v>1403</v>
      </c>
      <c r="K88" s="169">
        <v>2027</v>
      </c>
      <c r="L88" s="169">
        <v>2027</v>
      </c>
      <c r="M88" s="171">
        <v>46298</v>
      </c>
      <c r="N88" s="169" t="s">
        <v>36</v>
      </c>
      <c r="O88" s="169">
        <v>57</v>
      </c>
      <c r="P88" s="169">
        <v>645</v>
      </c>
      <c r="Q88" s="169" t="s">
        <v>1544</v>
      </c>
      <c r="R88" s="169">
        <v>2</v>
      </c>
      <c r="S88" s="169">
        <v>3</v>
      </c>
      <c r="T88" s="169" t="s">
        <v>1477</v>
      </c>
      <c r="U88" s="169">
        <v>4</v>
      </c>
      <c r="V88" s="169">
        <v>2780036</v>
      </c>
      <c r="W88" s="169">
        <v>0</v>
      </c>
      <c r="X88" s="169" t="s">
        <v>1406</v>
      </c>
      <c r="Z88" s="169" t="s">
        <v>32</v>
      </c>
      <c r="AA88" s="171">
        <v>46317</v>
      </c>
      <c r="AB88" s="169">
        <v>27</v>
      </c>
      <c r="AC88" s="169">
        <v>80036</v>
      </c>
      <c r="AD88" s="169">
        <v>57</v>
      </c>
      <c r="AE88" s="169" t="s">
        <v>1551</v>
      </c>
      <c r="AF88" s="169">
        <v>57</v>
      </c>
      <c r="AG88" s="169" t="s">
        <v>1552</v>
      </c>
      <c r="AH88" s="169" t="s">
        <v>36</v>
      </c>
      <c r="AI88" s="169">
        <v>57</v>
      </c>
      <c r="AJ88" s="169">
        <v>645</v>
      </c>
      <c r="AK88" s="169" t="s">
        <v>1407</v>
      </c>
      <c r="AL88" s="169">
        <v>28103</v>
      </c>
      <c r="AM88" s="169" t="s">
        <v>1418</v>
      </c>
      <c r="AN88" s="169" t="s">
        <v>1505</v>
      </c>
      <c r="AO88" s="169">
        <v>28</v>
      </c>
      <c r="AP88" s="169" t="s">
        <v>1416</v>
      </c>
      <c r="AQ88" s="169">
        <v>0</v>
      </c>
      <c r="AR88" s="169" t="s">
        <v>1410</v>
      </c>
      <c r="AT88" s="169" t="s">
        <v>1417</v>
      </c>
      <c r="AU88" s="169" t="s">
        <v>1412</v>
      </c>
    </row>
    <row r="89" spans="1:47" x14ac:dyDescent="0.45">
      <c r="A89" s="169">
        <v>2705750113</v>
      </c>
      <c r="B89" s="169">
        <v>57</v>
      </c>
      <c r="C89" s="169" t="s">
        <v>1551</v>
      </c>
      <c r="D89" s="169">
        <v>57</v>
      </c>
      <c r="E89" s="169" t="s">
        <v>1552</v>
      </c>
      <c r="F89" s="169" t="s">
        <v>4469</v>
      </c>
      <c r="G89" s="169" t="s">
        <v>4470</v>
      </c>
      <c r="H89" s="169">
        <v>2</v>
      </c>
      <c r="I89" s="169" t="s">
        <v>4127</v>
      </c>
      <c r="J89" s="169" t="s">
        <v>1403</v>
      </c>
      <c r="K89" s="169">
        <v>2027</v>
      </c>
      <c r="L89" s="169">
        <v>2027</v>
      </c>
      <c r="M89" s="171">
        <v>46280</v>
      </c>
      <c r="N89" s="169" t="s">
        <v>36</v>
      </c>
      <c r="O89" s="169">
        <v>57</v>
      </c>
      <c r="P89" s="169">
        <v>1044</v>
      </c>
      <c r="Q89" s="169" t="s">
        <v>1476</v>
      </c>
      <c r="R89" s="169">
        <v>2</v>
      </c>
      <c r="S89" s="169">
        <v>3</v>
      </c>
      <c r="T89" s="169" t="s">
        <v>1477</v>
      </c>
      <c r="U89" s="169">
        <v>4</v>
      </c>
      <c r="V89" s="169">
        <v>0</v>
      </c>
      <c r="W89" s="169">
        <v>0</v>
      </c>
      <c r="X89" s="169" t="s">
        <v>1406</v>
      </c>
      <c r="Z89" s="169" t="s">
        <v>32</v>
      </c>
      <c r="AA89" s="169"/>
      <c r="AB89" s="169">
        <v>0</v>
      </c>
      <c r="AC89" s="169">
        <v>0</v>
      </c>
      <c r="AD89" s="169">
        <v>0</v>
      </c>
      <c r="AE89" s="169" t="s">
        <v>1446</v>
      </c>
      <c r="AG89" s="169" t="s">
        <v>1446</v>
      </c>
      <c r="AJ89" s="169">
        <v>0</v>
      </c>
      <c r="AK89" s="169" t="s">
        <v>1407</v>
      </c>
      <c r="AL89" s="169">
        <v>28002</v>
      </c>
      <c r="AM89" s="169" t="s">
        <v>1418</v>
      </c>
      <c r="AN89" s="169" t="s">
        <v>1628</v>
      </c>
      <c r="AO89" s="169">
        <v>28</v>
      </c>
      <c r="AP89" s="169" t="s">
        <v>1416</v>
      </c>
      <c r="AQ89" s="169">
        <v>0</v>
      </c>
      <c r="AR89" s="169" t="s">
        <v>1410</v>
      </c>
      <c r="AT89" s="169" t="s">
        <v>1417</v>
      </c>
      <c r="AU89" s="169" t="s">
        <v>1412</v>
      </c>
    </row>
    <row r="90" spans="1:47" x14ac:dyDescent="0.45">
      <c r="A90" s="169">
        <v>2705750119</v>
      </c>
      <c r="B90" s="169">
        <v>57</v>
      </c>
      <c r="C90" s="169" t="s">
        <v>1551</v>
      </c>
      <c r="D90" s="169">
        <v>57</v>
      </c>
      <c r="E90" s="169" t="s">
        <v>1552</v>
      </c>
      <c r="F90" s="169" t="s">
        <v>4471</v>
      </c>
      <c r="G90" s="169" t="s">
        <v>4472</v>
      </c>
      <c r="H90" s="169">
        <v>1</v>
      </c>
      <c r="I90" s="169" t="s">
        <v>4473</v>
      </c>
      <c r="J90" s="169" t="s">
        <v>1461</v>
      </c>
      <c r="K90" s="169">
        <v>2027</v>
      </c>
      <c r="L90" s="169">
        <v>2027</v>
      </c>
      <c r="M90" s="171">
        <v>46284</v>
      </c>
      <c r="N90" s="169" t="s">
        <v>36</v>
      </c>
      <c r="O90" s="169">
        <v>58</v>
      </c>
      <c r="P90" s="169">
        <v>428</v>
      </c>
      <c r="Q90" s="169" t="s">
        <v>1463</v>
      </c>
      <c r="R90" s="169">
        <v>2</v>
      </c>
      <c r="S90" s="169">
        <v>2</v>
      </c>
      <c r="T90" s="169" t="s">
        <v>1464</v>
      </c>
      <c r="U90" s="169">
        <v>1</v>
      </c>
      <c r="V90" s="169">
        <v>0</v>
      </c>
      <c r="W90" s="169">
        <v>0</v>
      </c>
      <c r="X90" s="169" t="s">
        <v>1406</v>
      </c>
      <c r="Z90" s="169" t="s">
        <v>32</v>
      </c>
      <c r="AA90" s="169"/>
      <c r="AB90" s="169">
        <v>0</v>
      </c>
      <c r="AC90" s="169">
        <v>0</v>
      </c>
      <c r="AD90" s="169">
        <v>0</v>
      </c>
      <c r="AE90" s="169" t="s">
        <v>1446</v>
      </c>
      <c r="AG90" s="169" t="s">
        <v>1446</v>
      </c>
      <c r="AJ90" s="169">
        <v>0</v>
      </c>
      <c r="AK90" s="169" t="s">
        <v>1407</v>
      </c>
      <c r="AL90" s="169">
        <v>36037</v>
      </c>
      <c r="AM90" s="169" t="s">
        <v>1418</v>
      </c>
      <c r="AN90" s="169" t="s">
        <v>4474</v>
      </c>
      <c r="AO90" s="169">
        <v>36</v>
      </c>
      <c r="AP90" s="169" t="s">
        <v>1603</v>
      </c>
      <c r="AQ90" s="169">
        <v>0</v>
      </c>
      <c r="AR90" s="169" t="s">
        <v>1410</v>
      </c>
      <c r="AT90" s="169" t="s">
        <v>1417</v>
      </c>
      <c r="AU90" s="169" t="s">
        <v>1412</v>
      </c>
    </row>
    <row r="91" spans="1:47" x14ac:dyDescent="0.45">
      <c r="A91" s="169">
        <v>2705750120</v>
      </c>
      <c r="B91" s="169">
        <v>57</v>
      </c>
      <c r="C91" s="169" t="s">
        <v>1551</v>
      </c>
      <c r="D91" s="169">
        <v>57</v>
      </c>
      <c r="E91" s="169" t="s">
        <v>1552</v>
      </c>
      <c r="F91" s="169" t="s">
        <v>4475</v>
      </c>
      <c r="G91" s="169" t="s">
        <v>4476</v>
      </c>
      <c r="H91" s="169">
        <v>1</v>
      </c>
      <c r="I91" s="169" t="s">
        <v>2574</v>
      </c>
      <c r="J91" s="169" t="s">
        <v>1403</v>
      </c>
      <c r="K91" s="169">
        <v>2027</v>
      </c>
      <c r="L91" s="169">
        <v>2027</v>
      </c>
      <c r="M91" s="171">
        <v>46298</v>
      </c>
      <c r="N91" s="169" t="s">
        <v>36</v>
      </c>
      <c r="O91" s="169">
        <v>57</v>
      </c>
      <c r="P91" s="169">
        <v>645</v>
      </c>
      <c r="Q91" s="169" t="s">
        <v>1544</v>
      </c>
      <c r="R91" s="169">
        <v>2</v>
      </c>
      <c r="S91" s="169">
        <v>3</v>
      </c>
      <c r="T91" s="169" t="s">
        <v>1477</v>
      </c>
      <c r="U91" s="169">
        <v>4</v>
      </c>
      <c r="V91" s="169">
        <v>2780040</v>
      </c>
      <c r="W91" s="169">
        <v>0</v>
      </c>
      <c r="X91" s="169" t="s">
        <v>1406</v>
      </c>
      <c r="Z91" s="169" t="s">
        <v>32</v>
      </c>
      <c r="AA91" s="171">
        <v>46322</v>
      </c>
      <c r="AB91" s="169">
        <v>27</v>
      </c>
      <c r="AC91" s="169">
        <v>80040</v>
      </c>
      <c r="AD91" s="169">
        <v>57</v>
      </c>
      <c r="AE91" s="169" t="s">
        <v>1551</v>
      </c>
      <c r="AF91" s="169">
        <v>57</v>
      </c>
      <c r="AG91" s="169" t="s">
        <v>1552</v>
      </c>
      <c r="AH91" s="169" t="s">
        <v>36</v>
      </c>
      <c r="AI91" s="169">
        <v>57</v>
      </c>
      <c r="AJ91" s="169">
        <v>645</v>
      </c>
      <c r="AK91" s="169" t="s">
        <v>1407</v>
      </c>
      <c r="AL91" s="169">
        <v>28103</v>
      </c>
      <c r="AM91" s="169" t="s">
        <v>1418</v>
      </c>
      <c r="AN91" s="169" t="s">
        <v>1505</v>
      </c>
      <c r="AO91" s="169">
        <v>28</v>
      </c>
      <c r="AP91" s="169" t="s">
        <v>1416</v>
      </c>
      <c r="AQ91" s="169">
        <v>0</v>
      </c>
      <c r="AR91" s="169" t="s">
        <v>1410</v>
      </c>
      <c r="AT91" s="169" t="s">
        <v>1417</v>
      </c>
      <c r="AU91" s="169" t="s">
        <v>1412</v>
      </c>
    </row>
    <row r="92" spans="1:47" x14ac:dyDescent="0.45">
      <c r="A92" s="169">
        <v>2705750123</v>
      </c>
      <c r="B92" s="169">
        <v>57</v>
      </c>
      <c r="C92" s="169" t="s">
        <v>1551</v>
      </c>
      <c r="D92" s="169">
        <v>57</v>
      </c>
      <c r="E92" s="169" t="s">
        <v>1552</v>
      </c>
      <c r="F92" s="169" t="s">
        <v>4477</v>
      </c>
      <c r="G92" s="169" t="s">
        <v>4478</v>
      </c>
      <c r="H92" s="169">
        <v>1</v>
      </c>
      <c r="I92" s="169" t="s">
        <v>4479</v>
      </c>
      <c r="J92" s="169" t="s">
        <v>1560</v>
      </c>
      <c r="K92" s="169">
        <v>2027</v>
      </c>
      <c r="L92" s="169">
        <v>2027</v>
      </c>
      <c r="M92" s="171">
        <v>46283</v>
      </c>
      <c r="N92" s="169" t="s">
        <v>36</v>
      </c>
      <c r="O92" s="169">
        <v>58</v>
      </c>
      <c r="P92" s="169">
        <v>428</v>
      </c>
      <c r="Q92" s="169" t="s">
        <v>1463</v>
      </c>
      <c r="R92" s="169">
        <v>2</v>
      </c>
      <c r="S92" s="169">
        <v>2</v>
      </c>
      <c r="T92" s="169" t="s">
        <v>1464</v>
      </c>
      <c r="U92" s="169">
        <v>1</v>
      </c>
      <c r="V92" s="169">
        <v>2780011</v>
      </c>
      <c r="W92" s="169">
        <v>0</v>
      </c>
      <c r="X92" s="169" t="s">
        <v>1406</v>
      </c>
      <c r="Z92" s="169" t="s">
        <v>32</v>
      </c>
      <c r="AA92" s="171">
        <v>46308</v>
      </c>
      <c r="AB92" s="169">
        <v>27</v>
      </c>
      <c r="AC92" s="169">
        <v>80011</v>
      </c>
      <c r="AD92" s="169">
        <v>57</v>
      </c>
      <c r="AE92" s="169" t="s">
        <v>1551</v>
      </c>
      <c r="AF92" s="169">
        <v>57</v>
      </c>
      <c r="AG92" s="169" t="s">
        <v>1552</v>
      </c>
      <c r="AH92" s="169" t="s">
        <v>36</v>
      </c>
      <c r="AI92" s="169">
        <v>58</v>
      </c>
      <c r="AJ92" s="169">
        <v>428</v>
      </c>
      <c r="AK92" s="169" t="s">
        <v>1407</v>
      </c>
      <c r="AL92" s="169">
        <v>38037</v>
      </c>
      <c r="AM92" s="169" t="s">
        <v>1418</v>
      </c>
      <c r="AN92" s="169" t="s">
        <v>4480</v>
      </c>
      <c r="AO92" s="169">
        <v>38</v>
      </c>
      <c r="AP92" s="169" t="s">
        <v>1596</v>
      </c>
      <c r="AQ92" s="169">
        <v>0</v>
      </c>
      <c r="AR92" s="169" t="s">
        <v>1410</v>
      </c>
      <c r="AT92" s="169" t="s">
        <v>1417</v>
      </c>
      <c r="AU92" s="169" t="s">
        <v>1412</v>
      </c>
    </row>
    <row r="93" spans="1:47" x14ac:dyDescent="0.45">
      <c r="A93" s="169">
        <v>2705750126</v>
      </c>
      <c r="B93" s="169">
        <v>57</v>
      </c>
      <c r="C93" s="169" t="s">
        <v>1551</v>
      </c>
      <c r="D93" s="169">
        <v>57</v>
      </c>
      <c r="E93" s="169" t="s">
        <v>1552</v>
      </c>
      <c r="F93" s="169" t="s">
        <v>4481</v>
      </c>
      <c r="G93" s="169" t="s">
        <v>4482</v>
      </c>
      <c r="H93" s="169">
        <v>1</v>
      </c>
      <c r="I93" s="169" t="s">
        <v>4483</v>
      </c>
      <c r="J93" s="169" t="s">
        <v>1403</v>
      </c>
      <c r="K93" s="169">
        <v>2027</v>
      </c>
      <c r="L93" s="169">
        <v>2027</v>
      </c>
      <c r="M93" s="171">
        <v>46298</v>
      </c>
      <c r="N93" s="169" t="s">
        <v>36</v>
      </c>
      <c r="O93" s="169" t="s">
        <v>135</v>
      </c>
      <c r="P93" s="169">
        <v>502</v>
      </c>
      <c r="Q93" s="169" t="s">
        <v>1500</v>
      </c>
      <c r="R93" s="169">
        <v>2</v>
      </c>
      <c r="S93" s="169">
        <v>5</v>
      </c>
      <c r="T93" s="169" t="s">
        <v>1470</v>
      </c>
      <c r="U93" s="169">
        <v>15</v>
      </c>
      <c r="V93" s="169">
        <v>0</v>
      </c>
      <c r="W93" s="169">
        <v>0</v>
      </c>
      <c r="X93" s="169" t="s">
        <v>1406</v>
      </c>
      <c r="Z93" s="169" t="s">
        <v>32</v>
      </c>
      <c r="AA93" s="169"/>
      <c r="AB93" s="169">
        <v>0</v>
      </c>
      <c r="AC93" s="169">
        <v>0</v>
      </c>
      <c r="AD93" s="169">
        <v>0</v>
      </c>
      <c r="AE93" s="169" t="s">
        <v>1446</v>
      </c>
      <c r="AG93" s="169" t="s">
        <v>1446</v>
      </c>
      <c r="AJ93" s="169">
        <v>0</v>
      </c>
      <c r="AK93" s="169" t="s">
        <v>1407</v>
      </c>
      <c r="AL93" s="169">
        <v>28127</v>
      </c>
      <c r="AM93" s="169" t="s">
        <v>1418</v>
      </c>
      <c r="AN93" s="169" t="s">
        <v>1539</v>
      </c>
      <c r="AO93" s="169">
        <v>28</v>
      </c>
      <c r="AP93" s="169" t="s">
        <v>1416</v>
      </c>
      <c r="AQ93" s="169">
        <v>0</v>
      </c>
      <c r="AR93" s="169" t="s">
        <v>1410</v>
      </c>
      <c r="AT93" s="169" t="s">
        <v>1417</v>
      </c>
      <c r="AU93" s="169" t="s">
        <v>1412</v>
      </c>
    </row>
    <row r="94" spans="1:47" x14ac:dyDescent="0.45">
      <c r="A94" s="169">
        <v>2705750127</v>
      </c>
      <c r="B94" s="169">
        <v>57</v>
      </c>
      <c r="C94" s="169" t="s">
        <v>1551</v>
      </c>
      <c r="D94" s="169">
        <v>57</v>
      </c>
      <c r="E94" s="169" t="s">
        <v>1552</v>
      </c>
      <c r="F94" s="169" t="s">
        <v>4484</v>
      </c>
      <c r="G94" s="169" t="s">
        <v>4485</v>
      </c>
      <c r="H94" s="169">
        <v>1</v>
      </c>
      <c r="I94" s="169" t="s">
        <v>341</v>
      </c>
      <c r="J94" s="169" t="s">
        <v>1403</v>
      </c>
      <c r="K94" s="169">
        <v>2027</v>
      </c>
      <c r="L94" s="169">
        <v>2027</v>
      </c>
      <c r="M94" s="171">
        <v>46270</v>
      </c>
      <c r="N94" s="169" t="s">
        <v>36</v>
      </c>
      <c r="O94" s="169">
        <v>6</v>
      </c>
      <c r="P94" s="169">
        <v>488</v>
      </c>
      <c r="Q94" s="169" t="s">
        <v>1553</v>
      </c>
      <c r="R94" s="169">
        <v>2</v>
      </c>
      <c r="S94" s="169">
        <v>1</v>
      </c>
      <c r="T94" s="169" t="s">
        <v>1527</v>
      </c>
      <c r="U94" s="169">
        <v>3</v>
      </c>
      <c r="V94" s="169">
        <v>0</v>
      </c>
      <c r="W94" s="169">
        <v>0</v>
      </c>
      <c r="X94" s="169" t="s">
        <v>1406</v>
      </c>
      <c r="Z94" s="169" t="s">
        <v>32</v>
      </c>
      <c r="AA94" s="169"/>
      <c r="AB94" s="169">
        <v>0</v>
      </c>
      <c r="AC94" s="169">
        <v>0</v>
      </c>
      <c r="AD94" s="169">
        <v>0</v>
      </c>
      <c r="AE94" s="169" t="s">
        <v>1446</v>
      </c>
      <c r="AG94" s="169" t="s">
        <v>1446</v>
      </c>
      <c r="AJ94" s="169">
        <v>0</v>
      </c>
      <c r="AK94" s="169" t="s">
        <v>1410</v>
      </c>
      <c r="AL94" s="169">
        <v>28030</v>
      </c>
      <c r="AM94" s="169" t="s">
        <v>1418</v>
      </c>
      <c r="AN94" s="169" t="s">
        <v>1566</v>
      </c>
      <c r="AO94" s="169">
        <v>28</v>
      </c>
      <c r="AP94" s="169" t="s">
        <v>1416</v>
      </c>
      <c r="AQ94" s="169">
        <v>0</v>
      </c>
      <c r="AR94" s="169" t="s">
        <v>1410</v>
      </c>
      <c r="AT94" s="169" t="s">
        <v>1417</v>
      </c>
      <c r="AU94" s="169" t="s">
        <v>1412</v>
      </c>
    </row>
    <row r="95" spans="1:47" x14ac:dyDescent="0.45">
      <c r="A95" s="169">
        <v>2705750130</v>
      </c>
      <c r="B95" s="169">
        <v>57</v>
      </c>
      <c r="C95" s="169" t="s">
        <v>1551</v>
      </c>
      <c r="D95" s="169">
        <v>57</v>
      </c>
      <c r="E95" s="169" t="s">
        <v>1552</v>
      </c>
      <c r="F95" s="169" t="s">
        <v>4486</v>
      </c>
      <c r="G95" s="169" t="s">
        <v>4487</v>
      </c>
      <c r="H95" s="169">
        <v>2</v>
      </c>
      <c r="I95" s="169" t="s">
        <v>4064</v>
      </c>
      <c r="J95" s="169" t="s">
        <v>1403</v>
      </c>
      <c r="K95" s="169">
        <v>0</v>
      </c>
      <c r="L95" s="169">
        <v>2027</v>
      </c>
      <c r="M95" s="171">
        <v>46290</v>
      </c>
      <c r="N95" s="169" t="s">
        <v>36</v>
      </c>
      <c r="O95" s="169" t="s">
        <v>94</v>
      </c>
      <c r="P95" s="169">
        <v>121</v>
      </c>
      <c r="Q95" s="169" t="s">
        <v>1502</v>
      </c>
      <c r="R95" s="169">
        <v>2</v>
      </c>
      <c r="S95" s="169">
        <v>8</v>
      </c>
      <c r="T95" s="169" t="s">
        <v>1503</v>
      </c>
      <c r="U95" s="169">
        <v>6</v>
      </c>
      <c r="V95" s="169">
        <v>2780027</v>
      </c>
      <c r="W95" s="169">
        <v>0</v>
      </c>
      <c r="X95" s="169" t="s">
        <v>1406</v>
      </c>
      <c r="Z95" s="169" t="s">
        <v>32</v>
      </c>
      <c r="AA95" s="171">
        <v>46314</v>
      </c>
      <c r="AB95" s="169">
        <v>27</v>
      </c>
      <c r="AC95" s="169">
        <v>80027</v>
      </c>
      <c r="AD95" s="169">
        <v>57</v>
      </c>
      <c r="AE95" s="169" t="s">
        <v>1551</v>
      </c>
      <c r="AF95" s="169">
        <v>57</v>
      </c>
      <c r="AG95" s="169" t="s">
        <v>1552</v>
      </c>
      <c r="AH95" s="169" t="s">
        <v>36</v>
      </c>
      <c r="AI95" s="169" t="s">
        <v>94</v>
      </c>
      <c r="AJ95" s="169">
        <v>121</v>
      </c>
      <c r="AK95" s="169" t="s">
        <v>1407</v>
      </c>
      <c r="AL95" s="169">
        <v>28026</v>
      </c>
      <c r="AM95" s="169" t="s">
        <v>1421</v>
      </c>
      <c r="AN95" s="169" t="s">
        <v>2831</v>
      </c>
      <c r="AO95" s="169">
        <v>28</v>
      </c>
      <c r="AP95" s="169" t="s">
        <v>1416</v>
      </c>
      <c r="AQ95" s="169">
        <v>0</v>
      </c>
      <c r="AR95" s="169" t="s">
        <v>1410</v>
      </c>
      <c r="AT95" s="169" t="s">
        <v>1411</v>
      </c>
      <c r="AU95" s="169" t="s">
        <v>1412</v>
      </c>
    </row>
    <row r="96" spans="1:47" x14ac:dyDescent="0.45">
      <c r="A96" s="169">
        <v>2705750132</v>
      </c>
      <c r="B96" s="169">
        <v>57</v>
      </c>
      <c r="C96" s="169" t="s">
        <v>1551</v>
      </c>
      <c r="D96" s="169">
        <v>57</v>
      </c>
      <c r="E96" s="169" t="s">
        <v>1552</v>
      </c>
      <c r="F96" s="169" t="s">
        <v>4488</v>
      </c>
      <c r="G96" s="169" t="s">
        <v>4489</v>
      </c>
      <c r="H96" s="169">
        <v>1</v>
      </c>
      <c r="I96" s="169" t="s">
        <v>4490</v>
      </c>
      <c r="J96" s="169" t="s">
        <v>1403</v>
      </c>
      <c r="K96" s="169">
        <v>2027</v>
      </c>
      <c r="L96" s="169">
        <v>2027</v>
      </c>
      <c r="M96" s="171">
        <v>46284</v>
      </c>
      <c r="N96" s="169" t="s">
        <v>36</v>
      </c>
      <c r="O96" s="169">
        <v>58</v>
      </c>
      <c r="P96" s="169">
        <v>428</v>
      </c>
      <c r="Q96" s="169" t="s">
        <v>1463</v>
      </c>
      <c r="R96" s="169">
        <v>2</v>
      </c>
      <c r="S96" s="169">
        <v>2</v>
      </c>
      <c r="T96" s="169" t="s">
        <v>1464</v>
      </c>
      <c r="U96" s="169">
        <v>1</v>
      </c>
      <c r="V96" s="169">
        <v>0</v>
      </c>
      <c r="W96" s="169">
        <v>0</v>
      </c>
      <c r="X96" s="169" t="s">
        <v>1406</v>
      </c>
      <c r="Z96" s="169" t="s">
        <v>32</v>
      </c>
      <c r="AA96" s="169"/>
      <c r="AB96" s="169">
        <v>0</v>
      </c>
      <c r="AC96" s="169">
        <v>0</v>
      </c>
      <c r="AD96" s="169">
        <v>0</v>
      </c>
      <c r="AE96" s="169" t="s">
        <v>1446</v>
      </c>
      <c r="AG96" s="169" t="s">
        <v>1446</v>
      </c>
      <c r="AJ96" s="169">
        <v>0</v>
      </c>
      <c r="AK96" s="169" t="s">
        <v>1473</v>
      </c>
      <c r="AL96" s="169">
        <v>30008</v>
      </c>
      <c r="AM96" s="169" t="s">
        <v>1418</v>
      </c>
      <c r="AN96" s="169" t="s">
        <v>4491</v>
      </c>
      <c r="AO96" s="169">
        <v>30</v>
      </c>
      <c r="AP96" s="169" t="s">
        <v>1420</v>
      </c>
      <c r="AQ96" s="169">
        <v>0</v>
      </c>
      <c r="AR96" s="169" t="s">
        <v>1410</v>
      </c>
      <c r="AT96" s="169" t="s">
        <v>1417</v>
      </c>
      <c r="AU96" s="169" t="s">
        <v>1412</v>
      </c>
    </row>
    <row r="97" spans="1:47" x14ac:dyDescent="0.45">
      <c r="A97" s="169">
        <v>2705750133</v>
      </c>
      <c r="B97" s="169">
        <v>57</v>
      </c>
      <c r="C97" s="169" t="s">
        <v>1551</v>
      </c>
      <c r="D97" s="169">
        <v>57</v>
      </c>
      <c r="E97" s="169" t="s">
        <v>1552</v>
      </c>
      <c r="F97" s="169" t="s">
        <v>4492</v>
      </c>
      <c r="G97" s="169" t="s">
        <v>4493</v>
      </c>
      <c r="H97" s="169">
        <v>1</v>
      </c>
      <c r="I97" s="169" t="s">
        <v>1876</v>
      </c>
      <c r="J97" s="169" t="s">
        <v>1403</v>
      </c>
      <c r="K97" s="169">
        <v>2027</v>
      </c>
      <c r="L97" s="169">
        <v>2027</v>
      </c>
      <c r="M97" s="171">
        <v>46322</v>
      </c>
      <c r="N97" s="169" t="s">
        <v>36</v>
      </c>
      <c r="O97" s="169">
        <v>58</v>
      </c>
      <c r="P97" s="169">
        <v>428</v>
      </c>
      <c r="Q97" s="169" t="s">
        <v>1463</v>
      </c>
      <c r="R97" s="169">
        <v>2</v>
      </c>
      <c r="S97" s="169">
        <v>2</v>
      </c>
      <c r="T97" s="169" t="s">
        <v>1464</v>
      </c>
      <c r="U97" s="169">
        <v>1</v>
      </c>
      <c r="V97" s="169">
        <v>0</v>
      </c>
      <c r="W97" s="169">
        <v>0</v>
      </c>
      <c r="X97" s="169" t="s">
        <v>1406</v>
      </c>
      <c r="Z97" s="169" t="s">
        <v>32</v>
      </c>
      <c r="AA97" s="169"/>
      <c r="AB97" s="169">
        <v>0</v>
      </c>
      <c r="AC97" s="169">
        <v>0</v>
      </c>
      <c r="AD97" s="169">
        <v>0</v>
      </c>
      <c r="AE97" s="169" t="s">
        <v>1446</v>
      </c>
      <c r="AG97" s="169" t="s">
        <v>1446</v>
      </c>
      <c r="AJ97" s="169">
        <v>0</v>
      </c>
      <c r="AK97" s="169" t="s">
        <v>1407</v>
      </c>
      <c r="AL97" s="169">
        <v>28051</v>
      </c>
      <c r="AM97" s="169" t="s">
        <v>1418</v>
      </c>
      <c r="AN97" s="169" t="s">
        <v>4494</v>
      </c>
      <c r="AO97" s="169">
        <v>28</v>
      </c>
      <c r="AP97" s="169" t="s">
        <v>1416</v>
      </c>
      <c r="AQ97" s="169">
        <v>0</v>
      </c>
      <c r="AT97" s="169" t="s">
        <v>1417</v>
      </c>
      <c r="AU97" s="169" t="s">
        <v>1412</v>
      </c>
    </row>
    <row r="98" spans="1:47" x14ac:dyDescent="0.45">
      <c r="A98" s="169">
        <v>2705750134</v>
      </c>
      <c r="B98" s="169">
        <v>57</v>
      </c>
      <c r="C98" s="169" t="s">
        <v>1551</v>
      </c>
      <c r="D98" s="169">
        <v>57</v>
      </c>
      <c r="E98" s="169" t="s">
        <v>1552</v>
      </c>
      <c r="F98" s="169" t="s">
        <v>4495</v>
      </c>
      <c r="G98" s="169" t="s">
        <v>4496</v>
      </c>
      <c r="H98" s="169">
        <v>1</v>
      </c>
      <c r="I98" s="169" t="s">
        <v>4497</v>
      </c>
      <c r="J98" s="169" t="s">
        <v>1403</v>
      </c>
      <c r="K98" s="169">
        <v>2027</v>
      </c>
      <c r="L98" s="169">
        <v>2027</v>
      </c>
      <c r="M98" s="171">
        <v>46294</v>
      </c>
      <c r="N98" s="169" t="s">
        <v>36</v>
      </c>
      <c r="O98" s="169" t="s">
        <v>135</v>
      </c>
      <c r="P98" s="169">
        <v>502</v>
      </c>
      <c r="Q98" s="169" t="s">
        <v>1500</v>
      </c>
      <c r="R98" s="169">
        <v>2</v>
      </c>
      <c r="S98" s="169">
        <v>5</v>
      </c>
      <c r="T98" s="169" t="s">
        <v>1470</v>
      </c>
      <c r="U98" s="169">
        <v>15</v>
      </c>
      <c r="V98" s="169">
        <v>0</v>
      </c>
      <c r="W98" s="169">
        <v>0</v>
      </c>
      <c r="X98" s="169" t="s">
        <v>1406</v>
      </c>
      <c r="Z98" s="169" t="s">
        <v>32</v>
      </c>
      <c r="AA98" s="169"/>
      <c r="AB98" s="169">
        <v>0</v>
      </c>
      <c r="AC98" s="169">
        <v>0</v>
      </c>
      <c r="AD98" s="169">
        <v>0</v>
      </c>
      <c r="AE98" s="169" t="s">
        <v>1446</v>
      </c>
      <c r="AG98" s="169" t="s">
        <v>1446</v>
      </c>
      <c r="AJ98" s="169">
        <v>0</v>
      </c>
      <c r="AK98" s="169" t="s">
        <v>1407</v>
      </c>
      <c r="AL98" s="169">
        <v>28231</v>
      </c>
      <c r="AM98" s="169" t="s">
        <v>1418</v>
      </c>
      <c r="AN98" s="169" t="s">
        <v>1517</v>
      </c>
      <c r="AO98" s="169">
        <v>28</v>
      </c>
      <c r="AP98" s="169" t="s">
        <v>1416</v>
      </c>
      <c r="AQ98" s="169">
        <v>0</v>
      </c>
      <c r="AR98" s="169" t="s">
        <v>1410</v>
      </c>
      <c r="AT98" s="169" t="s">
        <v>1417</v>
      </c>
      <c r="AU98" s="169" t="s">
        <v>1412</v>
      </c>
    </row>
    <row r="99" spans="1:47" x14ac:dyDescent="0.45">
      <c r="A99" s="169">
        <v>2705750136</v>
      </c>
      <c r="B99" s="169">
        <v>57</v>
      </c>
      <c r="C99" s="169" t="s">
        <v>1551</v>
      </c>
      <c r="D99" s="169">
        <v>57</v>
      </c>
      <c r="E99" s="169" t="s">
        <v>1552</v>
      </c>
      <c r="F99" s="169" t="s">
        <v>4498</v>
      </c>
      <c r="G99" s="169" t="s">
        <v>4499</v>
      </c>
      <c r="H99" s="169">
        <v>1</v>
      </c>
      <c r="I99" s="169" t="s">
        <v>4500</v>
      </c>
      <c r="J99" s="169" t="s">
        <v>1403</v>
      </c>
      <c r="K99" s="169">
        <v>2027</v>
      </c>
      <c r="L99" s="169">
        <v>2027</v>
      </c>
      <c r="M99" s="171">
        <v>46302</v>
      </c>
      <c r="N99" s="169" t="s">
        <v>36</v>
      </c>
      <c r="O99" s="169">
        <v>6</v>
      </c>
      <c r="P99" s="169">
        <v>488</v>
      </c>
      <c r="Q99" s="169" t="s">
        <v>1553</v>
      </c>
      <c r="R99" s="169">
        <v>2</v>
      </c>
      <c r="S99" s="169">
        <v>1</v>
      </c>
      <c r="T99" s="169" t="s">
        <v>1527</v>
      </c>
      <c r="U99" s="169">
        <v>3</v>
      </c>
      <c r="V99" s="169">
        <v>0</v>
      </c>
      <c r="W99" s="169">
        <v>0</v>
      </c>
      <c r="X99" s="169" t="s">
        <v>1406</v>
      </c>
      <c r="Z99" s="169" t="s">
        <v>32</v>
      </c>
      <c r="AA99" s="169"/>
      <c r="AB99" s="169">
        <v>0</v>
      </c>
      <c r="AC99" s="169">
        <v>0</v>
      </c>
      <c r="AD99" s="169">
        <v>0</v>
      </c>
      <c r="AE99" s="169" t="s">
        <v>1446</v>
      </c>
      <c r="AG99" s="169" t="s">
        <v>1446</v>
      </c>
      <c r="AJ99" s="169">
        <v>0</v>
      </c>
      <c r="AK99" s="169" t="s">
        <v>1407</v>
      </c>
      <c r="AL99" s="169">
        <v>27373</v>
      </c>
      <c r="AM99" s="169" t="s">
        <v>1421</v>
      </c>
      <c r="AN99" s="169" t="s">
        <v>4501</v>
      </c>
      <c r="AO99" s="169">
        <v>27</v>
      </c>
      <c r="AP99" s="169" t="s">
        <v>1581</v>
      </c>
      <c r="AQ99" s="169">
        <v>0</v>
      </c>
      <c r="AR99" s="169" t="s">
        <v>1410</v>
      </c>
      <c r="AT99" s="169" t="s">
        <v>1417</v>
      </c>
      <c r="AU99" s="169" t="s">
        <v>1412</v>
      </c>
    </row>
    <row r="100" spans="1:47" x14ac:dyDescent="0.45">
      <c r="A100" s="169">
        <v>2705750137</v>
      </c>
      <c r="B100" s="169">
        <v>57</v>
      </c>
      <c r="C100" s="169" t="s">
        <v>1551</v>
      </c>
      <c r="D100" s="169">
        <v>57</v>
      </c>
      <c r="E100" s="169" t="s">
        <v>1552</v>
      </c>
      <c r="F100" s="169" t="s">
        <v>4502</v>
      </c>
      <c r="G100" s="169" t="s">
        <v>4503</v>
      </c>
      <c r="H100" s="169">
        <v>1</v>
      </c>
      <c r="I100" s="169" t="s">
        <v>277</v>
      </c>
      <c r="J100" s="169" t="s">
        <v>1485</v>
      </c>
      <c r="K100" s="169">
        <v>2027</v>
      </c>
      <c r="L100" s="169">
        <v>2027</v>
      </c>
      <c r="M100" s="171">
        <v>46322</v>
      </c>
      <c r="N100" s="169" t="s">
        <v>36</v>
      </c>
      <c r="O100" s="169">
        <v>58</v>
      </c>
      <c r="P100" s="169">
        <v>427</v>
      </c>
      <c r="Q100" s="169" t="s">
        <v>1479</v>
      </c>
      <c r="R100" s="169">
        <v>2</v>
      </c>
      <c r="S100" s="169">
        <v>2</v>
      </c>
      <c r="T100" s="169" t="s">
        <v>1464</v>
      </c>
      <c r="U100" s="169">
        <v>1</v>
      </c>
      <c r="V100" s="169">
        <v>0</v>
      </c>
      <c r="W100" s="169">
        <v>0</v>
      </c>
      <c r="X100" s="169" t="s">
        <v>1406</v>
      </c>
      <c r="Z100" s="169" t="s">
        <v>32</v>
      </c>
      <c r="AA100" s="169"/>
      <c r="AB100" s="169">
        <v>0</v>
      </c>
      <c r="AC100" s="169">
        <v>0</v>
      </c>
      <c r="AD100" s="169">
        <v>0</v>
      </c>
      <c r="AE100" s="169" t="s">
        <v>1446</v>
      </c>
      <c r="AG100" s="169" t="s">
        <v>1446</v>
      </c>
      <c r="AJ100" s="169">
        <v>0</v>
      </c>
      <c r="AK100" s="169" t="s">
        <v>1410</v>
      </c>
      <c r="AL100" s="169">
        <v>31002</v>
      </c>
      <c r="AM100" s="169" t="s">
        <v>1418</v>
      </c>
      <c r="AN100" s="169" t="s">
        <v>4504</v>
      </c>
      <c r="AO100" s="169">
        <v>31</v>
      </c>
      <c r="AP100" s="169" t="s">
        <v>1487</v>
      </c>
      <c r="AQ100" s="169">
        <v>0</v>
      </c>
      <c r="AT100" s="169" t="s">
        <v>1417</v>
      </c>
      <c r="AU100" s="169" t="s">
        <v>1412</v>
      </c>
    </row>
    <row r="101" spans="1:47" x14ac:dyDescent="0.45">
      <c r="A101" s="169">
        <v>2705750138</v>
      </c>
      <c r="B101" s="169">
        <v>57</v>
      </c>
      <c r="C101" s="169" t="s">
        <v>1551</v>
      </c>
      <c r="D101" s="169">
        <v>57</v>
      </c>
      <c r="E101" s="169" t="s">
        <v>1552</v>
      </c>
      <c r="F101" s="169" t="s">
        <v>4505</v>
      </c>
      <c r="G101" s="169" t="s">
        <v>4506</v>
      </c>
      <c r="H101" s="169">
        <v>1</v>
      </c>
      <c r="I101" s="169" t="s">
        <v>4507</v>
      </c>
      <c r="J101" s="169" t="s">
        <v>1403</v>
      </c>
      <c r="K101" s="169">
        <v>2027</v>
      </c>
      <c r="L101" s="169">
        <v>2027</v>
      </c>
      <c r="M101" s="171">
        <v>46276</v>
      </c>
      <c r="N101" s="169" t="s">
        <v>36</v>
      </c>
      <c r="O101" s="169">
        <v>58</v>
      </c>
      <c r="P101" s="169">
        <v>428</v>
      </c>
      <c r="Q101" s="169" t="s">
        <v>1463</v>
      </c>
      <c r="R101" s="169">
        <v>2</v>
      </c>
      <c r="S101" s="169">
        <v>2</v>
      </c>
      <c r="T101" s="169" t="s">
        <v>1464</v>
      </c>
      <c r="U101" s="169">
        <v>1</v>
      </c>
      <c r="V101" s="169">
        <v>0</v>
      </c>
      <c r="W101" s="169">
        <v>0</v>
      </c>
      <c r="X101" s="169" t="s">
        <v>1406</v>
      </c>
      <c r="Z101" s="169" t="s">
        <v>32</v>
      </c>
      <c r="AA101" s="169"/>
      <c r="AB101" s="169">
        <v>0</v>
      </c>
      <c r="AC101" s="169">
        <v>0</v>
      </c>
      <c r="AD101" s="169">
        <v>0</v>
      </c>
      <c r="AE101" s="169" t="s">
        <v>1446</v>
      </c>
      <c r="AG101" s="169" t="s">
        <v>1446</v>
      </c>
      <c r="AJ101" s="169">
        <v>0</v>
      </c>
      <c r="AK101" s="169" t="s">
        <v>1410</v>
      </c>
      <c r="AL101" s="169">
        <v>28032</v>
      </c>
      <c r="AM101" s="169" t="s">
        <v>1421</v>
      </c>
      <c r="AN101" s="169" t="s">
        <v>1545</v>
      </c>
      <c r="AO101" s="169">
        <v>28</v>
      </c>
      <c r="AP101" s="169" t="s">
        <v>1416</v>
      </c>
      <c r="AQ101" s="169">
        <v>0</v>
      </c>
      <c r="AR101" s="169" t="s">
        <v>1410</v>
      </c>
      <c r="AT101" s="169" t="s">
        <v>1417</v>
      </c>
      <c r="AU101" s="169" t="s">
        <v>1412</v>
      </c>
    </row>
    <row r="102" spans="1:47" x14ac:dyDescent="0.45">
      <c r="A102" s="169">
        <v>2705750141</v>
      </c>
      <c r="B102" s="169">
        <v>57</v>
      </c>
      <c r="C102" s="169" t="s">
        <v>1551</v>
      </c>
      <c r="D102" s="169">
        <v>57</v>
      </c>
      <c r="E102" s="169" t="s">
        <v>1552</v>
      </c>
      <c r="F102" s="169" t="s">
        <v>4508</v>
      </c>
      <c r="G102" s="169" t="s">
        <v>4509</v>
      </c>
      <c r="H102" s="169">
        <v>1</v>
      </c>
      <c r="I102" s="169" t="s">
        <v>889</v>
      </c>
      <c r="J102" s="169" t="s">
        <v>1403</v>
      </c>
      <c r="K102" s="169">
        <v>2027</v>
      </c>
      <c r="L102" s="169">
        <v>2027</v>
      </c>
      <c r="M102" s="171">
        <v>46295</v>
      </c>
      <c r="N102" s="169" t="s">
        <v>36</v>
      </c>
      <c r="O102" s="169" t="s">
        <v>135</v>
      </c>
      <c r="P102" s="169">
        <v>502</v>
      </c>
      <c r="Q102" s="169" t="s">
        <v>1500</v>
      </c>
      <c r="R102" s="169">
        <v>2</v>
      </c>
      <c r="S102" s="169">
        <v>5</v>
      </c>
      <c r="T102" s="169" t="s">
        <v>1470</v>
      </c>
      <c r="U102" s="169">
        <v>15</v>
      </c>
      <c r="V102" s="169">
        <v>2780032</v>
      </c>
      <c r="W102" s="169">
        <v>0</v>
      </c>
      <c r="X102" s="169" t="s">
        <v>1406</v>
      </c>
      <c r="Z102" s="169" t="s">
        <v>32</v>
      </c>
      <c r="AA102" s="171">
        <v>46316</v>
      </c>
      <c r="AB102" s="169">
        <v>27</v>
      </c>
      <c r="AC102" s="169">
        <v>80032</v>
      </c>
      <c r="AD102" s="169">
        <v>57</v>
      </c>
      <c r="AE102" s="169" t="s">
        <v>1551</v>
      </c>
      <c r="AF102" s="169">
        <v>57</v>
      </c>
      <c r="AG102" s="169" t="s">
        <v>1552</v>
      </c>
      <c r="AH102" s="169" t="s">
        <v>36</v>
      </c>
      <c r="AI102" s="169" t="s">
        <v>135</v>
      </c>
      <c r="AJ102" s="169">
        <v>502</v>
      </c>
      <c r="AK102" s="169" t="s">
        <v>1407</v>
      </c>
      <c r="AL102" s="169">
        <v>31006</v>
      </c>
      <c r="AM102" s="169" t="s">
        <v>1421</v>
      </c>
      <c r="AN102" s="169" t="s">
        <v>1486</v>
      </c>
      <c r="AO102" s="169">
        <v>31</v>
      </c>
      <c r="AP102" s="169" t="s">
        <v>1487</v>
      </c>
      <c r="AQ102" s="169">
        <v>0</v>
      </c>
      <c r="AR102" s="169" t="s">
        <v>1410</v>
      </c>
      <c r="AT102" s="169" t="s">
        <v>1417</v>
      </c>
      <c r="AU102" s="169" t="s">
        <v>1412</v>
      </c>
    </row>
    <row r="103" spans="1:47" x14ac:dyDescent="0.45">
      <c r="A103" s="169">
        <v>2705750142</v>
      </c>
      <c r="B103" s="169">
        <v>57</v>
      </c>
      <c r="C103" s="169" t="s">
        <v>1551</v>
      </c>
      <c r="D103" s="169">
        <v>57</v>
      </c>
      <c r="E103" s="169" t="s">
        <v>1552</v>
      </c>
      <c r="F103" s="169" t="s">
        <v>4510</v>
      </c>
      <c r="G103" s="169" t="s">
        <v>4511</v>
      </c>
      <c r="H103" s="169">
        <v>1</v>
      </c>
      <c r="I103" s="169" t="s">
        <v>157</v>
      </c>
      <c r="J103" s="169" t="s">
        <v>1403</v>
      </c>
      <c r="K103" s="169">
        <v>2027</v>
      </c>
      <c r="L103" s="169">
        <v>2027</v>
      </c>
      <c r="M103" s="171">
        <v>46271</v>
      </c>
      <c r="N103" s="169" t="s">
        <v>36</v>
      </c>
      <c r="O103" s="169">
        <v>58</v>
      </c>
      <c r="P103" s="169">
        <v>428</v>
      </c>
      <c r="Q103" s="169" t="s">
        <v>1463</v>
      </c>
      <c r="R103" s="169">
        <v>2</v>
      </c>
      <c r="S103" s="169">
        <v>2</v>
      </c>
      <c r="T103" s="169" t="s">
        <v>1464</v>
      </c>
      <c r="U103" s="169">
        <v>1</v>
      </c>
      <c r="V103" s="169">
        <v>0</v>
      </c>
      <c r="W103" s="169">
        <v>0</v>
      </c>
      <c r="X103" s="169" t="s">
        <v>1406</v>
      </c>
      <c r="Z103" s="169" t="s">
        <v>32</v>
      </c>
      <c r="AA103" s="169"/>
      <c r="AB103" s="169">
        <v>0</v>
      </c>
      <c r="AC103" s="169">
        <v>0</v>
      </c>
      <c r="AD103" s="169">
        <v>0</v>
      </c>
      <c r="AE103" s="169" t="s">
        <v>1446</v>
      </c>
      <c r="AG103" s="169" t="s">
        <v>1446</v>
      </c>
      <c r="AJ103" s="169">
        <v>0</v>
      </c>
      <c r="AK103" s="169" t="s">
        <v>1473</v>
      </c>
      <c r="AL103" s="169">
        <v>28245</v>
      </c>
      <c r="AM103" s="169" t="s">
        <v>1418</v>
      </c>
      <c r="AN103" s="169" t="s">
        <v>2806</v>
      </c>
      <c r="AO103" s="169">
        <v>28</v>
      </c>
      <c r="AP103" s="169" t="s">
        <v>1416</v>
      </c>
      <c r="AQ103" s="169">
        <v>0</v>
      </c>
      <c r="AR103" s="169" t="s">
        <v>1410</v>
      </c>
      <c r="AT103" s="169" t="s">
        <v>1417</v>
      </c>
      <c r="AU103" s="169" t="s">
        <v>1412</v>
      </c>
    </row>
    <row r="104" spans="1:47" x14ac:dyDescent="0.45">
      <c r="A104" s="169">
        <v>2705750143</v>
      </c>
      <c r="B104" s="169">
        <v>57</v>
      </c>
      <c r="C104" s="169" t="s">
        <v>1551</v>
      </c>
      <c r="D104" s="169">
        <v>57</v>
      </c>
      <c r="E104" s="169" t="s">
        <v>1552</v>
      </c>
      <c r="F104" s="169" t="s">
        <v>4512</v>
      </c>
      <c r="G104" s="169" t="s">
        <v>4513</v>
      </c>
      <c r="H104" s="169">
        <v>2</v>
      </c>
      <c r="I104" s="169" t="s">
        <v>4514</v>
      </c>
      <c r="J104" s="169" t="s">
        <v>1403</v>
      </c>
      <c r="K104" s="169">
        <v>2027</v>
      </c>
      <c r="L104" s="169">
        <v>2027</v>
      </c>
      <c r="M104" s="171">
        <v>46319</v>
      </c>
      <c r="N104" s="169" t="s">
        <v>36</v>
      </c>
      <c r="O104" s="169">
        <v>58</v>
      </c>
      <c r="P104" s="169">
        <v>260</v>
      </c>
      <c r="Q104" s="169" t="s">
        <v>1519</v>
      </c>
      <c r="R104" s="169">
        <v>2</v>
      </c>
      <c r="S104" s="169">
        <v>2</v>
      </c>
      <c r="T104" s="169" t="s">
        <v>1464</v>
      </c>
      <c r="U104" s="169">
        <v>1</v>
      </c>
      <c r="V104" s="169">
        <v>0</v>
      </c>
      <c r="W104" s="169">
        <v>0</v>
      </c>
      <c r="X104" s="169" t="s">
        <v>1406</v>
      </c>
      <c r="Z104" s="169" t="s">
        <v>32</v>
      </c>
      <c r="AA104" s="169"/>
      <c r="AB104" s="169">
        <v>0</v>
      </c>
      <c r="AC104" s="169">
        <v>0</v>
      </c>
      <c r="AD104" s="169">
        <v>0</v>
      </c>
      <c r="AE104" s="169" t="s">
        <v>1446</v>
      </c>
      <c r="AG104" s="169" t="s">
        <v>1446</v>
      </c>
      <c r="AJ104" s="169">
        <v>0</v>
      </c>
      <c r="AK104" s="169" t="s">
        <v>1407</v>
      </c>
      <c r="AL104" s="169">
        <v>28091</v>
      </c>
      <c r="AM104" s="169" t="s">
        <v>1421</v>
      </c>
      <c r="AN104" s="169" t="s">
        <v>1452</v>
      </c>
      <c r="AO104" s="169">
        <v>28</v>
      </c>
      <c r="AP104" s="169" t="s">
        <v>1416</v>
      </c>
      <c r="AQ104" s="169">
        <v>0</v>
      </c>
      <c r="AT104" s="169" t="s">
        <v>1417</v>
      </c>
      <c r="AU104" s="169" t="s">
        <v>1412</v>
      </c>
    </row>
    <row r="105" spans="1:47" x14ac:dyDescent="0.45">
      <c r="A105" s="169">
        <v>2705750144</v>
      </c>
      <c r="B105" s="169">
        <v>57</v>
      </c>
      <c r="C105" s="169" t="s">
        <v>1551</v>
      </c>
      <c r="D105" s="169">
        <v>57</v>
      </c>
      <c r="E105" s="169" t="s">
        <v>1552</v>
      </c>
      <c r="F105" s="169" t="s">
        <v>4515</v>
      </c>
      <c r="G105" s="169" t="s">
        <v>4516</v>
      </c>
      <c r="H105" s="169">
        <v>1</v>
      </c>
      <c r="I105" s="169" t="s">
        <v>1591</v>
      </c>
      <c r="J105" s="169" t="s">
        <v>1403</v>
      </c>
      <c r="K105" s="169">
        <v>2027</v>
      </c>
      <c r="L105" s="169">
        <v>2027</v>
      </c>
      <c r="M105" s="171">
        <v>46295</v>
      </c>
      <c r="N105" s="169" t="s">
        <v>36</v>
      </c>
      <c r="O105" s="169">
        <v>6</v>
      </c>
      <c r="P105" s="169">
        <v>488</v>
      </c>
      <c r="Q105" s="169" t="s">
        <v>1553</v>
      </c>
      <c r="R105" s="169">
        <v>2</v>
      </c>
      <c r="S105" s="169">
        <v>1</v>
      </c>
      <c r="T105" s="169" t="s">
        <v>1527</v>
      </c>
      <c r="U105" s="169">
        <v>3</v>
      </c>
      <c r="V105" s="169">
        <v>0</v>
      </c>
      <c r="W105" s="169">
        <v>0</v>
      </c>
      <c r="X105" s="169" t="s">
        <v>1406</v>
      </c>
      <c r="Z105" s="169" t="s">
        <v>32</v>
      </c>
      <c r="AA105" s="169"/>
      <c r="AB105" s="169">
        <v>0</v>
      </c>
      <c r="AC105" s="169">
        <v>0</v>
      </c>
      <c r="AD105" s="169">
        <v>0</v>
      </c>
      <c r="AE105" s="169" t="s">
        <v>1446</v>
      </c>
      <c r="AG105" s="169" t="s">
        <v>1446</v>
      </c>
      <c r="AJ105" s="169">
        <v>0</v>
      </c>
      <c r="AK105" s="169" t="s">
        <v>1407</v>
      </c>
      <c r="AL105" s="169">
        <v>28032</v>
      </c>
      <c r="AM105" s="169" t="s">
        <v>1421</v>
      </c>
      <c r="AN105" s="169" t="s">
        <v>1545</v>
      </c>
      <c r="AO105" s="169">
        <v>28</v>
      </c>
      <c r="AP105" s="169" t="s">
        <v>1416</v>
      </c>
      <c r="AQ105" s="169">
        <v>0</v>
      </c>
      <c r="AR105" s="169" t="s">
        <v>1410</v>
      </c>
      <c r="AT105" s="169" t="s">
        <v>1417</v>
      </c>
      <c r="AU105" s="169" t="s">
        <v>1412</v>
      </c>
    </row>
    <row r="106" spans="1:47" x14ac:dyDescent="0.45">
      <c r="A106" s="169">
        <v>2705750146</v>
      </c>
      <c r="B106" s="169">
        <v>57</v>
      </c>
      <c r="C106" s="169" t="s">
        <v>1551</v>
      </c>
      <c r="D106" s="169">
        <v>57</v>
      </c>
      <c r="E106" s="169" t="s">
        <v>1552</v>
      </c>
      <c r="F106" s="169" t="s">
        <v>4517</v>
      </c>
      <c r="G106" s="169" t="s">
        <v>4518</v>
      </c>
      <c r="H106" s="169">
        <v>1</v>
      </c>
      <c r="I106" s="169" t="s">
        <v>341</v>
      </c>
      <c r="J106" s="169" t="s">
        <v>1403</v>
      </c>
      <c r="K106" s="169">
        <v>2027</v>
      </c>
      <c r="L106" s="169">
        <v>2027</v>
      </c>
      <c r="M106" s="171">
        <v>46297</v>
      </c>
      <c r="N106" s="169" t="s">
        <v>36</v>
      </c>
      <c r="O106" s="169">
        <v>58</v>
      </c>
      <c r="P106" s="169">
        <v>427</v>
      </c>
      <c r="Q106" s="169" t="s">
        <v>1479</v>
      </c>
      <c r="R106" s="169">
        <v>2</v>
      </c>
      <c r="S106" s="169">
        <v>2</v>
      </c>
      <c r="T106" s="169" t="s">
        <v>1464</v>
      </c>
      <c r="U106" s="169">
        <v>1</v>
      </c>
      <c r="V106" s="169">
        <v>0</v>
      </c>
      <c r="W106" s="169">
        <v>0</v>
      </c>
      <c r="X106" s="169" t="s">
        <v>1406</v>
      </c>
      <c r="Z106" s="169" t="s">
        <v>32</v>
      </c>
      <c r="AA106" s="169"/>
      <c r="AB106" s="169">
        <v>0</v>
      </c>
      <c r="AC106" s="169">
        <v>0</v>
      </c>
      <c r="AD106" s="169">
        <v>0</v>
      </c>
      <c r="AE106" s="169" t="s">
        <v>1446</v>
      </c>
      <c r="AG106" s="169" t="s">
        <v>1446</v>
      </c>
      <c r="AJ106" s="169">
        <v>0</v>
      </c>
      <c r="AK106" s="169" t="s">
        <v>1473</v>
      </c>
      <c r="AL106" s="169">
        <v>28192</v>
      </c>
      <c r="AM106" s="169" t="s">
        <v>1418</v>
      </c>
      <c r="AN106" s="169" t="s">
        <v>2812</v>
      </c>
      <c r="AO106" s="169">
        <v>28</v>
      </c>
      <c r="AP106" s="169" t="s">
        <v>1416</v>
      </c>
      <c r="AQ106" s="169">
        <v>0</v>
      </c>
      <c r="AR106" s="169" t="s">
        <v>1410</v>
      </c>
      <c r="AT106" s="169" t="s">
        <v>1417</v>
      </c>
      <c r="AU106" s="169" t="s">
        <v>1412</v>
      </c>
    </row>
    <row r="107" spans="1:47" x14ac:dyDescent="0.45">
      <c r="A107" s="169">
        <v>2705750147</v>
      </c>
      <c r="B107" s="169">
        <v>57</v>
      </c>
      <c r="C107" s="169" t="s">
        <v>1551</v>
      </c>
      <c r="D107" s="169">
        <v>57</v>
      </c>
      <c r="E107" s="169" t="s">
        <v>1552</v>
      </c>
      <c r="F107" s="169" t="s">
        <v>4519</v>
      </c>
      <c r="G107" s="169" t="s">
        <v>4520</v>
      </c>
      <c r="H107" s="169">
        <v>2</v>
      </c>
      <c r="I107" s="169" t="s">
        <v>1792</v>
      </c>
      <c r="J107" s="169" t="s">
        <v>1403</v>
      </c>
      <c r="K107" s="169">
        <v>2027</v>
      </c>
      <c r="L107" s="169">
        <v>2027</v>
      </c>
      <c r="M107" s="171">
        <v>46290</v>
      </c>
      <c r="N107" s="169" t="s">
        <v>36</v>
      </c>
      <c r="O107" s="169">
        <v>58</v>
      </c>
      <c r="P107" s="169">
        <v>290</v>
      </c>
      <c r="Q107" s="169" t="s">
        <v>1496</v>
      </c>
      <c r="R107" s="169">
        <v>2</v>
      </c>
      <c r="S107" s="169">
        <v>2</v>
      </c>
      <c r="T107" s="169" t="s">
        <v>1464</v>
      </c>
      <c r="U107" s="169">
        <v>1</v>
      </c>
      <c r="V107" s="169">
        <v>0</v>
      </c>
      <c r="W107" s="169">
        <v>0</v>
      </c>
      <c r="X107" s="169" t="s">
        <v>1406</v>
      </c>
      <c r="Z107" s="169" t="s">
        <v>32</v>
      </c>
      <c r="AA107" s="169"/>
      <c r="AB107" s="169">
        <v>0</v>
      </c>
      <c r="AC107" s="169">
        <v>0</v>
      </c>
      <c r="AD107" s="169">
        <v>0</v>
      </c>
      <c r="AE107" s="169" t="s">
        <v>1446</v>
      </c>
      <c r="AG107" s="169" t="s">
        <v>1446</v>
      </c>
      <c r="AJ107" s="169">
        <v>0</v>
      </c>
      <c r="AK107" s="169" t="s">
        <v>1410</v>
      </c>
      <c r="AL107" s="169">
        <v>28003</v>
      </c>
      <c r="AM107" s="169" t="s">
        <v>1418</v>
      </c>
      <c r="AN107" s="169" t="s">
        <v>4521</v>
      </c>
      <c r="AO107" s="169">
        <v>28</v>
      </c>
      <c r="AP107" s="169" t="s">
        <v>1416</v>
      </c>
      <c r="AQ107" s="169">
        <v>0</v>
      </c>
      <c r="AR107" s="169" t="s">
        <v>1410</v>
      </c>
      <c r="AT107" s="169" t="s">
        <v>1417</v>
      </c>
      <c r="AU107" s="169" t="s">
        <v>1412</v>
      </c>
    </row>
    <row r="108" spans="1:47" x14ac:dyDescent="0.45">
      <c r="A108" s="169">
        <v>2705750148</v>
      </c>
      <c r="B108" s="169">
        <v>57</v>
      </c>
      <c r="C108" s="169" t="s">
        <v>1551</v>
      </c>
      <c r="D108" s="169">
        <v>57</v>
      </c>
      <c r="E108" s="169" t="s">
        <v>1552</v>
      </c>
      <c r="F108" s="169" t="s">
        <v>4522</v>
      </c>
      <c r="G108" s="169" t="s">
        <v>4523</v>
      </c>
      <c r="H108" s="169">
        <v>1</v>
      </c>
      <c r="I108" s="169" t="s">
        <v>3581</v>
      </c>
      <c r="J108" s="169" t="s">
        <v>1403</v>
      </c>
      <c r="K108" s="169">
        <v>2027</v>
      </c>
      <c r="L108" s="169">
        <v>2027</v>
      </c>
      <c r="M108" s="171">
        <v>46307</v>
      </c>
      <c r="N108" s="169" t="s">
        <v>36</v>
      </c>
      <c r="O108" s="169">
        <v>58</v>
      </c>
      <c r="P108" s="169">
        <v>428</v>
      </c>
      <c r="Q108" s="169" t="s">
        <v>1463</v>
      </c>
      <c r="R108" s="169">
        <v>2</v>
      </c>
      <c r="S108" s="169">
        <v>2</v>
      </c>
      <c r="T108" s="169" t="s">
        <v>1464</v>
      </c>
      <c r="U108" s="169">
        <v>1</v>
      </c>
      <c r="V108" s="169">
        <v>0</v>
      </c>
      <c r="W108" s="169">
        <v>0</v>
      </c>
      <c r="X108" s="169" t="s">
        <v>1406</v>
      </c>
      <c r="Z108" s="169" t="s">
        <v>32</v>
      </c>
      <c r="AA108" s="169"/>
      <c r="AB108" s="169">
        <v>0</v>
      </c>
      <c r="AC108" s="169">
        <v>0</v>
      </c>
      <c r="AD108" s="169">
        <v>0</v>
      </c>
      <c r="AE108" s="169" t="s">
        <v>1446</v>
      </c>
      <c r="AG108" s="169" t="s">
        <v>1446</v>
      </c>
      <c r="AJ108" s="169">
        <v>0</v>
      </c>
      <c r="AK108" s="169" t="s">
        <v>1410</v>
      </c>
      <c r="AL108" s="169">
        <v>28203</v>
      </c>
      <c r="AM108" s="169" t="s">
        <v>1418</v>
      </c>
      <c r="AN108" s="169" t="s">
        <v>1619</v>
      </c>
      <c r="AO108" s="169">
        <v>28</v>
      </c>
      <c r="AP108" s="169" t="s">
        <v>1416</v>
      </c>
      <c r="AQ108" s="169">
        <v>0</v>
      </c>
      <c r="AR108" s="169" t="s">
        <v>1410</v>
      </c>
      <c r="AT108" s="169" t="s">
        <v>1417</v>
      </c>
      <c r="AU108" s="169" t="s">
        <v>1412</v>
      </c>
    </row>
    <row r="109" spans="1:47" x14ac:dyDescent="0.45">
      <c r="A109" s="169">
        <v>2705750150</v>
      </c>
      <c r="B109" s="169">
        <v>57</v>
      </c>
      <c r="C109" s="169" t="s">
        <v>1551</v>
      </c>
      <c r="D109" s="169">
        <v>57</v>
      </c>
      <c r="E109" s="169" t="s">
        <v>1552</v>
      </c>
      <c r="F109" s="169" t="s">
        <v>4524</v>
      </c>
      <c r="G109" s="169" t="s">
        <v>4525</v>
      </c>
      <c r="H109" s="169">
        <v>1</v>
      </c>
      <c r="I109" s="169" t="s">
        <v>4526</v>
      </c>
      <c r="J109" s="169" t="s">
        <v>1403</v>
      </c>
      <c r="K109" s="169">
        <v>2027</v>
      </c>
      <c r="L109" s="169">
        <v>2027</v>
      </c>
      <c r="M109" s="171">
        <v>46272</v>
      </c>
      <c r="N109" s="169" t="s">
        <v>36</v>
      </c>
      <c r="O109" s="169">
        <v>58</v>
      </c>
      <c r="P109" s="169">
        <v>428</v>
      </c>
      <c r="Q109" s="169" t="s">
        <v>1463</v>
      </c>
      <c r="R109" s="169">
        <v>2</v>
      </c>
      <c r="S109" s="169">
        <v>2</v>
      </c>
      <c r="T109" s="169" t="s">
        <v>1464</v>
      </c>
      <c r="U109" s="169">
        <v>1</v>
      </c>
      <c r="V109" s="169">
        <v>0</v>
      </c>
      <c r="W109" s="169">
        <v>0</v>
      </c>
      <c r="X109" s="169" t="s">
        <v>1406</v>
      </c>
      <c r="Z109" s="169" t="s">
        <v>32</v>
      </c>
      <c r="AA109" s="169"/>
      <c r="AB109" s="169">
        <v>0</v>
      </c>
      <c r="AC109" s="169">
        <v>0</v>
      </c>
      <c r="AD109" s="169">
        <v>0</v>
      </c>
      <c r="AE109" s="169" t="s">
        <v>1446</v>
      </c>
      <c r="AG109" s="169" t="s">
        <v>1446</v>
      </c>
      <c r="AJ109" s="169">
        <v>0</v>
      </c>
      <c r="AK109" s="169" t="s">
        <v>1407</v>
      </c>
      <c r="AL109" s="169">
        <v>22033</v>
      </c>
      <c r="AM109" s="169" t="s">
        <v>1421</v>
      </c>
      <c r="AN109" s="169" t="s">
        <v>4527</v>
      </c>
      <c r="AO109" s="169">
        <v>22</v>
      </c>
      <c r="AP109" s="169" t="s">
        <v>3702</v>
      </c>
      <c r="AQ109" s="169">
        <v>0</v>
      </c>
      <c r="AR109" s="169" t="s">
        <v>1410</v>
      </c>
      <c r="AT109" s="169" t="s">
        <v>1417</v>
      </c>
      <c r="AU109" s="169" t="s">
        <v>1412</v>
      </c>
    </row>
    <row r="110" spans="1:47" x14ac:dyDescent="0.45">
      <c r="A110" s="169">
        <v>2705750156</v>
      </c>
      <c r="B110" s="169">
        <v>57</v>
      </c>
      <c r="C110" s="169" t="s">
        <v>1551</v>
      </c>
      <c r="D110" s="169">
        <v>57</v>
      </c>
      <c r="E110" s="169" t="s">
        <v>1552</v>
      </c>
      <c r="F110" s="169" t="s">
        <v>4528</v>
      </c>
      <c r="G110" s="169" t="s">
        <v>4529</v>
      </c>
      <c r="H110" s="169">
        <v>1</v>
      </c>
      <c r="I110" s="169" t="s">
        <v>4530</v>
      </c>
      <c r="J110" s="169" t="s">
        <v>1403</v>
      </c>
      <c r="K110" s="169">
        <v>2027</v>
      </c>
      <c r="L110" s="169">
        <v>2027</v>
      </c>
      <c r="M110" s="171">
        <v>46300</v>
      </c>
      <c r="N110" s="169" t="s">
        <v>36</v>
      </c>
      <c r="O110" s="169">
        <v>57</v>
      </c>
      <c r="P110" s="169">
        <v>1775</v>
      </c>
      <c r="Q110" s="169" t="s">
        <v>3620</v>
      </c>
      <c r="R110" s="169">
        <v>2</v>
      </c>
      <c r="S110" s="169">
        <v>3</v>
      </c>
      <c r="T110" s="169" t="s">
        <v>1477</v>
      </c>
      <c r="U110" s="169">
        <v>4</v>
      </c>
      <c r="V110" s="169">
        <v>0</v>
      </c>
      <c r="W110" s="169">
        <v>0</v>
      </c>
      <c r="X110" s="169" t="s">
        <v>1406</v>
      </c>
      <c r="Z110" s="169" t="s">
        <v>32</v>
      </c>
      <c r="AA110" s="169"/>
      <c r="AB110" s="169">
        <v>0</v>
      </c>
      <c r="AC110" s="169">
        <v>0</v>
      </c>
      <c r="AD110" s="169">
        <v>0</v>
      </c>
      <c r="AE110" s="169" t="s">
        <v>1446</v>
      </c>
      <c r="AG110" s="169" t="s">
        <v>1446</v>
      </c>
      <c r="AJ110" s="169">
        <v>0</v>
      </c>
      <c r="AK110" s="169" t="s">
        <v>1410</v>
      </c>
      <c r="AL110" s="169">
        <v>28051</v>
      </c>
      <c r="AM110" s="169" t="s">
        <v>1418</v>
      </c>
      <c r="AN110" s="169" t="s">
        <v>4494</v>
      </c>
      <c r="AO110" s="169">
        <v>28</v>
      </c>
      <c r="AP110" s="169" t="s">
        <v>1416</v>
      </c>
      <c r="AQ110" s="169">
        <v>0</v>
      </c>
      <c r="AR110" s="169" t="s">
        <v>1410</v>
      </c>
      <c r="AT110" s="169" t="s">
        <v>1417</v>
      </c>
      <c r="AU110" s="169" t="s">
        <v>1412</v>
      </c>
    </row>
    <row r="111" spans="1:47" x14ac:dyDescent="0.45">
      <c r="A111" s="169">
        <v>2705750159</v>
      </c>
      <c r="B111" s="169">
        <v>57</v>
      </c>
      <c r="C111" s="169" t="s">
        <v>1551</v>
      </c>
      <c r="D111" s="169">
        <v>57</v>
      </c>
      <c r="E111" s="169" t="s">
        <v>1552</v>
      </c>
      <c r="F111" s="169" t="s">
        <v>4531</v>
      </c>
      <c r="G111" s="169" t="s">
        <v>4532</v>
      </c>
      <c r="H111" s="169">
        <v>1</v>
      </c>
      <c r="I111" s="169" t="s">
        <v>4533</v>
      </c>
      <c r="J111" s="169" t="s">
        <v>1461</v>
      </c>
      <c r="K111" s="169">
        <v>2027</v>
      </c>
      <c r="L111" s="169">
        <v>2027</v>
      </c>
      <c r="M111" s="171">
        <v>46297</v>
      </c>
      <c r="N111" s="169" t="s">
        <v>36</v>
      </c>
      <c r="O111" s="169">
        <v>58</v>
      </c>
      <c r="P111" s="169">
        <v>428</v>
      </c>
      <c r="Q111" s="169" t="s">
        <v>1463</v>
      </c>
      <c r="R111" s="169">
        <v>2</v>
      </c>
      <c r="S111" s="169">
        <v>2</v>
      </c>
      <c r="T111" s="169" t="s">
        <v>1464</v>
      </c>
      <c r="U111" s="169">
        <v>1</v>
      </c>
      <c r="V111" s="169">
        <v>2780031</v>
      </c>
      <c r="W111" s="169">
        <v>0</v>
      </c>
      <c r="X111" s="169" t="s">
        <v>1406</v>
      </c>
      <c r="Z111" s="169" t="s">
        <v>32</v>
      </c>
      <c r="AA111" s="171">
        <v>46316</v>
      </c>
      <c r="AB111" s="169">
        <v>27</v>
      </c>
      <c r="AC111" s="169">
        <v>80031</v>
      </c>
      <c r="AD111" s="169">
        <v>57</v>
      </c>
      <c r="AE111" s="169" t="s">
        <v>1551</v>
      </c>
      <c r="AF111" s="169">
        <v>57</v>
      </c>
      <c r="AG111" s="169" t="s">
        <v>1552</v>
      </c>
      <c r="AH111" s="169" t="s">
        <v>36</v>
      </c>
      <c r="AI111" s="169">
        <v>58</v>
      </c>
      <c r="AJ111" s="169">
        <v>428</v>
      </c>
      <c r="AK111" s="169" t="s">
        <v>1407</v>
      </c>
      <c r="AL111" s="169">
        <v>36038</v>
      </c>
      <c r="AM111" s="169" t="s">
        <v>1418</v>
      </c>
      <c r="AN111" s="169" t="s">
        <v>4534</v>
      </c>
      <c r="AO111" s="169">
        <v>36</v>
      </c>
      <c r="AP111" s="169" t="s">
        <v>1603</v>
      </c>
      <c r="AQ111" s="169">
        <v>0</v>
      </c>
      <c r="AR111" s="169" t="s">
        <v>1410</v>
      </c>
      <c r="AT111" s="169" t="s">
        <v>1417</v>
      </c>
      <c r="AU111" s="169" t="s">
        <v>1412</v>
      </c>
    </row>
    <row r="112" spans="1:47" x14ac:dyDescent="0.45">
      <c r="A112" s="169">
        <v>2705750160</v>
      </c>
      <c r="B112" s="169">
        <v>57</v>
      </c>
      <c r="C112" s="169" t="s">
        <v>1551</v>
      </c>
      <c r="D112" s="169">
        <v>57</v>
      </c>
      <c r="E112" s="169" t="s">
        <v>1552</v>
      </c>
      <c r="F112" s="169" t="s">
        <v>4535</v>
      </c>
      <c r="G112" s="169" t="s">
        <v>4536</v>
      </c>
      <c r="H112" s="169">
        <v>1</v>
      </c>
      <c r="I112" s="169" t="s">
        <v>4279</v>
      </c>
      <c r="J112" s="169" t="s">
        <v>1403</v>
      </c>
      <c r="K112" s="169">
        <v>0</v>
      </c>
      <c r="L112" s="169">
        <v>2027</v>
      </c>
      <c r="M112" s="171">
        <v>46303</v>
      </c>
      <c r="N112" s="169" t="s">
        <v>36</v>
      </c>
      <c r="O112" s="169">
        <v>58</v>
      </c>
      <c r="P112" s="169">
        <v>428</v>
      </c>
      <c r="Q112" s="169" t="s">
        <v>1463</v>
      </c>
      <c r="R112" s="169">
        <v>2</v>
      </c>
      <c r="S112" s="169">
        <v>2</v>
      </c>
      <c r="T112" s="169" t="s">
        <v>1464</v>
      </c>
      <c r="U112" s="169">
        <v>1</v>
      </c>
      <c r="V112" s="169">
        <v>2780035</v>
      </c>
      <c r="W112" s="169">
        <v>0</v>
      </c>
      <c r="X112" s="169" t="s">
        <v>1406</v>
      </c>
      <c r="Z112" s="169" t="s">
        <v>32</v>
      </c>
      <c r="AA112" s="171">
        <v>46317</v>
      </c>
      <c r="AB112" s="169">
        <v>27</v>
      </c>
      <c r="AC112" s="169">
        <v>80035</v>
      </c>
      <c r="AD112" s="169">
        <v>57</v>
      </c>
      <c r="AE112" s="169" t="s">
        <v>1551</v>
      </c>
      <c r="AF112" s="169">
        <v>57</v>
      </c>
      <c r="AG112" s="169" t="s">
        <v>1552</v>
      </c>
      <c r="AH112" s="169" t="s">
        <v>36</v>
      </c>
      <c r="AI112" s="169">
        <v>58</v>
      </c>
      <c r="AJ112" s="169">
        <v>428</v>
      </c>
      <c r="AK112" s="169" t="s">
        <v>1407</v>
      </c>
      <c r="AL112" s="169">
        <v>99999</v>
      </c>
      <c r="AM112" s="169" t="s">
        <v>1408</v>
      </c>
      <c r="AN112" s="169" t="s">
        <v>2920</v>
      </c>
      <c r="AO112" s="169">
        <v>99</v>
      </c>
      <c r="AP112" s="169" t="s">
        <v>1409</v>
      </c>
      <c r="AQ112" s="169">
        <v>0</v>
      </c>
      <c r="AR112" s="169" t="s">
        <v>1410</v>
      </c>
      <c r="AT112" s="169" t="s">
        <v>1411</v>
      </c>
      <c r="AU112" s="169" t="s">
        <v>1412</v>
      </c>
    </row>
    <row r="113" spans="1:47" x14ac:dyDescent="0.45">
      <c r="A113" s="169">
        <v>2705750161</v>
      </c>
      <c r="B113" s="169">
        <v>57</v>
      </c>
      <c r="C113" s="169" t="s">
        <v>1551</v>
      </c>
      <c r="D113" s="169">
        <v>57</v>
      </c>
      <c r="E113" s="169" t="s">
        <v>1552</v>
      </c>
      <c r="F113" s="169" t="s">
        <v>4537</v>
      </c>
      <c r="G113" s="169" t="s">
        <v>4538</v>
      </c>
      <c r="H113" s="169">
        <v>1</v>
      </c>
      <c r="I113" s="169" t="s">
        <v>585</v>
      </c>
      <c r="J113" s="169" t="s">
        <v>1403</v>
      </c>
      <c r="K113" s="169">
        <v>2027</v>
      </c>
      <c r="L113" s="169">
        <v>2027</v>
      </c>
      <c r="M113" s="171">
        <v>46311</v>
      </c>
      <c r="N113" s="169" t="s">
        <v>36</v>
      </c>
      <c r="O113" s="169">
        <v>58</v>
      </c>
      <c r="P113" s="169">
        <v>428</v>
      </c>
      <c r="Q113" s="169" t="s">
        <v>1463</v>
      </c>
      <c r="R113" s="169">
        <v>2</v>
      </c>
      <c r="S113" s="169">
        <v>2</v>
      </c>
      <c r="T113" s="169" t="s">
        <v>1464</v>
      </c>
      <c r="U113" s="169">
        <v>1</v>
      </c>
      <c r="V113" s="169">
        <v>0</v>
      </c>
      <c r="W113" s="169">
        <v>0</v>
      </c>
      <c r="X113" s="169" t="s">
        <v>1406</v>
      </c>
      <c r="Z113" s="169" t="s">
        <v>32</v>
      </c>
      <c r="AA113" s="169"/>
      <c r="AB113" s="169">
        <v>0</v>
      </c>
      <c r="AC113" s="169">
        <v>0</v>
      </c>
      <c r="AD113" s="169">
        <v>0</v>
      </c>
      <c r="AE113" s="169" t="s">
        <v>1446</v>
      </c>
      <c r="AG113" s="169" t="s">
        <v>1446</v>
      </c>
      <c r="AJ113" s="169">
        <v>0</v>
      </c>
      <c r="AK113" s="169" t="s">
        <v>1407</v>
      </c>
      <c r="AL113" s="169">
        <v>47076</v>
      </c>
      <c r="AM113" s="169" t="s">
        <v>1421</v>
      </c>
      <c r="AN113" s="169" t="s">
        <v>1422</v>
      </c>
      <c r="AO113" s="169">
        <v>47</v>
      </c>
      <c r="AP113" s="169" t="s">
        <v>1423</v>
      </c>
      <c r="AQ113" s="169">
        <v>0</v>
      </c>
      <c r="AR113" s="169" t="s">
        <v>1410</v>
      </c>
      <c r="AT113" s="169" t="s">
        <v>1417</v>
      </c>
      <c r="AU113" s="169" t="s">
        <v>1412</v>
      </c>
    </row>
    <row r="114" spans="1:47" x14ac:dyDescent="0.45">
      <c r="A114" s="169">
        <v>2705750162</v>
      </c>
      <c r="B114" s="169">
        <v>57</v>
      </c>
      <c r="C114" s="169" t="s">
        <v>1551</v>
      </c>
      <c r="D114" s="169">
        <v>57</v>
      </c>
      <c r="E114" s="169" t="s">
        <v>1552</v>
      </c>
      <c r="F114" s="169" t="s">
        <v>4539</v>
      </c>
      <c r="G114" s="169" t="s">
        <v>4540</v>
      </c>
      <c r="H114" s="169">
        <v>1</v>
      </c>
      <c r="I114" s="169" t="s">
        <v>3993</v>
      </c>
      <c r="J114" s="169" t="s">
        <v>1403</v>
      </c>
      <c r="K114" s="169">
        <v>2027</v>
      </c>
      <c r="L114" s="169">
        <v>2027</v>
      </c>
      <c r="M114" s="171">
        <v>46321</v>
      </c>
      <c r="N114" s="169" t="s">
        <v>36</v>
      </c>
      <c r="O114" s="169" t="s">
        <v>135</v>
      </c>
      <c r="P114" s="169">
        <v>628</v>
      </c>
      <c r="Q114" s="169" t="s">
        <v>1530</v>
      </c>
      <c r="R114" s="169">
        <v>2</v>
      </c>
      <c r="S114" s="169">
        <v>5</v>
      </c>
      <c r="T114" s="169" t="s">
        <v>1470</v>
      </c>
      <c r="U114" s="169">
        <v>15</v>
      </c>
      <c r="V114" s="169">
        <v>0</v>
      </c>
      <c r="W114" s="169">
        <v>0</v>
      </c>
      <c r="X114" s="169" t="s">
        <v>1406</v>
      </c>
      <c r="Z114" s="169" t="s">
        <v>32</v>
      </c>
      <c r="AA114" s="169"/>
      <c r="AB114" s="169">
        <v>0</v>
      </c>
      <c r="AC114" s="169">
        <v>0</v>
      </c>
      <c r="AD114" s="169">
        <v>0</v>
      </c>
      <c r="AE114" s="169" t="s">
        <v>1446</v>
      </c>
      <c r="AG114" s="169" t="s">
        <v>1446</v>
      </c>
      <c r="AJ114" s="169">
        <v>0</v>
      </c>
      <c r="AK114" s="169" t="s">
        <v>1407</v>
      </c>
      <c r="AL114" s="169">
        <v>28120</v>
      </c>
      <c r="AM114" s="169" t="s">
        <v>1418</v>
      </c>
      <c r="AN114" s="169" t="s">
        <v>1593</v>
      </c>
      <c r="AO114" s="169">
        <v>28</v>
      </c>
      <c r="AP114" s="169" t="s">
        <v>1416</v>
      </c>
      <c r="AQ114" s="169">
        <v>0</v>
      </c>
      <c r="AT114" s="169" t="s">
        <v>1417</v>
      </c>
      <c r="AU114" s="169" t="s">
        <v>1412</v>
      </c>
    </row>
    <row r="115" spans="1:47" x14ac:dyDescent="0.45">
      <c r="A115" s="169">
        <v>2705750164</v>
      </c>
      <c r="B115" s="169">
        <v>57</v>
      </c>
      <c r="C115" s="169" t="s">
        <v>1551</v>
      </c>
      <c r="D115" s="169">
        <v>57</v>
      </c>
      <c r="E115" s="169" t="s">
        <v>1552</v>
      </c>
      <c r="F115" s="169" t="s">
        <v>4541</v>
      </c>
      <c r="G115" s="169" t="s">
        <v>4542</v>
      </c>
      <c r="H115" s="169">
        <v>1</v>
      </c>
      <c r="I115" s="169" t="s">
        <v>4543</v>
      </c>
      <c r="J115" s="169" t="s">
        <v>1403</v>
      </c>
      <c r="K115" s="169">
        <v>2027</v>
      </c>
      <c r="L115" s="169">
        <v>2027</v>
      </c>
      <c r="M115" s="171">
        <v>46315</v>
      </c>
      <c r="N115" s="169" t="s">
        <v>36</v>
      </c>
      <c r="O115" s="169">
        <v>58</v>
      </c>
      <c r="P115" s="169">
        <v>428</v>
      </c>
      <c r="Q115" s="169" t="s">
        <v>1463</v>
      </c>
      <c r="R115" s="169">
        <v>2</v>
      </c>
      <c r="S115" s="169">
        <v>2</v>
      </c>
      <c r="T115" s="169" t="s">
        <v>1464</v>
      </c>
      <c r="U115" s="169">
        <v>1</v>
      </c>
      <c r="V115" s="169">
        <v>0</v>
      </c>
      <c r="W115" s="169">
        <v>0</v>
      </c>
      <c r="X115" s="169" t="s">
        <v>1406</v>
      </c>
      <c r="Z115" s="169" t="s">
        <v>32</v>
      </c>
      <c r="AA115" s="169"/>
      <c r="AB115" s="169">
        <v>0</v>
      </c>
      <c r="AC115" s="169">
        <v>0</v>
      </c>
      <c r="AD115" s="169">
        <v>0</v>
      </c>
      <c r="AE115" s="169" t="s">
        <v>1446</v>
      </c>
      <c r="AG115" s="169" t="s">
        <v>1446</v>
      </c>
      <c r="AJ115" s="169">
        <v>0</v>
      </c>
      <c r="AK115" s="169" t="s">
        <v>1407</v>
      </c>
      <c r="AL115" s="169">
        <v>28282</v>
      </c>
      <c r="AM115" s="169" t="s">
        <v>1414</v>
      </c>
      <c r="AN115" s="169" t="s">
        <v>1572</v>
      </c>
      <c r="AO115" s="169">
        <v>28</v>
      </c>
      <c r="AP115" s="169" t="s">
        <v>1416</v>
      </c>
      <c r="AQ115" s="169">
        <v>0</v>
      </c>
      <c r="AR115" s="169" t="s">
        <v>1410</v>
      </c>
      <c r="AT115" s="169" t="s">
        <v>1417</v>
      </c>
      <c r="AU115" s="169" t="s">
        <v>1412</v>
      </c>
    </row>
    <row r="116" spans="1:47" x14ac:dyDescent="0.45">
      <c r="A116" s="169">
        <v>2705750165</v>
      </c>
      <c r="B116" s="169">
        <v>57</v>
      </c>
      <c r="C116" s="169" t="s">
        <v>1551</v>
      </c>
      <c r="D116" s="169">
        <v>57</v>
      </c>
      <c r="E116" s="169" t="s">
        <v>1552</v>
      </c>
      <c r="F116" s="169" t="s">
        <v>4544</v>
      </c>
      <c r="G116" s="169" t="s">
        <v>4545</v>
      </c>
      <c r="H116" s="169">
        <v>1</v>
      </c>
      <c r="I116" s="169" t="s">
        <v>4546</v>
      </c>
      <c r="J116" s="169" t="s">
        <v>1403</v>
      </c>
      <c r="K116" s="169">
        <v>2027</v>
      </c>
      <c r="L116" s="169">
        <v>2027</v>
      </c>
      <c r="M116" s="171">
        <v>46298</v>
      </c>
      <c r="N116" s="169" t="s">
        <v>36</v>
      </c>
      <c r="O116" s="169">
        <v>58</v>
      </c>
      <c r="P116" s="169">
        <v>968</v>
      </c>
      <c r="Q116" s="169" t="s">
        <v>1474</v>
      </c>
      <c r="R116" s="169">
        <v>2</v>
      </c>
      <c r="S116" s="169">
        <v>2</v>
      </c>
      <c r="T116" s="169" t="s">
        <v>1464</v>
      </c>
      <c r="U116" s="169">
        <v>1</v>
      </c>
      <c r="V116" s="169">
        <v>0</v>
      </c>
      <c r="W116" s="169">
        <v>0</v>
      </c>
      <c r="X116" s="169" t="s">
        <v>1406</v>
      </c>
      <c r="Z116" s="169" t="s">
        <v>32</v>
      </c>
      <c r="AA116" s="169"/>
      <c r="AB116" s="169">
        <v>0</v>
      </c>
      <c r="AC116" s="169">
        <v>0</v>
      </c>
      <c r="AD116" s="169">
        <v>0</v>
      </c>
      <c r="AE116" s="169" t="s">
        <v>1446</v>
      </c>
      <c r="AG116" s="169" t="s">
        <v>1446</v>
      </c>
      <c r="AJ116" s="169">
        <v>0</v>
      </c>
      <c r="AK116" s="169" t="s">
        <v>1407</v>
      </c>
      <c r="AL116" s="169">
        <v>28120</v>
      </c>
      <c r="AM116" s="169" t="s">
        <v>1418</v>
      </c>
      <c r="AN116" s="169" t="s">
        <v>1593</v>
      </c>
      <c r="AO116" s="169">
        <v>28</v>
      </c>
      <c r="AP116" s="169" t="s">
        <v>1416</v>
      </c>
      <c r="AQ116" s="169">
        <v>0</v>
      </c>
      <c r="AR116" s="169" t="s">
        <v>1410</v>
      </c>
      <c r="AT116" s="169" t="s">
        <v>1417</v>
      </c>
      <c r="AU116" s="169" t="s">
        <v>1412</v>
      </c>
    </row>
    <row r="117" spans="1:47" x14ac:dyDescent="0.45">
      <c r="A117" s="169">
        <v>2705750166</v>
      </c>
      <c r="B117" s="169">
        <v>57</v>
      </c>
      <c r="C117" s="169" t="s">
        <v>1551</v>
      </c>
      <c r="D117" s="169">
        <v>57</v>
      </c>
      <c r="E117" s="169" t="s">
        <v>1552</v>
      </c>
      <c r="F117" s="169" t="s">
        <v>4547</v>
      </c>
      <c r="G117" s="169" t="s">
        <v>4548</v>
      </c>
      <c r="H117" s="169">
        <v>1</v>
      </c>
      <c r="I117" s="169" t="s">
        <v>4549</v>
      </c>
      <c r="J117" s="169" t="s">
        <v>1403</v>
      </c>
      <c r="K117" s="169">
        <v>2027</v>
      </c>
      <c r="L117" s="169">
        <v>2027</v>
      </c>
      <c r="M117" s="171">
        <v>46317</v>
      </c>
      <c r="N117" s="169" t="s">
        <v>36</v>
      </c>
      <c r="O117" s="169">
        <v>58</v>
      </c>
      <c r="P117" s="169">
        <v>290</v>
      </c>
      <c r="Q117" s="169" t="s">
        <v>1496</v>
      </c>
      <c r="R117" s="169">
        <v>2</v>
      </c>
      <c r="S117" s="169">
        <v>2</v>
      </c>
      <c r="T117" s="169" t="s">
        <v>1464</v>
      </c>
      <c r="U117" s="169">
        <v>1</v>
      </c>
      <c r="V117" s="169">
        <v>0</v>
      </c>
      <c r="W117" s="169">
        <v>0</v>
      </c>
      <c r="X117" s="169" t="s">
        <v>1406</v>
      </c>
      <c r="Z117" s="169" t="s">
        <v>32</v>
      </c>
      <c r="AA117" s="169"/>
      <c r="AB117" s="169">
        <v>0</v>
      </c>
      <c r="AC117" s="169">
        <v>0</v>
      </c>
      <c r="AD117" s="169">
        <v>0</v>
      </c>
      <c r="AE117" s="169" t="s">
        <v>1446</v>
      </c>
      <c r="AG117" s="169" t="s">
        <v>1446</v>
      </c>
      <c r="AJ117" s="169">
        <v>0</v>
      </c>
      <c r="AK117" s="169" t="s">
        <v>1407</v>
      </c>
      <c r="AL117" s="169">
        <v>28030</v>
      </c>
      <c r="AM117" s="169" t="s">
        <v>1418</v>
      </c>
      <c r="AN117" s="169" t="s">
        <v>1566</v>
      </c>
      <c r="AO117" s="169">
        <v>28</v>
      </c>
      <c r="AP117" s="169" t="s">
        <v>1416</v>
      </c>
      <c r="AQ117" s="169">
        <v>0</v>
      </c>
      <c r="AR117" s="169" t="s">
        <v>1410</v>
      </c>
      <c r="AT117" s="169" t="s">
        <v>1417</v>
      </c>
      <c r="AU117" s="169" t="s">
        <v>1412</v>
      </c>
    </row>
    <row r="118" spans="1:47" x14ac:dyDescent="0.45">
      <c r="A118" s="169">
        <v>2705750169</v>
      </c>
      <c r="B118" s="169">
        <v>57</v>
      </c>
      <c r="C118" s="169" t="s">
        <v>1551</v>
      </c>
      <c r="D118" s="169">
        <v>57</v>
      </c>
      <c r="E118" s="169" t="s">
        <v>1552</v>
      </c>
      <c r="F118" s="169" t="s">
        <v>4550</v>
      </c>
      <c r="G118" s="169" t="s">
        <v>4551</v>
      </c>
      <c r="H118" s="169">
        <v>2</v>
      </c>
      <c r="I118" s="169" t="s">
        <v>4552</v>
      </c>
      <c r="J118" s="169" t="s">
        <v>3793</v>
      </c>
      <c r="K118" s="169">
        <v>2027</v>
      </c>
      <c r="L118" s="169">
        <v>2027</v>
      </c>
      <c r="M118" s="171">
        <v>46296</v>
      </c>
      <c r="N118" s="169" t="s">
        <v>36</v>
      </c>
      <c r="O118" s="169">
        <v>58</v>
      </c>
      <c r="P118" s="169">
        <v>427</v>
      </c>
      <c r="Q118" s="169" t="s">
        <v>1479</v>
      </c>
      <c r="R118" s="169">
        <v>2</v>
      </c>
      <c r="S118" s="169">
        <v>2</v>
      </c>
      <c r="T118" s="169" t="s">
        <v>1464</v>
      </c>
      <c r="U118" s="169">
        <v>1</v>
      </c>
      <c r="V118" s="169">
        <v>2780034</v>
      </c>
      <c r="W118" s="169">
        <v>0</v>
      </c>
      <c r="X118" s="169" t="s">
        <v>1406</v>
      </c>
      <c r="Z118" s="169" t="s">
        <v>32</v>
      </c>
      <c r="AA118" s="171">
        <v>46316</v>
      </c>
      <c r="AB118" s="169">
        <v>27</v>
      </c>
      <c r="AC118" s="169">
        <v>80034</v>
      </c>
      <c r="AD118" s="169">
        <v>57</v>
      </c>
      <c r="AE118" s="169" t="s">
        <v>1551</v>
      </c>
      <c r="AF118" s="169">
        <v>57</v>
      </c>
      <c r="AG118" s="169" t="s">
        <v>1552</v>
      </c>
      <c r="AH118" s="169" t="s">
        <v>36</v>
      </c>
      <c r="AI118" s="169">
        <v>58</v>
      </c>
      <c r="AJ118" s="169">
        <v>427</v>
      </c>
      <c r="AK118" s="169" t="s">
        <v>1407</v>
      </c>
      <c r="AL118" s="169">
        <v>44032</v>
      </c>
      <c r="AM118" s="169" t="s">
        <v>1418</v>
      </c>
      <c r="AN118" s="169" t="s">
        <v>4553</v>
      </c>
      <c r="AO118" s="169">
        <v>44</v>
      </c>
      <c r="AP118" s="169" t="s">
        <v>3795</v>
      </c>
      <c r="AQ118" s="169">
        <v>0</v>
      </c>
      <c r="AR118" s="169" t="s">
        <v>1410</v>
      </c>
      <c r="AT118" s="169" t="s">
        <v>1417</v>
      </c>
      <c r="AU118" s="169" t="s">
        <v>1412</v>
      </c>
    </row>
    <row r="119" spans="1:47" x14ac:dyDescent="0.45">
      <c r="A119" s="169">
        <v>2705750173</v>
      </c>
      <c r="B119" s="169">
        <v>57</v>
      </c>
      <c r="C119" s="169" t="s">
        <v>1551</v>
      </c>
      <c r="D119" s="169">
        <v>57</v>
      </c>
      <c r="E119" s="169" t="s">
        <v>1552</v>
      </c>
      <c r="F119" s="169" t="s">
        <v>4554</v>
      </c>
      <c r="G119" s="169" t="s">
        <v>4555</v>
      </c>
      <c r="H119" s="169">
        <v>1</v>
      </c>
      <c r="I119" s="169" t="s">
        <v>4556</v>
      </c>
      <c r="J119" s="169" t="s">
        <v>1403</v>
      </c>
      <c r="K119" s="169">
        <v>0</v>
      </c>
      <c r="L119" s="169">
        <v>2027</v>
      </c>
      <c r="M119" s="171">
        <v>46318</v>
      </c>
      <c r="N119" s="169" t="s">
        <v>36</v>
      </c>
      <c r="O119" s="169">
        <v>58</v>
      </c>
      <c r="P119" s="169">
        <v>428</v>
      </c>
      <c r="Q119" s="169" t="s">
        <v>1463</v>
      </c>
      <c r="R119" s="169">
        <v>2</v>
      </c>
      <c r="S119" s="169">
        <v>2</v>
      </c>
      <c r="T119" s="169" t="s">
        <v>1464</v>
      </c>
      <c r="U119" s="169">
        <v>1</v>
      </c>
      <c r="V119" s="169">
        <v>0</v>
      </c>
      <c r="W119" s="169">
        <v>0</v>
      </c>
      <c r="X119" s="169" t="s">
        <v>1406</v>
      </c>
      <c r="Z119" s="169" t="s">
        <v>32</v>
      </c>
      <c r="AA119" s="169"/>
      <c r="AB119" s="169">
        <v>0</v>
      </c>
      <c r="AC119" s="169">
        <v>0</v>
      </c>
      <c r="AD119" s="169">
        <v>0</v>
      </c>
      <c r="AE119" s="169" t="s">
        <v>1446</v>
      </c>
      <c r="AG119" s="169" t="s">
        <v>1446</v>
      </c>
      <c r="AJ119" s="169">
        <v>0</v>
      </c>
      <c r="AK119" s="169" t="s">
        <v>1407</v>
      </c>
      <c r="AL119" s="169">
        <v>28120</v>
      </c>
      <c r="AM119" s="169" t="s">
        <v>1418</v>
      </c>
      <c r="AN119" s="169" t="s">
        <v>1593</v>
      </c>
      <c r="AO119" s="169">
        <v>28</v>
      </c>
      <c r="AP119" s="169" t="s">
        <v>1416</v>
      </c>
      <c r="AQ119" s="169">
        <v>0</v>
      </c>
      <c r="AT119" s="169" t="s">
        <v>1411</v>
      </c>
      <c r="AU119" s="169" t="s">
        <v>1412</v>
      </c>
    </row>
    <row r="120" spans="1:47" x14ac:dyDescent="0.45">
      <c r="A120" s="169">
        <v>2705750176</v>
      </c>
      <c r="B120" s="169">
        <v>57</v>
      </c>
      <c r="C120" s="169" t="s">
        <v>1551</v>
      </c>
      <c r="D120" s="169">
        <v>57</v>
      </c>
      <c r="E120" s="169" t="s">
        <v>1552</v>
      </c>
      <c r="F120" s="169" t="s">
        <v>4557</v>
      </c>
      <c r="G120" s="169" t="s">
        <v>4558</v>
      </c>
      <c r="H120" s="169">
        <v>1</v>
      </c>
      <c r="I120" s="169" t="s">
        <v>4559</v>
      </c>
      <c r="J120" s="169" t="s">
        <v>1403</v>
      </c>
      <c r="K120" s="169">
        <v>2027</v>
      </c>
      <c r="L120" s="169">
        <v>2027</v>
      </c>
      <c r="M120" s="171">
        <v>46305</v>
      </c>
      <c r="N120" s="169" t="s">
        <v>36</v>
      </c>
      <c r="O120" s="169">
        <v>58</v>
      </c>
      <c r="P120" s="169">
        <v>427</v>
      </c>
      <c r="Q120" s="169" t="s">
        <v>1479</v>
      </c>
      <c r="R120" s="169">
        <v>2</v>
      </c>
      <c r="S120" s="169">
        <v>2</v>
      </c>
      <c r="T120" s="169" t="s">
        <v>1464</v>
      </c>
      <c r="U120" s="169">
        <v>1</v>
      </c>
      <c r="V120" s="169">
        <v>0</v>
      </c>
      <c r="W120" s="169">
        <v>0</v>
      </c>
      <c r="X120" s="169" t="s">
        <v>1406</v>
      </c>
      <c r="Z120" s="169" t="s">
        <v>32</v>
      </c>
      <c r="AA120" s="169"/>
      <c r="AB120" s="169">
        <v>0</v>
      </c>
      <c r="AC120" s="169">
        <v>0</v>
      </c>
      <c r="AD120" s="169">
        <v>0</v>
      </c>
      <c r="AE120" s="169" t="s">
        <v>1446</v>
      </c>
      <c r="AG120" s="169" t="s">
        <v>1446</v>
      </c>
      <c r="AJ120" s="169">
        <v>0</v>
      </c>
      <c r="AK120" s="169" t="s">
        <v>1473</v>
      </c>
      <c r="AL120" s="169">
        <v>28024</v>
      </c>
      <c r="AM120" s="169" t="s">
        <v>1421</v>
      </c>
      <c r="AN120" s="169" t="s">
        <v>1535</v>
      </c>
      <c r="AO120" s="169">
        <v>28</v>
      </c>
      <c r="AP120" s="169" t="s">
        <v>1416</v>
      </c>
      <c r="AQ120" s="169">
        <v>0</v>
      </c>
      <c r="AR120" s="169" t="s">
        <v>1410</v>
      </c>
      <c r="AT120" s="169" t="s">
        <v>1417</v>
      </c>
      <c r="AU120" s="169" t="s">
        <v>1412</v>
      </c>
    </row>
    <row r="121" spans="1:47" x14ac:dyDescent="0.45">
      <c r="A121" s="169">
        <v>2713050002</v>
      </c>
      <c r="B121" s="169">
        <v>130</v>
      </c>
      <c r="C121" s="169" t="s">
        <v>1401</v>
      </c>
      <c r="D121" s="169">
        <v>130</v>
      </c>
      <c r="E121" s="169" t="s">
        <v>1402</v>
      </c>
      <c r="F121" s="169" t="s">
        <v>4560</v>
      </c>
      <c r="G121" s="169" t="s">
        <v>4561</v>
      </c>
      <c r="H121" s="169">
        <v>1</v>
      </c>
      <c r="I121" s="169" t="s">
        <v>4562</v>
      </c>
      <c r="J121" s="169" t="s">
        <v>1403</v>
      </c>
      <c r="K121" s="169">
        <v>2027</v>
      </c>
      <c r="L121" s="169">
        <v>2027</v>
      </c>
      <c r="M121" s="171">
        <v>46283</v>
      </c>
      <c r="N121" s="169" t="s">
        <v>36</v>
      </c>
      <c r="O121" s="169" t="s">
        <v>472</v>
      </c>
      <c r="P121" s="169">
        <v>1043</v>
      </c>
      <c r="Q121" s="169" t="s">
        <v>1404</v>
      </c>
      <c r="R121" s="169">
        <v>2</v>
      </c>
      <c r="S121" s="169">
        <v>6</v>
      </c>
      <c r="T121" s="169" t="s">
        <v>1405</v>
      </c>
      <c r="U121" s="169">
        <v>5</v>
      </c>
      <c r="V121" s="169">
        <v>0</v>
      </c>
      <c r="W121" s="169">
        <v>0</v>
      </c>
      <c r="X121" s="169" t="s">
        <v>1406</v>
      </c>
      <c r="Z121" s="169" t="s">
        <v>32</v>
      </c>
      <c r="AA121" s="169"/>
      <c r="AB121" s="169">
        <v>0</v>
      </c>
      <c r="AC121" s="169">
        <v>0</v>
      </c>
      <c r="AD121" s="169">
        <v>0</v>
      </c>
      <c r="AE121" s="169" t="s">
        <v>1446</v>
      </c>
      <c r="AG121" s="169" t="s">
        <v>1446</v>
      </c>
      <c r="AJ121" s="169">
        <v>0</v>
      </c>
      <c r="AK121" s="169" t="s">
        <v>1407</v>
      </c>
      <c r="AL121" s="169">
        <v>28247</v>
      </c>
      <c r="AM121" s="169" t="s">
        <v>1418</v>
      </c>
      <c r="AN121" s="169" t="s">
        <v>1419</v>
      </c>
      <c r="AO121" s="169">
        <v>28</v>
      </c>
      <c r="AP121" s="169" t="s">
        <v>1416</v>
      </c>
      <c r="AQ121" s="169">
        <v>0</v>
      </c>
      <c r="AR121" s="169" t="s">
        <v>1410</v>
      </c>
      <c r="AT121" s="169" t="s">
        <v>1417</v>
      </c>
      <c r="AU121" s="169" t="s">
        <v>1412</v>
      </c>
    </row>
    <row r="122" spans="1:47" x14ac:dyDescent="0.45">
      <c r="A122" s="169">
        <v>2713050003</v>
      </c>
      <c r="B122" s="169">
        <v>130</v>
      </c>
      <c r="C122" s="169" t="s">
        <v>1401</v>
      </c>
      <c r="D122" s="169">
        <v>130</v>
      </c>
      <c r="E122" s="169" t="s">
        <v>1402</v>
      </c>
      <c r="F122" s="169" t="s">
        <v>4563</v>
      </c>
      <c r="G122" s="169" t="s">
        <v>4564</v>
      </c>
      <c r="H122" s="169">
        <v>1</v>
      </c>
      <c r="I122" s="169" t="s">
        <v>4565</v>
      </c>
      <c r="J122" s="169" t="s">
        <v>1403</v>
      </c>
      <c r="K122" s="169">
        <v>2027</v>
      </c>
      <c r="L122" s="169">
        <v>2027</v>
      </c>
      <c r="M122" s="171">
        <v>46293</v>
      </c>
      <c r="N122" s="169" t="s">
        <v>36</v>
      </c>
      <c r="O122" s="169" t="s">
        <v>472</v>
      </c>
      <c r="P122" s="169">
        <v>1043</v>
      </c>
      <c r="Q122" s="169" t="s">
        <v>1404</v>
      </c>
      <c r="R122" s="169">
        <v>2</v>
      </c>
      <c r="S122" s="169">
        <v>6</v>
      </c>
      <c r="T122" s="169" t="s">
        <v>1405</v>
      </c>
      <c r="U122" s="169">
        <v>5</v>
      </c>
      <c r="V122" s="169">
        <v>2722006</v>
      </c>
      <c r="W122" s="169">
        <v>0</v>
      </c>
      <c r="X122" s="169" t="s">
        <v>1406</v>
      </c>
      <c r="Z122" s="169" t="s">
        <v>32</v>
      </c>
      <c r="AA122" s="171">
        <v>46309</v>
      </c>
      <c r="AB122" s="169">
        <v>27</v>
      </c>
      <c r="AC122" s="169">
        <v>22006</v>
      </c>
      <c r="AD122" s="169">
        <v>130</v>
      </c>
      <c r="AE122" s="169" t="s">
        <v>1401</v>
      </c>
      <c r="AF122" s="169">
        <v>130</v>
      </c>
      <c r="AG122" s="169" t="s">
        <v>1402</v>
      </c>
      <c r="AH122" s="169" t="s">
        <v>36</v>
      </c>
      <c r="AI122" s="169" t="s">
        <v>472</v>
      </c>
      <c r="AJ122" s="169">
        <v>1043</v>
      </c>
      <c r="AK122" s="169" t="s">
        <v>1407</v>
      </c>
      <c r="AL122" s="169">
        <v>28178</v>
      </c>
      <c r="AM122" s="169" t="s">
        <v>1418</v>
      </c>
      <c r="AN122" s="169" t="s">
        <v>1507</v>
      </c>
      <c r="AO122" s="169">
        <v>28</v>
      </c>
      <c r="AP122" s="169" t="s">
        <v>1416</v>
      </c>
      <c r="AQ122" s="169">
        <v>0</v>
      </c>
      <c r="AR122" s="169" t="s">
        <v>1410</v>
      </c>
      <c r="AT122" s="169" t="s">
        <v>1417</v>
      </c>
      <c r="AU122" s="169" t="s">
        <v>1412</v>
      </c>
    </row>
    <row r="123" spans="1:47" x14ac:dyDescent="0.45">
      <c r="A123" s="169">
        <v>2713050006</v>
      </c>
      <c r="B123" s="169">
        <v>130</v>
      </c>
      <c r="C123" s="169" t="s">
        <v>1401</v>
      </c>
      <c r="D123" s="169">
        <v>130</v>
      </c>
      <c r="E123" s="169" t="s">
        <v>1402</v>
      </c>
      <c r="F123" s="169" t="s">
        <v>4566</v>
      </c>
      <c r="G123" s="169" t="s">
        <v>4567</v>
      </c>
      <c r="H123" s="169">
        <v>1</v>
      </c>
      <c r="I123" s="169" t="s">
        <v>3313</v>
      </c>
      <c r="J123" s="169" t="s">
        <v>1403</v>
      </c>
      <c r="K123" s="169">
        <v>2027</v>
      </c>
      <c r="L123" s="169">
        <v>2027</v>
      </c>
      <c r="M123" s="171">
        <v>46266</v>
      </c>
      <c r="N123" s="169" t="s">
        <v>36</v>
      </c>
      <c r="O123" s="169" t="s">
        <v>472</v>
      </c>
      <c r="P123" s="169">
        <v>1043</v>
      </c>
      <c r="Q123" s="169" t="s">
        <v>1404</v>
      </c>
      <c r="R123" s="169">
        <v>2</v>
      </c>
      <c r="S123" s="169">
        <v>6</v>
      </c>
      <c r="T123" s="169" t="s">
        <v>1405</v>
      </c>
      <c r="U123" s="169">
        <v>5</v>
      </c>
      <c r="V123" s="169">
        <v>0</v>
      </c>
      <c r="W123" s="169">
        <v>0</v>
      </c>
      <c r="X123" s="169" t="s">
        <v>1406</v>
      </c>
      <c r="Z123" s="169" t="s">
        <v>32</v>
      </c>
      <c r="AA123" s="169"/>
      <c r="AB123" s="169">
        <v>0</v>
      </c>
      <c r="AC123" s="169">
        <v>0</v>
      </c>
      <c r="AD123" s="169">
        <v>0</v>
      </c>
      <c r="AE123" s="169" t="s">
        <v>1446</v>
      </c>
      <c r="AG123" s="169" t="s">
        <v>1446</v>
      </c>
      <c r="AJ123" s="169">
        <v>0</v>
      </c>
      <c r="AK123" s="169" t="s">
        <v>1407</v>
      </c>
      <c r="AL123" s="169">
        <v>28168</v>
      </c>
      <c r="AM123" s="169" t="s">
        <v>1418</v>
      </c>
      <c r="AN123" s="169" t="s">
        <v>1475</v>
      </c>
      <c r="AO123" s="169">
        <v>28</v>
      </c>
      <c r="AP123" s="169" t="s">
        <v>1416</v>
      </c>
      <c r="AQ123" s="169">
        <v>0</v>
      </c>
      <c r="AR123" s="169" t="s">
        <v>1410</v>
      </c>
      <c r="AT123" s="169" t="s">
        <v>1417</v>
      </c>
      <c r="AU123" s="169" t="s">
        <v>1412</v>
      </c>
    </row>
    <row r="124" spans="1:47" x14ac:dyDescent="0.45">
      <c r="A124" s="169">
        <v>2713050007</v>
      </c>
      <c r="B124" s="169">
        <v>130</v>
      </c>
      <c r="C124" s="169" t="s">
        <v>1401</v>
      </c>
      <c r="D124" s="169">
        <v>130</v>
      </c>
      <c r="E124" s="169" t="s">
        <v>1402</v>
      </c>
      <c r="F124" s="169" t="s">
        <v>4568</v>
      </c>
      <c r="G124" s="169" t="s">
        <v>4569</v>
      </c>
      <c r="H124" s="169">
        <v>2</v>
      </c>
      <c r="I124" s="169" t="s">
        <v>4570</v>
      </c>
      <c r="J124" s="169" t="s">
        <v>1403</v>
      </c>
      <c r="K124" s="169">
        <v>2027</v>
      </c>
      <c r="L124" s="169">
        <v>2027</v>
      </c>
      <c r="M124" s="171">
        <v>46300</v>
      </c>
      <c r="N124" s="169" t="s">
        <v>36</v>
      </c>
      <c r="O124" s="169" t="s">
        <v>472</v>
      </c>
      <c r="P124" s="169">
        <v>1043</v>
      </c>
      <c r="Q124" s="169" t="s">
        <v>1404</v>
      </c>
      <c r="R124" s="169">
        <v>2</v>
      </c>
      <c r="S124" s="169">
        <v>6</v>
      </c>
      <c r="T124" s="169" t="s">
        <v>1405</v>
      </c>
      <c r="U124" s="169">
        <v>5</v>
      </c>
      <c r="V124" s="169">
        <v>2722008</v>
      </c>
      <c r="W124" s="169">
        <v>0</v>
      </c>
      <c r="X124" s="169" t="s">
        <v>1406</v>
      </c>
      <c r="Z124" s="169" t="s">
        <v>32</v>
      </c>
      <c r="AA124" s="171">
        <v>46314</v>
      </c>
      <c r="AB124" s="169">
        <v>27</v>
      </c>
      <c r="AC124" s="169">
        <v>22008</v>
      </c>
      <c r="AD124" s="169">
        <v>130</v>
      </c>
      <c r="AE124" s="169" t="s">
        <v>1401</v>
      </c>
      <c r="AF124" s="169">
        <v>130</v>
      </c>
      <c r="AG124" s="169" t="s">
        <v>1402</v>
      </c>
      <c r="AH124" s="169" t="s">
        <v>36</v>
      </c>
      <c r="AI124" s="169" t="s">
        <v>472</v>
      </c>
      <c r="AJ124" s="169">
        <v>1043</v>
      </c>
      <c r="AK124" s="169" t="s">
        <v>1407</v>
      </c>
      <c r="AL124" s="169">
        <v>28107</v>
      </c>
      <c r="AM124" s="169" t="s">
        <v>1418</v>
      </c>
      <c r="AN124" s="169" t="s">
        <v>1484</v>
      </c>
      <c r="AO124" s="169">
        <v>28</v>
      </c>
      <c r="AP124" s="169" t="s">
        <v>1416</v>
      </c>
      <c r="AQ124" s="169">
        <v>0</v>
      </c>
      <c r="AR124" s="169" t="s">
        <v>1410</v>
      </c>
      <c r="AT124" s="169" t="s">
        <v>1417</v>
      </c>
      <c r="AU124" s="169" t="s">
        <v>1412</v>
      </c>
    </row>
    <row r="125" spans="1:47" x14ac:dyDescent="0.45">
      <c r="A125" s="169">
        <v>2713050008</v>
      </c>
      <c r="B125" s="169">
        <v>130</v>
      </c>
      <c r="C125" s="169" t="s">
        <v>1401</v>
      </c>
      <c r="D125" s="169">
        <v>130</v>
      </c>
      <c r="E125" s="169" t="s">
        <v>1402</v>
      </c>
      <c r="F125" s="169" t="s">
        <v>4571</v>
      </c>
      <c r="G125" s="169" t="s">
        <v>4572</v>
      </c>
      <c r="H125" s="169">
        <v>1</v>
      </c>
      <c r="I125" s="169" t="s">
        <v>4573</v>
      </c>
      <c r="J125" s="169" t="s">
        <v>1403</v>
      </c>
      <c r="K125" s="169">
        <v>2027</v>
      </c>
      <c r="L125" s="169">
        <v>2027</v>
      </c>
      <c r="M125" s="171">
        <v>46272</v>
      </c>
      <c r="N125" s="169" t="s">
        <v>36</v>
      </c>
      <c r="O125" s="169" t="s">
        <v>472</v>
      </c>
      <c r="P125" s="169">
        <v>1043</v>
      </c>
      <c r="Q125" s="169" t="s">
        <v>1404</v>
      </c>
      <c r="R125" s="169">
        <v>2</v>
      </c>
      <c r="S125" s="169">
        <v>6</v>
      </c>
      <c r="T125" s="169" t="s">
        <v>1405</v>
      </c>
      <c r="U125" s="169">
        <v>5</v>
      </c>
      <c r="V125" s="169">
        <v>0</v>
      </c>
      <c r="W125" s="169">
        <v>0</v>
      </c>
      <c r="X125" s="169" t="s">
        <v>1406</v>
      </c>
      <c r="Z125" s="169" t="s">
        <v>32</v>
      </c>
      <c r="AA125" s="169"/>
      <c r="AB125" s="169">
        <v>0</v>
      </c>
      <c r="AC125" s="169">
        <v>0</v>
      </c>
      <c r="AD125" s="169">
        <v>0</v>
      </c>
      <c r="AE125" s="169" t="s">
        <v>1446</v>
      </c>
      <c r="AG125" s="169" t="s">
        <v>1446</v>
      </c>
      <c r="AJ125" s="169">
        <v>0</v>
      </c>
      <c r="AK125" s="169" t="s">
        <v>1410</v>
      </c>
      <c r="AL125" s="169">
        <v>24069</v>
      </c>
      <c r="AM125" s="169" t="s">
        <v>1421</v>
      </c>
      <c r="AN125" s="169" t="s">
        <v>4574</v>
      </c>
      <c r="AO125" s="169">
        <v>24</v>
      </c>
      <c r="AP125" s="169" t="s">
        <v>3948</v>
      </c>
      <c r="AQ125" s="169">
        <v>0</v>
      </c>
      <c r="AR125" s="169" t="s">
        <v>1410</v>
      </c>
      <c r="AT125" s="169" t="s">
        <v>1417</v>
      </c>
      <c r="AU125" s="169" t="s">
        <v>1412</v>
      </c>
    </row>
    <row r="126" spans="1:47" x14ac:dyDescent="0.45">
      <c r="A126" s="169">
        <v>2713050009</v>
      </c>
      <c r="B126" s="169">
        <v>130</v>
      </c>
      <c r="C126" s="169" t="s">
        <v>1401</v>
      </c>
      <c r="D126" s="169">
        <v>130</v>
      </c>
      <c r="E126" s="169" t="s">
        <v>1402</v>
      </c>
      <c r="F126" s="169" t="s">
        <v>4575</v>
      </c>
      <c r="G126" s="169" t="s">
        <v>4576</v>
      </c>
      <c r="H126" s="169">
        <v>2</v>
      </c>
      <c r="I126" s="169" t="s">
        <v>4577</v>
      </c>
      <c r="J126" s="169" t="s">
        <v>1403</v>
      </c>
      <c r="K126" s="169">
        <v>2027</v>
      </c>
      <c r="L126" s="169">
        <v>2027</v>
      </c>
      <c r="M126" s="171">
        <v>46266</v>
      </c>
      <c r="N126" s="169" t="s">
        <v>36</v>
      </c>
      <c r="O126" s="169" t="s">
        <v>501</v>
      </c>
      <c r="P126" s="169">
        <v>1726</v>
      </c>
      <c r="Q126" s="169" t="s">
        <v>1430</v>
      </c>
      <c r="R126" s="169">
        <v>2</v>
      </c>
      <c r="S126" s="169">
        <v>34</v>
      </c>
      <c r="T126" s="169" t="s">
        <v>1431</v>
      </c>
      <c r="U126" s="169">
        <v>12</v>
      </c>
      <c r="V126" s="169">
        <v>2722001</v>
      </c>
      <c r="W126" s="169">
        <v>0</v>
      </c>
      <c r="X126" s="169" t="s">
        <v>1406</v>
      </c>
      <c r="Z126" s="169" t="s">
        <v>32</v>
      </c>
      <c r="AA126" s="171">
        <v>46297</v>
      </c>
      <c r="AB126" s="169">
        <v>27</v>
      </c>
      <c r="AC126" s="169">
        <v>22001</v>
      </c>
      <c r="AD126" s="169">
        <v>130</v>
      </c>
      <c r="AE126" s="169" t="s">
        <v>1401</v>
      </c>
      <c r="AF126" s="169">
        <v>130</v>
      </c>
      <c r="AG126" s="169" t="s">
        <v>1402</v>
      </c>
      <c r="AH126" s="169" t="s">
        <v>36</v>
      </c>
      <c r="AI126" s="169" t="s">
        <v>501</v>
      </c>
      <c r="AJ126" s="169">
        <v>1726</v>
      </c>
      <c r="AK126" s="169" t="s">
        <v>1407</v>
      </c>
      <c r="AL126" s="169">
        <v>28107</v>
      </c>
      <c r="AM126" s="169" t="s">
        <v>1418</v>
      </c>
      <c r="AN126" s="169" t="s">
        <v>1484</v>
      </c>
      <c r="AO126" s="169">
        <v>28</v>
      </c>
      <c r="AP126" s="169" t="s">
        <v>1416</v>
      </c>
      <c r="AQ126" s="169">
        <v>0</v>
      </c>
      <c r="AR126" s="169" t="s">
        <v>1410</v>
      </c>
      <c r="AT126" s="169" t="s">
        <v>1417</v>
      </c>
      <c r="AU126" s="169" t="s">
        <v>1412</v>
      </c>
    </row>
    <row r="127" spans="1:47" x14ac:dyDescent="0.45">
      <c r="A127" s="169">
        <v>2713050010</v>
      </c>
      <c r="B127" s="169">
        <v>130</v>
      </c>
      <c r="C127" s="169" t="s">
        <v>1401</v>
      </c>
      <c r="D127" s="169">
        <v>130</v>
      </c>
      <c r="E127" s="169" t="s">
        <v>1402</v>
      </c>
      <c r="F127" s="169" t="s">
        <v>4578</v>
      </c>
      <c r="G127" s="169" t="s">
        <v>4579</v>
      </c>
      <c r="H127" s="169">
        <v>1</v>
      </c>
      <c r="I127" s="169" t="s">
        <v>3475</v>
      </c>
      <c r="J127" s="169" t="s">
        <v>1403</v>
      </c>
      <c r="K127" s="169">
        <v>2027</v>
      </c>
      <c r="L127" s="169">
        <v>2027</v>
      </c>
      <c r="M127" s="171">
        <v>46280</v>
      </c>
      <c r="N127" s="169" t="s">
        <v>36</v>
      </c>
      <c r="O127" s="169" t="s">
        <v>501</v>
      </c>
      <c r="P127" s="169">
        <v>1726</v>
      </c>
      <c r="Q127" s="169" t="s">
        <v>1430</v>
      </c>
      <c r="R127" s="169">
        <v>2</v>
      </c>
      <c r="S127" s="169">
        <v>34</v>
      </c>
      <c r="T127" s="169" t="s">
        <v>1431</v>
      </c>
      <c r="U127" s="169">
        <v>12</v>
      </c>
      <c r="V127" s="169">
        <v>0</v>
      </c>
      <c r="W127" s="169">
        <v>0</v>
      </c>
      <c r="X127" s="169" t="s">
        <v>1406</v>
      </c>
      <c r="Z127" s="169" t="s">
        <v>32</v>
      </c>
      <c r="AA127" s="169"/>
      <c r="AB127" s="169">
        <v>0</v>
      </c>
      <c r="AC127" s="169">
        <v>0</v>
      </c>
      <c r="AD127" s="169">
        <v>0</v>
      </c>
      <c r="AE127" s="169" t="s">
        <v>1446</v>
      </c>
      <c r="AG127" s="169" t="s">
        <v>1446</v>
      </c>
      <c r="AJ127" s="169">
        <v>0</v>
      </c>
      <c r="AK127" s="169" t="s">
        <v>1407</v>
      </c>
      <c r="AL127" s="169">
        <v>28092</v>
      </c>
      <c r="AM127" s="169" t="s">
        <v>1421</v>
      </c>
      <c r="AN127" s="169" t="s">
        <v>2824</v>
      </c>
      <c r="AO127" s="169">
        <v>28</v>
      </c>
      <c r="AP127" s="169" t="s">
        <v>1416</v>
      </c>
      <c r="AQ127" s="169">
        <v>0</v>
      </c>
      <c r="AR127" s="169" t="s">
        <v>1410</v>
      </c>
      <c r="AT127" s="169" t="s">
        <v>1417</v>
      </c>
      <c r="AU127" s="169" t="s">
        <v>1412</v>
      </c>
    </row>
    <row r="128" spans="1:47" x14ac:dyDescent="0.45">
      <c r="A128" s="169">
        <v>2713050011</v>
      </c>
      <c r="B128" s="169">
        <v>130</v>
      </c>
      <c r="C128" s="169" t="s">
        <v>1401</v>
      </c>
      <c r="D128" s="169">
        <v>130</v>
      </c>
      <c r="E128" s="169" t="s">
        <v>1402</v>
      </c>
      <c r="F128" s="169" t="s">
        <v>4580</v>
      </c>
      <c r="G128" s="169" t="s">
        <v>4581</v>
      </c>
      <c r="H128" s="169">
        <v>1</v>
      </c>
      <c r="I128" s="169" t="s">
        <v>624</v>
      </c>
      <c r="J128" s="169" t="s">
        <v>1403</v>
      </c>
      <c r="K128" s="169">
        <v>2027</v>
      </c>
      <c r="L128" s="169">
        <v>2027</v>
      </c>
      <c r="M128" s="171">
        <v>46266</v>
      </c>
      <c r="N128" s="169" t="s">
        <v>36</v>
      </c>
      <c r="O128" s="169" t="s">
        <v>501</v>
      </c>
      <c r="P128" s="169">
        <v>1726</v>
      </c>
      <c r="Q128" s="169" t="s">
        <v>1430</v>
      </c>
      <c r="R128" s="169">
        <v>2</v>
      </c>
      <c r="S128" s="169">
        <v>34</v>
      </c>
      <c r="T128" s="169" t="s">
        <v>1431</v>
      </c>
      <c r="U128" s="169">
        <v>12</v>
      </c>
      <c r="V128" s="169">
        <v>2722005</v>
      </c>
      <c r="W128" s="169">
        <v>0</v>
      </c>
      <c r="X128" s="169" t="s">
        <v>1406</v>
      </c>
      <c r="Z128" s="169" t="s">
        <v>32</v>
      </c>
      <c r="AA128" s="171">
        <v>46308</v>
      </c>
      <c r="AB128" s="169">
        <v>27</v>
      </c>
      <c r="AC128" s="169">
        <v>22005</v>
      </c>
      <c r="AD128" s="169">
        <v>130</v>
      </c>
      <c r="AE128" s="169" t="s">
        <v>1401</v>
      </c>
      <c r="AF128" s="169">
        <v>130</v>
      </c>
      <c r="AG128" s="169" t="s">
        <v>1402</v>
      </c>
      <c r="AH128" s="169" t="s">
        <v>36</v>
      </c>
      <c r="AI128" s="169" t="s">
        <v>501</v>
      </c>
      <c r="AJ128" s="169">
        <v>1726</v>
      </c>
      <c r="AK128" s="169" t="s">
        <v>1407</v>
      </c>
      <c r="AL128" s="169">
        <v>46118</v>
      </c>
      <c r="AM128" s="169" t="s">
        <v>1421</v>
      </c>
      <c r="AN128" s="169" t="s">
        <v>1432</v>
      </c>
      <c r="AO128" s="169">
        <v>46</v>
      </c>
      <c r="AP128" s="169" t="s">
        <v>1433</v>
      </c>
      <c r="AQ128" s="169">
        <v>0</v>
      </c>
      <c r="AR128" s="169" t="s">
        <v>1410</v>
      </c>
      <c r="AT128" s="169" t="s">
        <v>1417</v>
      </c>
      <c r="AU128" s="169" t="s">
        <v>1412</v>
      </c>
    </row>
    <row r="129" spans="1:47" x14ac:dyDescent="0.45">
      <c r="A129" s="169">
        <v>2713050012</v>
      </c>
      <c r="B129" s="169">
        <v>130</v>
      </c>
      <c r="C129" s="169" t="s">
        <v>1401</v>
      </c>
      <c r="D129" s="169">
        <v>130</v>
      </c>
      <c r="E129" s="169" t="s">
        <v>1402</v>
      </c>
      <c r="F129" s="169" t="s">
        <v>4582</v>
      </c>
      <c r="G129" s="169" t="s">
        <v>4583</v>
      </c>
      <c r="H129" s="169">
        <v>1</v>
      </c>
      <c r="I129" s="169" t="s">
        <v>1215</v>
      </c>
      <c r="J129" s="169" t="s">
        <v>1403</v>
      </c>
      <c r="K129" s="169">
        <v>2027</v>
      </c>
      <c r="L129" s="169">
        <v>2027</v>
      </c>
      <c r="M129" s="171">
        <v>46279</v>
      </c>
      <c r="N129" s="169" t="s">
        <v>36</v>
      </c>
      <c r="O129" s="169" t="s">
        <v>501</v>
      </c>
      <c r="P129" s="169">
        <v>1726</v>
      </c>
      <c r="Q129" s="169" t="s">
        <v>1430</v>
      </c>
      <c r="R129" s="169">
        <v>2</v>
      </c>
      <c r="S129" s="169">
        <v>34</v>
      </c>
      <c r="T129" s="169" t="s">
        <v>1431</v>
      </c>
      <c r="U129" s="169">
        <v>12</v>
      </c>
      <c r="V129" s="169">
        <v>2722002</v>
      </c>
      <c r="W129" s="169">
        <v>0</v>
      </c>
      <c r="X129" s="169" t="s">
        <v>1406</v>
      </c>
      <c r="Z129" s="169" t="s">
        <v>32</v>
      </c>
      <c r="AA129" s="171">
        <v>46302</v>
      </c>
      <c r="AB129" s="169">
        <v>27</v>
      </c>
      <c r="AC129" s="169">
        <v>22002</v>
      </c>
      <c r="AD129" s="169">
        <v>130</v>
      </c>
      <c r="AE129" s="169" t="s">
        <v>1401</v>
      </c>
      <c r="AF129" s="169">
        <v>130</v>
      </c>
      <c r="AG129" s="169" t="s">
        <v>1402</v>
      </c>
      <c r="AH129" s="169" t="s">
        <v>36</v>
      </c>
      <c r="AI129" s="169" t="s">
        <v>501</v>
      </c>
      <c r="AJ129" s="169">
        <v>1726</v>
      </c>
      <c r="AK129" s="169" t="s">
        <v>1407</v>
      </c>
      <c r="AL129" s="169">
        <v>28029</v>
      </c>
      <c r="AM129" s="169" t="s">
        <v>1421</v>
      </c>
      <c r="AN129" s="169" t="s">
        <v>1441</v>
      </c>
      <c r="AO129" s="169">
        <v>28</v>
      </c>
      <c r="AP129" s="169" t="s">
        <v>1416</v>
      </c>
      <c r="AQ129" s="169">
        <v>0</v>
      </c>
      <c r="AR129" s="169" t="s">
        <v>1410</v>
      </c>
      <c r="AT129" s="169" t="s">
        <v>1417</v>
      </c>
      <c r="AU129" s="169" t="s">
        <v>1412</v>
      </c>
    </row>
    <row r="130" spans="1:47" x14ac:dyDescent="0.45">
      <c r="A130" s="169">
        <v>2713050013</v>
      </c>
      <c r="B130" s="169">
        <v>130</v>
      </c>
      <c r="C130" s="169" t="s">
        <v>1401</v>
      </c>
      <c r="D130" s="169">
        <v>130</v>
      </c>
      <c r="E130" s="169" t="s">
        <v>1402</v>
      </c>
      <c r="F130" s="169" t="s">
        <v>4584</v>
      </c>
      <c r="G130" s="169" t="s">
        <v>4585</v>
      </c>
      <c r="H130" s="169">
        <v>1</v>
      </c>
      <c r="I130" s="169" t="s">
        <v>4586</v>
      </c>
      <c r="J130" s="169" t="s">
        <v>3700</v>
      </c>
      <c r="K130" s="169">
        <v>2027</v>
      </c>
      <c r="L130" s="169">
        <v>2027</v>
      </c>
      <c r="M130" s="171">
        <v>46297</v>
      </c>
      <c r="N130" s="169" t="s">
        <v>36</v>
      </c>
      <c r="O130" s="169" t="s">
        <v>472</v>
      </c>
      <c r="P130" s="169">
        <v>1043</v>
      </c>
      <c r="Q130" s="169" t="s">
        <v>1404</v>
      </c>
      <c r="R130" s="169">
        <v>2</v>
      </c>
      <c r="S130" s="169">
        <v>6</v>
      </c>
      <c r="T130" s="169" t="s">
        <v>1405</v>
      </c>
      <c r="U130" s="169">
        <v>5</v>
      </c>
      <c r="V130" s="169">
        <v>2722007</v>
      </c>
      <c r="W130" s="169">
        <v>0</v>
      </c>
      <c r="X130" s="169" t="s">
        <v>1406</v>
      </c>
      <c r="Z130" s="169" t="s">
        <v>32</v>
      </c>
      <c r="AA130" s="171">
        <v>46311</v>
      </c>
      <c r="AB130" s="169">
        <v>27</v>
      </c>
      <c r="AC130" s="169">
        <v>22007</v>
      </c>
      <c r="AD130" s="169">
        <v>130</v>
      </c>
      <c r="AE130" s="169" t="s">
        <v>1401</v>
      </c>
      <c r="AF130" s="169">
        <v>130</v>
      </c>
      <c r="AG130" s="169" t="s">
        <v>1402</v>
      </c>
      <c r="AH130" s="169" t="s">
        <v>36</v>
      </c>
      <c r="AI130" s="169" t="s">
        <v>472</v>
      </c>
      <c r="AJ130" s="169">
        <v>1043</v>
      </c>
      <c r="AK130" s="169" t="s">
        <v>1407</v>
      </c>
      <c r="AL130" s="169">
        <v>22097</v>
      </c>
      <c r="AM130" s="169" t="s">
        <v>1418</v>
      </c>
      <c r="AN130" s="169" t="s">
        <v>4587</v>
      </c>
      <c r="AO130" s="169">
        <v>22</v>
      </c>
      <c r="AP130" s="169" t="s">
        <v>3702</v>
      </c>
      <c r="AQ130" s="169">
        <v>0</v>
      </c>
      <c r="AR130" s="169" t="s">
        <v>1410</v>
      </c>
      <c r="AT130" s="169" t="s">
        <v>1417</v>
      </c>
      <c r="AU130" s="169" t="s">
        <v>1412</v>
      </c>
    </row>
    <row r="131" spans="1:47" x14ac:dyDescent="0.45">
      <c r="A131" s="169">
        <v>2713050014</v>
      </c>
      <c r="B131" s="169">
        <v>130</v>
      </c>
      <c r="C131" s="169" t="s">
        <v>1401</v>
      </c>
      <c r="D131" s="169">
        <v>130</v>
      </c>
      <c r="E131" s="169" t="s">
        <v>1402</v>
      </c>
      <c r="F131" s="169" t="s">
        <v>4588</v>
      </c>
      <c r="G131" s="169" t="s">
        <v>4589</v>
      </c>
      <c r="H131" s="169">
        <v>1</v>
      </c>
      <c r="I131" s="169" t="s">
        <v>3535</v>
      </c>
      <c r="J131" s="169" t="s">
        <v>1403</v>
      </c>
      <c r="K131" s="169">
        <v>2027</v>
      </c>
      <c r="L131" s="169">
        <v>2027</v>
      </c>
      <c r="M131" s="171">
        <v>46279</v>
      </c>
      <c r="N131" s="169" t="s">
        <v>36</v>
      </c>
      <c r="O131" s="169" t="s">
        <v>501</v>
      </c>
      <c r="P131" s="169">
        <v>1726</v>
      </c>
      <c r="Q131" s="169" t="s">
        <v>1430</v>
      </c>
      <c r="R131" s="169">
        <v>2</v>
      </c>
      <c r="S131" s="169">
        <v>34</v>
      </c>
      <c r="T131" s="169" t="s">
        <v>1431</v>
      </c>
      <c r="U131" s="169">
        <v>12</v>
      </c>
      <c r="V131" s="169">
        <v>0</v>
      </c>
      <c r="W131" s="169">
        <v>0</v>
      </c>
      <c r="X131" s="169" t="s">
        <v>1406</v>
      </c>
      <c r="Z131" s="169" t="s">
        <v>32</v>
      </c>
      <c r="AA131" s="169"/>
      <c r="AB131" s="169">
        <v>0</v>
      </c>
      <c r="AC131" s="169">
        <v>0</v>
      </c>
      <c r="AD131" s="169">
        <v>0</v>
      </c>
      <c r="AE131" s="169" t="s">
        <v>1446</v>
      </c>
      <c r="AG131" s="169" t="s">
        <v>1446</v>
      </c>
      <c r="AJ131" s="169">
        <v>0</v>
      </c>
      <c r="AK131" s="169" t="s">
        <v>1407</v>
      </c>
      <c r="AL131" s="169">
        <v>28168</v>
      </c>
      <c r="AM131" s="169" t="s">
        <v>1418</v>
      </c>
      <c r="AN131" s="169" t="s">
        <v>1475</v>
      </c>
      <c r="AO131" s="169">
        <v>28</v>
      </c>
      <c r="AP131" s="169" t="s">
        <v>1416</v>
      </c>
      <c r="AQ131" s="169">
        <v>0</v>
      </c>
      <c r="AR131" s="169" t="s">
        <v>1410</v>
      </c>
      <c r="AT131" s="169" t="s">
        <v>1417</v>
      </c>
      <c r="AU131" s="169" t="s">
        <v>1412</v>
      </c>
    </row>
    <row r="132" spans="1:47" x14ac:dyDescent="0.45">
      <c r="A132" s="169">
        <v>2713050015</v>
      </c>
      <c r="B132" s="169">
        <v>130</v>
      </c>
      <c r="C132" s="169" t="s">
        <v>1401</v>
      </c>
      <c r="D132" s="169">
        <v>130</v>
      </c>
      <c r="E132" s="169" t="s">
        <v>1402</v>
      </c>
      <c r="F132" s="169" t="s">
        <v>4590</v>
      </c>
      <c r="G132" s="169" t="s">
        <v>4591</v>
      </c>
      <c r="H132" s="169">
        <v>2</v>
      </c>
      <c r="I132" s="169" t="s">
        <v>3329</v>
      </c>
      <c r="J132" s="169" t="s">
        <v>1403</v>
      </c>
      <c r="K132" s="169">
        <v>2027</v>
      </c>
      <c r="L132" s="169">
        <v>2027</v>
      </c>
      <c r="M132" s="171">
        <v>46279</v>
      </c>
      <c r="N132" s="169" t="s">
        <v>36</v>
      </c>
      <c r="O132" s="169" t="s">
        <v>501</v>
      </c>
      <c r="P132" s="169">
        <v>1726</v>
      </c>
      <c r="Q132" s="169" t="s">
        <v>1430</v>
      </c>
      <c r="R132" s="169">
        <v>2</v>
      </c>
      <c r="S132" s="169">
        <v>34</v>
      </c>
      <c r="T132" s="169" t="s">
        <v>1431</v>
      </c>
      <c r="U132" s="169">
        <v>12</v>
      </c>
      <c r="V132" s="169">
        <v>0</v>
      </c>
      <c r="W132" s="169">
        <v>0</v>
      </c>
      <c r="X132" s="169" t="s">
        <v>1406</v>
      </c>
      <c r="Z132" s="169" t="s">
        <v>32</v>
      </c>
      <c r="AA132" s="169"/>
      <c r="AB132" s="169">
        <v>0</v>
      </c>
      <c r="AC132" s="169">
        <v>0</v>
      </c>
      <c r="AD132" s="169">
        <v>0</v>
      </c>
      <c r="AE132" s="169" t="s">
        <v>1446</v>
      </c>
      <c r="AG132" s="169" t="s">
        <v>1446</v>
      </c>
      <c r="AJ132" s="169">
        <v>0</v>
      </c>
      <c r="AK132" s="169" t="s">
        <v>1407</v>
      </c>
      <c r="AL132" s="169">
        <v>28168</v>
      </c>
      <c r="AM132" s="169" t="s">
        <v>1418</v>
      </c>
      <c r="AN132" s="169" t="s">
        <v>1475</v>
      </c>
      <c r="AO132" s="169">
        <v>28</v>
      </c>
      <c r="AP132" s="169" t="s">
        <v>1416</v>
      </c>
      <c r="AQ132" s="169">
        <v>0</v>
      </c>
      <c r="AR132" s="169" t="s">
        <v>1410</v>
      </c>
      <c r="AT132" s="169" t="s">
        <v>1417</v>
      </c>
      <c r="AU132" s="169" t="s">
        <v>1412</v>
      </c>
    </row>
    <row r="133" spans="1:47" x14ac:dyDescent="0.45">
      <c r="A133" s="169">
        <v>2713050018</v>
      </c>
      <c r="B133" s="169">
        <v>130</v>
      </c>
      <c r="C133" s="169" t="s">
        <v>1401</v>
      </c>
      <c r="D133" s="169">
        <v>130</v>
      </c>
      <c r="E133" s="169" t="s">
        <v>1402</v>
      </c>
      <c r="F133" s="169" t="s">
        <v>4592</v>
      </c>
      <c r="G133" s="169" t="s">
        <v>4593</v>
      </c>
      <c r="H133" s="169">
        <v>1</v>
      </c>
      <c r="I133" s="169" t="s">
        <v>4594</v>
      </c>
      <c r="J133" s="169" t="s">
        <v>1403</v>
      </c>
      <c r="K133" s="169">
        <v>2027</v>
      </c>
      <c r="L133" s="169">
        <v>2027</v>
      </c>
      <c r="M133" s="171">
        <v>46268</v>
      </c>
      <c r="N133" s="169" t="s">
        <v>36</v>
      </c>
      <c r="O133" s="169" t="s">
        <v>485</v>
      </c>
      <c r="P133" s="169">
        <v>1131</v>
      </c>
      <c r="Q133" s="169" t="s">
        <v>1413</v>
      </c>
      <c r="R133" s="169">
        <v>3</v>
      </c>
      <c r="S133" s="169">
        <v>6</v>
      </c>
      <c r="T133" s="169" t="s">
        <v>1405</v>
      </c>
      <c r="U133" s="169">
        <v>5</v>
      </c>
      <c r="V133" s="169">
        <v>2722004</v>
      </c>
      <c r="W133" s="169">
        <v>0</v>
      </c>
      <c r="X133" s="169" t="s">
        <v>1406</v>
      </c>
      <c r="Z133" s="169" t="s">
        <v>32</v>
      </c>
      <c r="AA133" s="171">
        <v>46308</v>
      </c>
      <c r="AB133" s="169">
        <v>27</v>
      </c>
      <c r="AC133" s="169">
        <v>22004</v>
      </c>
      <c r="AD133" s="169">
        <v>130</v>
      </c>
      <c r="AE133" s="169" t="s">
        <v>1401</v>
      </c>
      <c r="AF133" s="169">
        <v>130</v>
      </c>
      <c r="AG133" s="169" t="s">
        <v>1402</v>
      </c>
      <c r="AH133" s="169" t="s">
        <v>36</v>
      </c>
      <c r="AI133" s="169" t="s">
        <v>485</v>
      </c>
      <c r="AJ133" s="169">
        <v>1131</v>
      </c>
      <c r="AK133" s="169" t="s">
        <v>1407</v>
      </c>
      <c r="AL133" s="169">
        <v>1347</v>
      </c>
      <c r="AM133" s="169" t="s">
        <v>1421</v>
      </c>
      <c r="AN133" s="169" t="s">
        <v>1445</v>
      </c>
      <c r="AO133" s="169">
        <v>1</v>
      </c>
      <c r="AP133" s="169" t="s">
        <v>1443</v>
      </c>
      <c r="AQ133" s="169">
        <v>0</v>
      </c>
      <c r="AR133" s="169" t="s">
        <v>1410</v>
      </c>
      <c r="AT133" s="169" t="s">
        <v>1417</v>
      </c>
      <c r="AU133" s="169" t="s">
        <v>1412</v>
      </c>
    </row>
    <row r="134" spans="1:47" x14ac:dyDescent="0.45">
      <c r="A134" s="169">
        <v>2713050019</v>
      </c>
      <c r="B134" s="169">
        <v>130</v>
      </c>
      <c r="C134" s="169" t="s">
        <v>1401</v>
      </c>
      <c r="D134" s="169">
        <v>130</v>
      </c>
      <c r="E134" s="169" t="s">
        <v>1402</v>
      </c>
      <c r="F134" s="169" t="s">
        <v>4595</v>
      </c>
      <c r="G134" s="169" t="s">
        <v>4596</v>
      </c>
      <c r="H134" s="169">
        <v>1</v>
      </c>
      <c r="I134" s="169" t="s">
        <v>669</v>
      </c>
      <c r="J134" s="169" t="s">
        <v>1403</v>
      </c>
      <c r="K134" s="169">
        <v>2027</v>
      </c>
      <c r="L134" s="169">
        <v>2027</v>
      </c>
      <c r="M134" s="171">
        <v>46266</v>
      </c>
      <c r="N134" s="169" t="s">
        <v>36</v>
      </c>
      <c r="O134" s="169" t="s">
        <v>472</v>
      </c>
      <c r="P134" s="169">
        <v>1043</v>
      </c>
      <c r="Q134" s="169" t="s">
        <v>1404</v>
      </c>
      <c r="R134" s="169">
        <v>2</v>
      </c>
      <c r="S134" s="169">
        <v>6</v>
      </c>
      <c r="T134" s="169" t="s">
        <v>1405</v>
      </c>
      <c r="U134" s="169">
        <v>5</v>
      </c>
      <c r="V134" s="169">
        <v>2722003</v>
      </c>
      <c r="W134" s="169">
        <v>0</v>
      </c>
      <c r="X134" s="169" t="s">
        <v>1406</v>
      </c>
      <c r="Z134" s="169" t="s">
        <v>32</v>
      </c>
      <c r="AA134" s="171">
        <v>46307</v>
      </c>
      <c r="AB134" s="169">
        <v>27</v>
      </c>
      <c r="AC134" s="169">
        <v>22003</v>
      </c>
      <c r="AD134" s="169">
        <v>130</v>
      </c>
      <c r="AE134" s="169" t="s">
        <v>1401</v>
      </c>
      <c r="AF134" s="169">
        <v>130</v>
      </c>
      <c r="AG134" s="169" t="s">
        <v>1402</v>
      </c>
      <c r="AH134" s="169" t="s">
        <v>36</v>
      </c>
      <c r="AI134" s="169" t="s">
        <v>472</v>
      </c>
      <c r="AJ134" s="169">
        <v>1043</v>
      </c>
      <c r="AK134" s="169" t="s">
        <v>1407</v>
      </c>
      <c r="AL134" s="169">
        <v>46118</v>
      </c>
      <c r="AM134" s="169" t="s">
        <v>1421</v>
      </c>
      <c r="AN134" s="169" t="s">
        <v>1432</v>
      </c>
      <c r="AO134" s="169">
        <v>46</v>
      </c>
      <c r="AP134" s="169" t="s">
        <v>1433</v>
      </c>
      <c r="AQ134" s="169">
        <v>0</v>
      </c>
      <c r="AR134" s="169" t="s">
        <v>1410</v>
      </c>
      <c r="AT134" s="169" t="s">
        <v>1417</v>
      </c>
      <c r="AU134" s="169" t="s">
        <v>1412</v>
      </c>
    </row>
    <row r="135" spans="1:47" x14ac:dyDescent="0.45">
      <c r="A135" s="169">
        <v>2713050021</v>
      </c>
      <c r="B135" s="169">
        <v>130</v>
      </c>
      <c r="C135" s="169" t="s">
        <v>1401</v>
      </c>
      <c r="D135" s="169">
        <v>130</v>
      </c>
      <c r="E135" s="169" t="s">
        <v>1402</v>
      </c>
      <c r="F135" s="169" t="s">
        <v>4597</v>
      </c>
      <c r="G135" s="169" t="s">
        <v>4598</v>
      </c>
      <c r="H135" s="169">
        <v>1</v>
      </c>
      <c r="I135" s="169" t="s">
        <v>4599</v>
      </c>
      <c r="J135" s="169" t="s">
        <v>1403</v>
      </c>
      <c r="K135" s="169">
        <v>2027</v>
      </c>
      <c r="L135" s="169">
        <v>2027</v>
      </c>
      <c r="M135" s="171">
        <v>46279</v>
      </c>
      <c r="N135" s="169" t="s">
        <v>36</v>
      </c>
      <c r="O135" s="169" t="s">
        <v>472</v>
      </c>
      <c r="P135" s="169">
        <v>1043</v>
      </c>
      <c r="Q135" s="169" t="s">
        <v>1404</v>
      </c>
      <c r="R135" s="169">
        <v>2</v>
      </c>
      <c r="S135" s="169">
        <v>6</v>
      </c>
      <c r="T135" s="169" t="s">
        <v>1405</v>
      </c>
      <c r="U135" s="169">
        <v>5</v>
      </c>
      <c r="V135" s="169">
        <v>0</v>
      </c>
      <c r="W135" s="169">
        <v>0</v>
      </c>
      <c r="X135" s="169" t="s">
        <v>1406</v>
      </c>
      <c r="Z135" s="169" t="s">
        <v>32</v>
      </c>
      <c r="AA135" s="169"/>
      <c r="AB135" s="169">
        <v>0</v>
      </c>
      <c r="AC135" s="169">
        <v>0</v>
      </c>
      <c r="AD135" s="169">
        <v>0</v>
      </c>
      <c r="AE135" s="169" t="s">
        <v>1446</v>
      </c>
      <c r="AG135" s="169" t="s">
        <v>1446</v>
      </c>
      <c r="AJ135" s="169">
        <v>0</v>
      </c>
      <c r="AK135" s="169" t="s">
        <v>1407</v>
      </c>
      <c r="AL135" s="169">
        <v>33136</v>
      </c>
      <c r="AM135" s="169" t="s">
        <v>1421</v>
      </c>
      <c r="AN135" s="169" t="s">
        <v>2829</v>
      </c>
      <c r="AO135" s="169">
        <v>33</v>
      </c>
      <c r="AP135" s="169" t="s">
        <v>1427</v>
      </c>
      <c r="AQ135" s="169">
        <v>0</v>
      </c>
      <c r="AR135" s="169" t="s">
        <v>1410</v>
      </c>
      <c r="AT135" s="169" t="s">
        <v>1417</v>
      </c>
      <c r="AU135" s="169" t="s">
        <v>1412</v>
      </c>
    </row>
    <row r="136" spans="1:47" x14ac:dyDescent="0.45">
      <c r="A136" s="169">
        <v>2713050022</v>
      </c>
      <c r="B136" s="169">
        <v>130</v>
      </c>
      <c r="C136" s="169" t="s">
        <v>1401</v>
      </c>
      <c r="D136" s="169">
        <v>130</v>
      </c>
      <c r="E136" s="169" t="s">
        <v>1402</v>
      </c>
      <c r="F136" s="169" t="s">
        <v>4600</v>
      </c>
      <c r="G136" s="169" t="s">
        <v>4601</v>
      </c>
      <c r="H136" s="169">
        <v>1</v>
      </c>
      <c r="I136" s="169" t="s">
        <v>4602</v>
      </c>
      <c r="J136" s="169" t="s">
        <v>1403</v>
      </c>
      <c r="K136" s="169">
        <v>2027</v>
      </c>
      <c r="L136" s="169">
        <v>2027</v>
      </c>
      <c r="M136" s="171">
        <v>46322</v>
      </c>
      <c r="N136" s="169" t="s">
        <v>36</v>
      </c>
      <c r="O136" s="169" t="s">
        <v>472</v>
      </c>
      <c r="P136" s="169">
        <v>1043</v>
      </c>
      <c r="Q136" s="169" t="s">
        <v>1404</v>
      </c>
      <c r="R136" s="169">
        <v>2</v>
      </c>
      <c r="S136" s="169">
        <v>6</v>
      </c>
      <c r="T136" s="169" t="s">
        <v>1405</v>
      </c>
      <c r="U136" s="169">
        <v>5</v>
      </c>
      <c r="V136" s="169">
        <v>0</v>
      </c>
      <c r="W136" s="169">
        <v>0</v>
      </c>
      <c r="X136" s="169" t="s">
        <v>1406</v>
      </c>
      <c r="Z136" s="169" t="s">
        <v>32</v>
      </c>
      <c r="AA136" s="169"/>
      <c r="AB136" s="169">
        <v>0</v>
      </c>
      <c r="AC136" s="169">
        <v>0</v>
      </c>
      <c r="AD136" s="169">
        <v>0</v>
      </c>
      <c r="AE136" s="169" t="s">
        <v>1446</v>
      </c>
      <c r="AG136" s="169" t="s">
        <v>1446</v>
      </c>
      <c r="AJ136" s="169">
        <v>0</v>
      </c>
      <c r="AK136" s="169" t="s">
        <v>1407</v>
      </c>
      <c r="AL136" s="169">
        <v>28247</v>
      </c>
      <c r="AM136" s="169" t="s">
        <v>1418</v>
      </c>
      <c r="AN136" s="169" t="s">
        <v>1419</v>
      </c>
      <c r="AO136" s="169">
        <v>28</v>
      </c>
      <c r="AP136" s="169" t="s">
        <v>1416</v>
      </c>
      <c r="AQ136" s="169">
        <v>0</v>
      </c>
      <c r="AT136" s="169" t="s">
        <v>1417</v>
      </c>
      <c r="AU136" s="169" t="s">
        <v>1412</v>
      </c>
    </row>
    <row r="137" spans="1:47" x14ac:dyDescent="0.45">
      <c r="A137" s="169">
        <v>2713050024</v>
      </c>
      <c r="B137" s="169">
        <v>130</v>
      </c>
      <c r="C137" s="169" t="s">
        <v>1401</v>
      </c>
      <c r="D137" s="169">
        <v>130</v>
      </c>
      <c r="E137" s="169" t="s">
        <v>1402</v>
      </c>
      <c r="F137" s="169" t="s">
        <v>4603</v>
      </c>
      <c r="G137" s="169" t="s">
        <v>4604</v>
      </c>
      <c r="H137" s="169">
        <v>2</v>
      </c>
      <c r="I137" s="169" t="s">
        <v>125</v>
      </c>
      <c r="J137" s="169" t="s">
        <v>1403</v>
      </c>
      <c r="K137" s="169">
        <v>2027</v>
      </c>
      <c r="L137" s="169">
        <v>2027</v>
      </c>
      <c r="M137" s="171">
        <v>46297</v>
      </c>
      <c r="N137" s="169" t="s">
        <v>36</v>
      </c>
      <c r="O137" s="169" t="s">
        <v>501</v>
      </c>
      <c r="P137" s="169">
        <v>1726</v>
      </c>
      <c r="Q137" s="169" t="s">
        <v>1430</v>
      </c>
      <c r="R137" s="169">
        <v>2</v>
      </c>
      <c r="S137" s="169">
        <v>34</v>
      </c>
      <c r="T137" s="169" t="s">
        <v>1431</v>
      </c>
      <c r="U137" s="169">
        <v>12</v>
      </c>
      <c r="V137" s="169">
        <v>0</v>
      </c>
      <c r="W137" s="169">
        <v>0</v>
      </c>
      <c r="X137" s="169" t="s">
        <v>1406</v>
      </c>
      <c r="Z137" s="169" t="s">
        <v>32</v>
      </c>
      <c r="AA137" s="169"/>
      <c r="AB137" s="169">
        <v>0</v>
      </c>
      <c r="AC137" s="169">
        <v>0</v>
      </c>
      <c r="AD137" s="169">
        <v>0</v>
      </c>
      <c r="AE137" s="169" t="s">
        <v>1446</v>
      </c>
      <c r="AG137" s="169" t="s">
        <v>1446</v>
      </c>
      <c r="AJ137" s="169">
        <v>0</v>
      </c>
      <c r="AK137" s="169" t="s">
        <v>1407</v>
      </c>
      <c r="AL137" s="169">
        <v>28269</v>
      </c>
      <c r="AM137" s="169" t="s">
        <v>1421</v>
      </c>
      <c r="AN137" s="169" t="s">
        <v>1450</v>
      </c>
      <c r="AO137" s="169">
        <v>28</v>
      </c>
      <c r="AP137" s="169" t="s">
        <v>1416</v>
      </c>
      <c r="AQ137" s="169">
        <v>0</v>
      </c>
      <c r="AR137" s="169" t="s">
        <v>1410</v>
      </c>
      <c r="AT137" s="169" t="s">
        <v>1417</v>
      </c>
      <c r="AU137" s="169" t="s">
        <v>1412</v>
      </c>
    </row>
    <row r="138" spans="1:47" x14ac:dyDescent="0.45">
      <c r="A138" s="169">
        <v>2713050027</v>
      </c>
      <c r="B138" s="169">
        <v>130</v>
      </c>
      <c r="C138" s="169" t="s">
        <v>1401</v>
      </c>
      <c r="D138" s="169">
        <v>130</v>
      </c>
      <c r="E138" s="169" t="s">
        <v>1402</v>
      </c>
      <c r="F138" s="169" t="s">
        <v>4605</v>
      </c>
      <c r="G138" s="169" t="s">
        <v>4606</v>
      </c>
      <c r="H138" s="169">
        <v>1</v>
      </c>
      <c r="I138" s="169" t="s">
        <v>4607</v>
      </c>
      <c r="J138" s="169" t="s">
        <v>1403</v>
      </c>
      <c r="K138" s="169">
        <v>2027</v>
      </c>
      <c r="L138" s="169">
        <v>2027</v>
      </c>
      <c r="M138" s="171">
        <v>46294</v>
      </c>
      <c r="N138" s="169" t="s">
        <v>36</v>
      </c>
      <c r="O138" s="169" t="s">
        <v>472</v>
      </c>
      <c r="P138" s="169">
        <v>1043</v>
      </c>
      <c r="Q138" s="169" t="s">
        <v>1404</v>
      </c>
      <c r="R138" s="169">
        <v>2</v>
      </c>
      <c r="S138" s="169">
        <v>6</v>
      </c>
      <c r="T138" s="169" t="s">
        <v>1405</v>
      </c>
      <c r="U138" s="169">
        <v>5</v>
      </c>
      <c r="V138" s="169">
        <v>0</v>
      </c>
      <c r="W138" s="169">
        <v>0</v>
      </c>
      <c r="X138" s="169" t="s">
        <v>1406</v>
      </c>
      <c r="Z138" s="169" t="s">
        <v>32</v>
      </c>
      <c r="AA138" s="169"/>
      <c r="AB138" s="169">
        <v>0</v>
      </c>
      <c r="AC138" s="169">
        <v>0</v>
      </c>
      <c r="AD138" s="169">
        <v>0</v>
      </c>
      <c r="AE138" s="169" t="s">
        <v>1446</v>
      </c>
      <c r="AG138" s="169" t="s">
        <v>1446</v>
      </c>
      <c r="AJ138" s="169">
        <v>0</v>
      </c>
      <c r="AK138" s="169" t="s">
        <v>1410</v>
      </c>
      <c r="AL138" s="169">
        <v>28168</v>
      </c>
      <c r="AM138" s="169" t="s">
        <v>1418</v>
      </c>
      <c r="AN138" s="169" t="s">
        <v>1475</v>
      </c>
      <c r="AO138" s="169">
        <v>28</v>
      </c>
      <c r="AP138" s="169" t="s">
        <v>1416</v>
      </c>
      <c r="AQ138" s="169">
        <v>0</v>
      </c>
      <c r="AR138" s="169" t="s">
        <v>1410</v>
      </c>
      <c r="AT138" s="169" t="s">
        <v>1417</v>
      </c>
      <c r="AU138" s="169" t="s">
        <v>1412</v>
      </c>
    </row>
    <row r="139" spans="1:47" x14ac:dyDescent="0.45">
      <c r="A139" s="169">
        <v>2713050029</v>
      </c>
      <c r="B139" s="169">
        <v>130</v>
      </c>
      <c r="C139" s="169" t="s">
        <v>1401</v>
      </c>
      <c r="D139" s="169">
        <v>130</v>
      </c>
      <c r="E139" s="169" t="s">
        <v>1402</v>
      </c>
      <c r="F139" s="169" t="s">
        <v>4608</v>
      </c>
      <c r="G139" s="169" t="s">
        <v>4609</v>
      </c>
      <c r="H139" s="169">
        <v>1</v>
      </c>
      <c r="I139" s="169" t="s">
        <v>1575</v>
      </c>
      <c r="J139" s="169" t="s">
        <v>1403</v>
      </c>
      <c r="K139" s="169">
        <v>2027</v>
      </c>
      <c r="L139" s="169">
        <v>2027</v>
      </c>
      <c r="M139" s="171">
        <v>46294</v>
      </c>
      <c r="N139" s="169" t="s">
        <v>36</v>
      </c>
      <c r="O139" s="169" t="s">
        <v>485</v>
      </c>
      <c r="P139" s="169">
        <v>1131</v>
      </c>
      <c r="Q139" s="169" t="s">
        <v>1413</v>
      </c>
      <c r="R139" s="169">
        <v>3</v>
      </c>
      <c r="S139" s="169">
        <v>6</v>
      </c>
      <c r="T139" s="169" t="s">
        <v>1405</v>
      </c>
      <c r="U139" s="169">
        <v>5</v>
      </c>
      <c r="V139" s="169">
        <v>0</v>
      </c>
      <c r="W139" s="169">
        <v>0</v>
      </c>
      <c r="X139" s="169" t="s">
        <v>1406</v>
      </c>
      <c r="Z139" s="169" t="s">
        <v>32</v>
      </c>
      <c r="AA139" s="169"/>
      <c r="AB139" s="169">
        <v>0</v>
      </c>
      <c r="AC139" s="169">
        <v>0</v>
      </c>
      <c r="AD139" s="169">
        <v>0</v>
      </c>
      <c r="AE139" s="169" t="s">
        <v>1446</v>
      </c>
      <c r="AG139" s="169" t="s">
        <v>1446</v>
      </c>
      <c r="AJ139" s="169">
        <v>0</v>
      </c>
      <c r="AK139" s="169" t="s">
        <v>1407</v>
      </c>
      <c r="AL139" s="169">
        <v>28185</v>
      </c>
      <c r="AM139" s="169" t="s">
        <v>1418</v>
      </c>
      <c r="AN139" s="169" t="s">
        <v>1438</v>
      </c>
      <c r="AO139" s="169">
        <v>28</v>
      </c>
      <c r="AP139" s="169" t="s">
        <v>1416</v>
      </c>
      <c r="AQ139" s="169">
        <v>0</v>
      </c>
      <c r="AR139" s="169" t="s">
        <v>1410</v>
      </c>
      <c r="AT139" s="169" t="s">
        <v>1417</v>
      </c>
      <c r="AU139" s="169" t="s">
        <v>1412</v>
      </c>
    </row>
    <row r="140" spans="1:47" x14ac:dyDescent="0.45">
      <c r="A140" s="169">
        <v>2713050030</v>
      </c>
      <c r="B140" s="169">
        <v>130</v>
      </c>
      <c r="C140" s="169" t="s">
        <v>1401</v>
      </c>
      <c r="D140" s="169">
        <v>130</v>
      </c>
      <c r="E140" s="169" t="s">
        <v>1402</v>
      </c>
      <c r="F140" s="169" t="s">
        <v>4610</v>
      </c>
      <c r="G140" s="169" t="s">
        <v>4611</v>
      </c>
      <c r="H140" s="169">
        <v>1</v>
      </c>
      <c r="I140" s="169" t="s">
        <v>1363</v>
      </c>
      <c r="J140" s="169" t="s">
        <v>1403</v>
      </c>
      <c r="K140" s="169">
        <v>2027</v>
      </c>
      <c r="L140" s="169">
        <v>2027</v>
      </c>
      <c r="M140" s="171">
        <v>46303</v>
      </c>
      <c r="N140" s="169" t="s">
        <v>36</v>
      </c>
      <c r="O140" s="169" t="s">
        <v>485</v>
      </c>
      <c r="P140" s="169">
        <v>1131</v>
      </c>
      <c r="Q140" s="169" t="s">
        <v>1413</v>
      </c>
      <c r="R140" s="169">
        <v>3</v>
      </c>
      <c r="S140" s="169">
        <v>6</v>
      </c>
      <c r="T140" s="169" t="s">
        <v>1405</v>
      </c>
      <c r="U140" s="169">
        <v>5</v>
      </c>
      <c r="V140" s="169">
        <v>0</v>
      </c>
      <c r="W140" s="169">
        <v>0</v>
      </c>
      <c r="X140" s="169" t="s">
        <v>1406</v>
      </c>
      <c r="Z140" s="169" t="s">
        <v>32</v>
      </c>
      <c r="AA140" s="169"/>
      <c r="AB140" s="169">
        <v>0</v>
      </c>
      <c r="AC140" s="169">
        <v>0</v>
      </c>
      <c r="AD140" s="169">
        <v>0</v>
      </c>
      <c r="AE140" s="169" t="s">
        <v>1446</v>
      </c>
      <c r="AG140" s="169" t="s">
        <v>1446</v>
      </c>
      <c r="AJ140" s="169">
        <v>0</v>
      </c>
      <c r="AK140" s="169" t="s">
        <v>1407</v>
      </c>
      <c r="AL140" s="169">
        <v>46118</v>
      </c>
      <c r="AM140" s="169" t="s">
        <v>1421</v>
      </c>
      <c r="AN140" s="169" t="s">
        <v>1432</v>
      </c>
      <c r="AO140" s="169">
        <v>46</v>
      </c>
      <c r="AP140" s="169" t="s">
        <v>1433</v>
      </c>
      <c r="AQ140" s="169">
        <v>0</v>
      </c>
      <c r="AR140" s="169" t="s">
        <v>1410</v>
      </c>
      <c r="AT140" s="169" t="s">
        <v>1417</v>
      </c>
      <c r="AU140" s="169" t="s">
        <v>1412</v>
      </c>
    </row>
    <row r="141" spans="1:47" x14ac:dyDescent="0.45">
      <c r="A141" s="169">
        <v>2713050031</v>
      </c>
      <c r="B141" s="169">
        <v>130</v>
      </c>
      <c r="C141" s="169" t="s">
        <v>1401</v>
      </c>
      <c r="D141" s="169">
        <v>130</v>
      </c>
      <c r="E141" s="169" t="s">
        <v>1402</v>
      </c>
      <c r="F141" s="169" t="s">
        <v>4612</v>
      </c>
      <c r="G141" s="169" t="s">
        <v>4613</v>
      </c>
      <c r="H141" s="169">
        <v>1</v>
      </c>
      <c r="I141" s="169" t="s">
        <v>4614</v>
      </c>
      <c r="J141" s="169" t="s">
        <v>1590</v>
      </c>
      <c r="K141" s="169">
        <v>0</v>
      </c>
      <c r="L141" s="169">
        <v>2027</v>
      </c>
      <c r="M141" s="171">
        <v>46321</v>
      </c>
      <c r="N141" s="169" t="s">
        <v>36</v>
      </c>
      <c r="O141" s="169" t="s">
        <v>472</v>
      </c>
      <c r="P141" s="169">
        <v>1043</v>
      </c>
      <c r="Q141" s="169" t="s">
        <v>1404</v>
      </c>
      <c r="R141" s="169">
        <v>2</v>
      </c>
      <c r="S141" s="169">
        <v>6</v>
      </c>
      <c r="T141" s="169" t="s">
        <v>1405</v>
      </c>
      <c r="U141" s="169">
        <v>5</v>
      </c>
      <c r="V141" s="169">
        <v>0</v>
      </c>
      <c r="W141" s="169">
        <v>0</v>
      </c>
      <c r="X141" s="169" t="s">
        <v>1406</v>
      </c>
      <c r="Z141" s="169" t="s">
        <v>32</v>
      </c>
      <c r="AA141" s="169"/>
      <c r="AB141" s="169">
        <v>0</v>
      </c>
      <c r="AC141" s="169">
        <v>0</v>
      </c>
      <c r="AD141" s="169">
        <v>0</v>
      </c>
      <c r="AE141" s="169" t="s">
        <v>1446</v>
      </c>
      <c r="AG141" s="169" t="s">
        <v>1446</v>
      </c>
      <c r="AJ141" s="169">
        <v>0</v>
      </c>
      <c r="AK141" s="169" t="s">
        <v>1407</v>
      </c>
      <c r="AL141" s="169">
        <v>28095</v>
      </c>
      <c r="AM141" s="169" t="s">
        <v>1421</v>
      </c>
      <c r="AN141" s="169" t="s">
        <v>1435</v>
      </c>
      <c r="AO141" s="169">
        <v>28</v>
      </c>
      <c r="AP141" s="169" t="s">
        <v>1416</v>
      </c>
      <c r="AQ141" s="169">
        <v>0</v>
      </c>
      <c r="AR141" s="169" t="s">
        <v>1410</v>
      </c>
      <c r="AT141" s="169" t="s">
        <v>1411</v>
      </c>
      <c r="AU141" s="169" t="s">
        <v>1412</v>
      </c>
    </row>
    <row r="142" spans="1:47" x14ac:dyDescent="0.45">
      <c r="A142" s="169">
        <v>2713100001</v>
      </c>
      <c r="B142" s="169">
        <v>131</v>
      </c>
      <c r="C142" s="169" t="s">
        <v>1462</v>
      </c>
      <c r="D142" s="169">
        <v>130</v>
      </c>
      <c r="E142" s="169" t="s">
        <v>1402</v>
      </c>
      <c r="F142" s="169" t="s">
        <v>4615</v>
      </c>
      <c r="G142" s="169" t="s">
        <v>4616</v>
      </c>
      <c r="H142" s="169">
        <v>1</v>
      </c>
      <c r="I142" s="169" t="s">
        <v>4617</v>
      </c>
      <c r="J142" s="169" t="s">
        <v>1403</v>
      </c>
      <c r="K142" s="169">
        <v>2027</v>
      </c>
      <c r="L142" s="169">
        <v>2027</v>
      </c>
      <c r="M142" s="171">
        <v>46300</v>
      </c>
      <c r="N142" s="169" t="s">
        <v>36</v>
      </c>
      <c r="O142" s="169" t="s">
        <v>704</v>
      </c>
      <c r="P142" s="169">
        <v>428</v>
      </c>
      <c r="Q142" s="169" t="s">
        <v>1463</v>
      </c>
      <c r="R142" s="169">
        <v>2</v>
      </c>
      <c r="S142" s="169">
        <v>2</v>
      </c>
      <c r="T142" s="169" t="s">
        <v>1464</v>
      </c>
      <c r="U142" s="169">
        <v>1</v>
      </c>
      <c r="V142" s="169">
        <v>0</v>
      </c>
      <c r="W142" s="169">
        <v>0</v>
      </c>
      <c r="X142" s="169" t="s">
        <v>1406</v>
      </c>
      <c r="Z142" s="169" t="s">
        <v>4255</v>
      </c>
      <c r="AA142" s="169"/>
      <c r="AB142" s="169">
        <v>0</v>
      </c>
      <c r="AC142" s="169">
        <v>0</v>
      </c>
      <c r="AD142" s="169">
        <v>0</v>
      </c>
      <c r="AE142" s="169" t="s">
        <v>1446</v>
      </c>
      <c r="AG142" s="169" t="s">
        <v>1446</v>
      </c>
      <c r="AJ142" s="169">
        <v>0</v>
      </c>
      <c r="AK142" s="169" t="s">
        <v>1407</v>
      </c>
      <c r="AL142" s="169">
        <v>28106</v>
      </c>
      <c r="AM142" s="169" t="s">
        <v>1418</v>
      </c>
      <c r="AN142" s="169" t="s">
        <v>4618</v>
      </c>
      <c r="AO142" s="169">
        <v>28</v>
      </c>
      <c r="AP142" s="169" t="s">
        <v>1416</v>
      </c>
      <c r="AQ142" s="169">
        <v>0</v>
      </c>
      <c r="AR142" s="169" t="s">
        <v>1410</v>
      </c>
      <c r="AT142" s="169" t="s">
        <v>1417</v>
      </c>
      <c r="AU142" s="169" t="s">
        <v>1412</v>
      </c>
    </row>
    <row r="143" spans="1:47" x14ac:dyDescent="0.45">
      <c r="A143" s="169">
        <v>2713100002</v>
      </c>
      <c r="B143" s="169">
        <v>131</v>
      </c>
      <c r="C143" s="169" t="s">
        <v>1462</v>
      </c>
      <c r="D143" s="169">
        <v>130</v>
      </c>
      <c r="E143" s="169" t="s">
        <v>1402</v>
      </c>
      <c r="F143" s="169" t="s">
        <v>4619</v>
      </c>
      <c r="G143" s="169" t="s">
        <v>4620</v>
      </c>
      <c r="H143" s="169">
        <v>1</v>
      </c>
      <c r="I143" s="169" t="s">
        <v>4621</v>
      </c>
      <c r="J143" s="169" t="s">
        <v>1403</v>
      </c>
      <c r="K143" s="169">
        <v>2027</v>
      </c>
      <c r="L143" s="169">
        <v>2027</v>
      </c>
      <c r="M143" s="171">
        <v>46307</v>
      </c>
      <c r="N143" s="169" t="s">
        <v>36</v>
      </c>
      <c r="O143" s="169" t="s">
        <v>704</v>
      </c>
      <c r="P143" s="169">
        <v>852</v>
      </c>
      <c r="Q143" s="169" t="s">
        <v>1472</v>
      </c>
      <c r="R143" s="169">
        <v>2</v>
      </c>
      <c r="S143" s="169">
        <v>2</v>
      </c>
      <c r="T143" s="169" t="s">
        <v>1464</v>
      </c>
      <c r="U143" s="169">
        <v>1</v>
      </c>
      <c r="V143" s="169">
        <v>0</v>
      </c>
      <c r="W143" s="169">
        <v>0</v>
      </c>
      <c r="X143" s="169" t="s">
        <v>1406</v>
      </c>
      <c r="Z143" s="169" t="s">
        <v>1407</v>
      </c>
      <c r="AA143" s="169"/>
      <c r="AB143" s="169">
        <v>0</v>
      </c>
      <c r="AC143" s="169">
        <v>0</v>
      </c>
      <c r="AD143" s="169">
        <v>0</v>
      </c>
      <c r="AE143" s="169" t="s">
        <v>1446</v>
      </c>
      <c r="AG143" s="169" t="s">
        <v>1446</v>
      </c>
      <c r="AJ143" s="169">
        <v>0</v>
      </c>
      <c r="AK143" s="169" t="s">
        <v>1410</v>
      </c>
      <c r="AL143" s="169">
        <v>28205</v>
      </c>
      <c r="AM143" s="169" t="s">
        <v>1418</v>
      </c>
      <c r="AN143" s="169" t="s">
        <v>1436</v>
      </c>
      <c r="AO143" s="169">
        <v>28</v>
      </c>
      <c r="AP143" s="169" t="s">
        <v>1416</v>
      </c>
      <c r="AQ143" s="169">
        <v>0</v>
      </c>
      <c r="AR143" s="169" t="s">
        <v>1410</v>
      </c>
      <c r="AT143" s="169" t="s">
        <v>1417</v>
      </c>
      <c r="AU143" s="169" t="s">
        <v>1412</v>
      </c>
    </row>
    <row r="144" spans="1:47" x14ac:dyDescent="0.45">
      <c r="A144" s="169">
        <v>2713100003</v>
      </c>
      <c r="B144" s="169">
        <v>131</v>
      </c>
      <c r="C144" s="169" t="s">
        <v>1462</v>
      </c>
      <c r="D144" s="169">
        <v>130</v>
      </c>
      <c r="E144" s="169" t="s">
        <v>1402</v>
      </c>
      <c r="F144" s="169" t="s">
        <v>4622</v>
      </c>
      <c r="G144" s="169" t="s">
        <v>4623</v>
      </c>
      <c r="H144" s="169">
        <v>1</v>
      </c>
      <c r="I144" s="169" t="s">
        <v>2359</v>
      </c>
      <c r="J144" s="169" t="s">
        <v>1403</v>
      </c>
      <c r="K144" s="169">
        <v>0</v>
      </c>
      <c r="L144" s="169">
        <v>2027</v>
      </c>
      <c r="M144" s="171">
        <v>46313</v>
      </c>
      <c r="N144" s="169" t="s">
        <v>36</v>
      </c>
      <c r="O144" s="169" t="s">
        <v>741</v>
      </c>
      <c r="P144" s="169">
        <v>1680</v>
      </c>
      <c r="Q144" s="169" t="s">
        <v>2836</v>
      </c>
      <c r="R144" s="169">
        <v>2</v>
      </c>
      <c r="S144" s="169">
        <v>10</v>
      </c>
      <c r="T144" s="169" t="s">
        <v>1490</v>
      </c>
      <c r="U144" s="169">
        <v>9</v>
      </c>
      <c r="V144" s="169">
        <v>2722530</v>
      </c>
      <c r="W144" s="169">
        <v>0</v>
      </c>
      <c r="X144" s="169" t="s">
        <v>1406</v>
      </c>
      <c r="Z144" s="169" t="s">
        <v>1407</v>
      </c>
      <c r="AA144" s="171">
        <v>46322</v>
      </c>
      <c r="AB144" s="169">
        <v>27</v>
      </c>
      <c r="AC144" s="169">
        <v>22530</v>
      </c>
      <c r="AD144" s="169">
        <v>131</v>
      </c>
      <c r="AE144" s="169" t="s">
        <v>1462</v>
      </c>
      <c r="AF144" s="169">
        <v>130</v>
      </c>
      <c r="AG144" s="169" t="s">
        <v>1402</v>
      </c>
      <c r="AH144" s="169" t="s">
        <v>36</v>
      </c>
      <c r="AI144" s="169" t="s">
        <v>741</v>
      </c>
      <c r="AJ144" s="169">
        <v>1680</v>
      </c>
      <c r="AK144" s="169" t="s">
        <v>1407</v>
      </c>
      <c r="AL144" s="169">
        <v>46118</v>
      </c>
      <c r="AM144" s="169" t="s">
        <v>1421</v>
      </c>
      <c r="AN144" s="169" t="s">
        <v>1432</v>
      </c>
      <c r="AO144" s="169">
        <v>46</v>
      </c>
      <c r="AP144" s="169" t="s">
        <v>1433</v>
      </c>
      <c r="AQ144" s="169">
        <v>0</v>
      </c>
      <c r="AR144" s="169" t="s">
        <v>1410</v>
      </c>
      <c r="AT144" s="169" t="s">
        <v>1411</v>
      </c>
      <c r="AU144" s="169" t="s">
        <v>1412</v>
      </c>
    </row>
    <row r="145" spans="1:47" x14ac:dyDescent="0.45">
      <c r="A145" s="169">
        <v>2713100004</v>
      </c>
      <c r="B145" s="169">
        <v>131</v>
      </c>
      <c r="C145" s="169" t="s">
        <v>1462</v>
      </c>
      <c r="D145" s="169">
        <v>130</v>
      </c>
      <c r="E145" s="169" t="s">
        <v>1402</v>
      </c>
      <c r="F145" s="169" t="s">
        <v>4624</v>
      </c>
      <c r="G145" s="169" t="s">
        <v>4625</v>
      </c>
      <c r="H145" s="169">
        <v>1</v>
      </c>
      <c r="I145" s="169" t="s">
        <v>825</v>
      </c>
      <c r="J145" s="169" t="s">
        <v>1403</v>
      </c>
      <c r="K145" s="169">
        <v>2027</v>
      </c>
      <c r="L145" s="169">
        <v>2027</v>
      </c>
      <c r="M145" s="171">
        <v>46313</v>
      </c>
      <c r="N145" s="169" t="s">
        <v>36</v>
      </c>
      <c r="O145" s="169" t="s">
        <v>704</v>
      </c>
      <c r="P145" s="169">
        <v>427</v>
      </c>
      <c r="Q145" s="169" t="s">
        <v>1479</v>
      </c>
      <c r="R145" s="169">
        <v>2</v>
      </c>
      <c r="S145" s="169">
        <v>2</v>
      </c>
      <c r="T145" s="169" t="s">
        <v>1464</v>
      </c>
      <c r="U145" s="169">
        <v>1</v>
      </c>
      <c r="V145" s="169">
        <v>0</v>
      </c>
      <c r="W145" s="169">
        <v>0</v>
      </c>
      <c r="X145" s="169" t="s">
        <v>1406</v>
      </c>
      <c r="Z145" s="169" t="s">
        <v>1473</v>
      </c>
      <c r="AA145" s="169"/>
      <c r="AB145" s="169">
        <v>0</v>
      </c>
      <c r="AC145" s="169">
        <v>0</v>
      </c>
      <c r="AD145" s="169">
        <v>0</v>
      </c>
      <c r="AE145" s="169" t="s">
        <v>1446</v>
      </c>
      <c r="AG145" s="169" t="s">
        <v>1446</v>
      </c>
      <c r="AJ145" s="169">
        <v>0</v>
      </c>
      <c r="AK145" s="169" t="s">
        <v>1473</v>
      </c>
      <c r="AL145" s="169">
        <v>28264</v>
      </c>
      <c r="AM145" s="169" t="s">
        <v>1418</v>
      </c>
      <c r="AN145" s="169" t="s">
        <v>1449</v>
      </c>
      <c r="AO145" s="169">
        <v>28</v>
      </c>
      <c r="AP145" s="169" t="s">
        <v>1416</v>
      </c>
      <c r="AQ145" s="169">
        <v>0</v>
      </c>
      <c r="AT145" s="169" t="s">
        <v>1417</v>
      </c>
      <c r="AU145" s="169" t="s">
        <v>1412</v>
      </c>
    </row>
    <row r="146" spans="1:47" x14ac:dyDescent="0.45">
      <c r="A146" s="169">
        <v>2713100005</v>
      </c>
      <c r="B146" s="169">
        <v>131</v>
      </c>
      <c r="C146" s="169" t="s">
        <v>1462</v>
      </c>
      <c r="D146" s="169">
        <v>130</v>
      </c>
      <c r="E146" s="169" t="s">
        <v>1402</v>
      </c>
      <c r="F146" s="169" t="s">
        <v>4626</v>
      </c>
      <c r="G146" s="169" t="s">
        <v>4627</v>
      </c>
      <c r="H146" s="169">
        <v>1</v>
      </c>
      <c r="I146" s="169" t="s">
        <v>4628</v>
      </c>
      <c r="J146" s="169" t="s">
        <v>1403</v>
      </c>
      <c r="K146" s="169">
        <v>2027</v>
      </c>
      <c r="L146" s="169">
        <v>2027</v>
      </c>
      <c r="M146" s="171">
        <v>46318</v>
      </c>
      <c r="N146" s="169" t="s">
        <v>36</v>
      </c>
      <c r="O146" s="169" t="s">
        <v>793</v>
      </c>
      <c r="P146" s="169">
        <v>427</v>
      </c>
      <c r="Q146" s="169" t="s">
        <v>1479</v>
      </c>
      <c r="R146" s="169">
        <v>1</v>
      </c>
      <c r="S146" s="169">
        <v>2</v>
      </c>
      <c r="T146" s="169" t="s">
        <v>1464</v>
      </c>
      <c r="U146" s="169">
        <v>1</v>
      </c>
      <c r="V146" s="169">
        <v>0</v>
      </c>
      <c r="W146" s="169">
        <v>0</v>
      </c>
      <c r="X146" s="169" t="s">
        <v>1406</v>
      </c>
      <c r="Z146" s="169" t="s">
        <v>4255</v>
      </c>
      <c r="AA146" s="169"/>
      <c r="AB146" s="169">
        <v>0</v>
      </c>
      <c r="AC146" s="169">
        <v>0</v>
      </c>
      <c r="AD146" s="169">
        <v>0</v>
      </c>
      <c r="AE146" s="169" t="s">
        <v>1446</v>
      </c>
      <c r="AG146" s="169" t="s">
        <v>1446</v>
      </c>
      <c r="AJ146" s="169">
        <v>0</v>
      </c>
      <c r="AK146" s="169" t="s">
        <v>1407</v>
      </c>
      <c r="AL146" s="169">
        <v>28108</v>
      </c>
      <c r="AM146" s="169" t="s">
        <v>1418</v>
      </c>
      <c r="AN146" s="169" t="s">
        <v>1534</v>
      </c>
      <c r="AO146" s="169">
        <v>28</v>
      </c>
      <c r="AP146" s="169" t="s">
        <v>1416</v>
      </c>
      <c r="AQ146" s="169">
        <v>0</v>
      </c>
      <c r="AR146" s="169" t="s">
        <v>1410</v>
      </c>
      <c r="AT146" s="169" t="s">
        <v>1417</v>
      </c>
      <c r="AU146" s="169" t="s">
        <v>1412</v>
      </c>
    </row>
    <row r="147" spans="1:47" x14ac:dyDescent="0.45">
      <c r="A147" s="169">
        <v>2713100006</v>
      </c>
      <c r="B147" s="169">
        <v>131</v>
      </c>
      <c r="C147" s="169" t="s">
        <v>1462</v>
      </c>
      <c r="D147" s="169">
        <v>130</v>
      </c>
      <c r="E147" s="169" t="s">
        <v>1402</v>
      </c>
      <c r="F147" s="169" t="s">
        <v>4629</v>
      </c>
      <c r="G147" s="169" t="s">
        <v>4630</v>
      </c>
      <c r="H147" s="169">
        <v>1</v>
      </c>
      <c r="I147" s="169" t="s">
        <v>1013</v>
      </c>
      <c r="J147" s="169" t="s">
        <v>1403</v>
      </c>
      <c r="K147" s="169">
        <v>2027</v>
      </c>
      <c r="L147" s="169">
        <v>2027</v>
      </c>
      <c r="M147" s="171">
        <v>46322</v>
      </c>
      <c r="N147" s="169" t="s">
        <v>36</v>
      </c>
      <c r="O147" s="169" t="s">
        <v>793</v>
      </c>
      <c r="P147" s="169">
        <v>428</v>
      </c>
      <c r="Q147" s="169" t="s">
        <v>1463</v>
      </c>
      <c r="R147" s="169">
        <v>1</v>
      </c>
      <c r="S147" s="169">
        <v>2</v>
      </c>
      <c r="T147" s="169" t="s">
        <v>1464</v>
      </c>
      <c r="U147" s="169">
        <v>1</v>
      </c>
      <c r="V147" s="169">
        <v>0</v>
      </c>
      <c r="W147" s="169">
        <v>0</v>
      </c>
      <c r="X147" s="169" t="s">
        <v>1406</v>
      </c>
      <c r="Z147" s="169" t="s">
        <v>4255</v>
      </c>
      <c r="AA147" s="169"/>
      <c r="AB147" s="169">
        <v>0</v>
      </c>
      <c r="AC147" s="169">
        <v>0</v>
      </c>
      <c r="AD147" s="169">
        <v>0</v>
      </c>
      <c r="AE147" s="169" t="s">
        <v>1446</v>
      </c>
      <c r="AG147" s="169" t="s">
        <v>1446</v>
      </c>
      <c r="AJ147" s="169">
        <v>0</v>
      </c>
      <c r="AK147" s="169" t="s">
        <v>1407</v>
      </c>
      <c r="AL147" s="169">
        <v>28015</v>
      </c>
      <c r="AM147" s="169" t="s">
        <v>1421</v>
      </c>
      <c r="AN147" s="169" t="s">
        <v>1525</v>
      </c>
      <c r="AO147" s="169">
        <v>28</v>
      </c>
      <c r="AP147" s="169" t="s">
        <v>1416</v>
      </c>
      <c r="AQ147" s="169">
        <v>0</v>
      </c>
      <c r="AT147" s="169" t="s">
        <v>1417</v>
      </c>
      <c r="AU147" s="169" t="s">
        <v>1412</v>
      </c>
    </row>
    <row r="148" spans="1:47" x14ac:dyDescent="0.45">
      <c r="A148" s="169">
        <v>2713100801</v>
      </c>
      <c r="B148" s="169">
        <v>131</v>
      </c>
      <c r="C148" s="169" t="s">
        <v>1462</v>
      </c>
      <c r="D148" s="169">
        <v>130</v>
      </c>
      <c r="E148" s="169" t="s">
        <v>1402</v>
      </c>
      <c r="F148" s="169" t="s">
        <v>4631</v>
      </c>
      <c r="G148" s="169" t="s">
        <v>4632</v>
      </c>
      <c r="H148" s="169">
        <v>1</v>
      </c>
      <c r="I148" s="169" t="s">
        <v>1574</v>
      </c>
      <c r="J148" s="169" t="s">
        <v>1403</v>
      </c>
      <c r="K148" s="169">
        <v>2027</v>
      </c>
      <c r="L148" s="169">
        <v>2027</v>
      </c>
      <c r="M148" s="171">
        <v>46273</v>
      </c>
      <c r="N148" s="169" t="s">
        <v>36</v>
      </c>
      <c r="O148" s="169" t="s">
        <v>708</v>
      </c>
      <c r="P148" s="169">
        <v>1044</v>
      </c>
      <c r="Q148" s="169" t="s">
        <v>1476</v>
      </c>
      <c r="R148" s="169">
        <v>2</v>
      </c>
      <c r="S148" s="169">
        <v>3</v>
      </c>
      <c r="T148" s="169" t="s">
        <v>1477</v>
      </c>
      <c r="U148" s="169">
        <v>4</v>
      </c>
      <c r="V148" s="169">
        <v>2722503</v>
      </c>
      <c r="W148" s="169">
        <v>0</v>
      </c>
      <c r="X148" s="169" t="s">
        <v>1406</v>
      </c>
      <c r="Z148" s="169" t="s">
        <v>3067</v>
      </c>
      <c r="AA148" s="171">
        <v>46294</v>
      </c>
      <c r="AB148" s="169">
        <v>27</v>
      </c>
      <c r="AC148" s="169">
        <v>22503</v>
      </c>
      <c r="AD148" s="169">
        <v>131</v>
      </c>
      <c r="AE148" s="169" t="s">
        <v>1462</v>
      </c>
      <c r="AF148" s="169">
        <v>130</v>
      </c>
      <c r="AG148" s="169" t="s">
        <v>1402</v>
      </c>
      <c r="AH148" s="169" t="s">
        <v>36</v>
      </c>
      <c r="AI148" s="169" t="s">
        <v>708</v>
      </c>
      <c r="AJ148" s="169">
        <v>1044</v>
      </c>
      <c r="AK148" s="169" t="s">
        <v>1407</v>
      </c>
      <c r="AL148" s="169">
        <v>50448</v>
      </c>
      <c r="AM148" s="169" t="s">
        <v>1408</v>
      </c>
      <c r="AN148" s="169" t="s">
        <v>3185</v>
      </c>
      <c r="AO148" s="169">
        <v>28</v>
      </c>
      <c r="AP148" s="169" t="s">
        <v>1416</v>
      </c>
      <c r="AQ148" s="169">
        <v>1</v>
      </c>
      <c r="AR148" s="169" t="s">
        <v>1424</v>
      </c>
      <c r="AS148" s="169" t="s">
        <v>1410</v>
      </c>
      <c r="AT148" s="169" t="s">
        <v>1417</v>
      </c>
      <c r="AU148" s="169" t="s">
        <v>1412</v>
      </c>
    </row>
    <row r="149" spans="1:47" x14ac:dyDescent="0.45">
      <c r="A149" s="169">
        <v>2713150002</v>
      </c>
      <c r="B149" s="169">
        <v>131</v>
      </c>
      <c r="C149" s="169" t="s">
        <v>1462</v>
      </c>
      <c r="D149" s="169">
        <v>130</v>
      </c>
      <c r="E149" s="169" t="s">
        <v>1402</v>
      </c>
      <c r="F149" s="169" t="s">
        <v>4633</v>
      </c>
      <c r="G149" s="169" t="s">
        <v>4634</v>
      </c>
      <c r="H149" s="169">
        <v>2</v>
      </c>
      <c r="I149" s="169" t="s">
        <v>951</v>
      </c>
      <c r="J149" s="169" t="s">
        <v>1403</v>
      </c>
      <c r="K149" s="169">
        <v>2027</v>
      </c>
      <c r="L149" s="169">
        <v>2027</v>
      </c>
      <c r="M149" s="171">
        <v>46272</v>
      </c>
      <c r="N149" s="169" t="s">
        <v>36</v>
      </c>
      <c r="O149" s="169" t="s">
        <v>741</v>
      </c>
      <c r="P149" s="169">
        <v>581</v>
      </c>
      <c r="Q149" s="169" t="s">
        <v>1489</v>
      </c>
      <c r="R149" s="169">
        <v>2</v>
      </c>
      <c r="S149" s="169">
        <v>10</v>
      </c>
      <c r="T149" s="169" t="s">
        <v>1490</v>
      </c>
      <c r="U149" s="169">
        <v>9</v>
      </c>
      <c r="V149" s="169">
        <v>2722507</v>
      </c>
      <c r="W149" s="169">
        <v>0</v>
      </c>
      <c r="X149" s="169" t="s">
        <v>1406</v>
      </c>
      <c r="Z149" s="169" t="s">
        <v>32</v>
      </c>
      <c r="AA149" s="171">
        <v>46302</v>
      </c>
      <c r="AB149" s="169">
        <v>27</v>
      </c>
      <c r="AC149" s="169">
        <v>22507</v>
      </c>
      <c r="AD149" s="169">
        <v>131</v>
      </c>
      <c r="AE149" s="169" t="s">
        <v>1462</v>
      </c>
      <c r="AF149" s="169">
        <v>130</v>
      </c>
      <c r="AG149" s="169" t="s">
        <v>1402</v>
      </c>
      <c r="AH149" s="169" t="s">
        <v>36</v>
      </c>
      <c r="AI149" s="169" t="s">
        <v>741</v>
      </c>
      <c r="AJ149" s="169">
        <v>581</v>
      </c>
      <c r="AK149" s="169" t="s">
        <v>1407</v>
      </c>
      <c r="AL149" s="169">
        <v>33133</v>
      </c>
      <c r="AM149" s="169" t="s">
        <v>1421</v>
      </c>
      <c r="AN149" s="169" t="s">
        <v>1426</v>
      </c>
      <c r="AO149" s="169">
        <v>33</v>
      </c>
      <c r="AP149" s="169" t="s">
        <v>1427</v>
      </c>
      <c r="AQ149" s="169">
        <v>0</v>
      </c>
      <c r="AR149" s="169" t="s">
        <v>1410</v>
      </c>
      <c r="AT149" s="169" t="s">
        <v>1417</v>
      </c>
      <c r="AU149" s="169" t="s">
        <v>1412</v>
      </c>
    </row>
    <row r="150" spans="1:47" x14ac:dyDescent="0.45">
      <c r="A150" s="169">
        <v>2713150003</v>
      </c>
      <c r="B150" s="169">
        <v>131</v>
      </c>
      <c r="C150" s="169" t="s">
        <v>1462</v>
      </c>
      <c r="D150" s="169">
        <v>130</v>
      </c>
      <c r="E150" s="169" t="s">
        <v>1402</v>
      </c>
      <c r="F150" s="169" t="s">
        <v>4635</v>
      </c>
      <c r="G150" s="169" t="s">
        <v>4636</v>
      </c>
      <c r="H150" s="169">
        <v>2</v>
      </c>
      <c r="I150" s="169" t="s">
        <v>937</v>
      </c>
      <c r="J150" s="169" t="s">
        <v>1403</v>
      </c>
      <c r="K150" s="169">
        <v>2027</v>
      </c>
      <c r="L150" s="169">
        <v>2027</v>
      </c>
      <c r="M150" s="171">
        <v>46274</v>
      </c>
      <c r="N150" s="169" t="s">
        <v>36</v>
      </c>
      <c r="O150" s="169" t="s">
        <v>741</v>
      </c>
      <c r="P150" s="169">
        <v>581</v>
      </c>
      <c r="Q150" s="169" t="s">
        <v>1489</v>
      </c>
      <c r="R150" s="169">
        <v>2</v>
      </c>
      <c r="S150" s="169">
        <v>10</v>
      </c>
      <c r="T150" s="169" t="s">
        <v>1490</v>
      </c>
      <c r="U150" s="169">
        <v>9</v>
      </c>
      <c r="V150" s="169">
        <v>2722521</v>
      </c>
      <c r="W150" s="169">
        <v>0</v>
      </c>
      <c r="X150" s="169" t="s">
        <v>1406</v>
      </c>
      <c r="Z150" s="169" t="s">
        <v>32</v>
      </c>
      <c r="AA150" s="171">
        <v>46309</v>
      </c>
      <c r="AB150" s="169">
        <v>27</v>
      </c>
      <c r="AC150" s="169">
        <v>22521</v>
      </c>
      <c r="AD150" s="169">
        <v>131</v>
      </c>
      <c r="AE150" s="169" t="s">
        <v>1462</v>
      </c>
      <c r="AF150" s="169">
        <v>130</v>
      </c>
      <c r="AG150" s="169" t="s">
        <v>1402</v>
      </c>
      <c r="AH150" s="169" t="s">
        <v>36</v>
      </c>
      <c r="AI150" s="169" t="s">
        <v>741</v>
      </c>
      <c r="AJ150" s="169">
        <v>581</v>
      </c>
      <c r="AK150" s="169" t="s">
        <v>1407</v>
      </c>
      <c r="AL150" s="169">
        <v>28157</v>
      </c>
      <c r="AM150" s="169" t="s">
        <v>1414</v>
      </c>
      <c r="AN150" s="169" t="s">
        <v>1415</v>
      </c>
      <c r="AO150" s="169">
        <v>28</v>
      </c>
      <c r="AP150" s="169" t="s">
        <v>1416</v>
      </c>
      <c r="AQ150" s="169">
        <v>0</v>
      </c>
      <c r="AR150" s="169" t="s">
        <v>1410</v>
      </c>
      <c r="AT150" s="169" t="s">
        <v>1417</v>
      </c>
      <c r="AU150" s="169" t="s">
        <v>1412</v>
      </c>
    </row>
    <row r="151" spans="1:47" x14ac:dyDescent="0.45">
      <c r="A151" s="169">
        <v>2713150005</v>
      </c>
      <c r="B151" s="169">
        <v>131</v>
      </c>
      <c r="C151" s="169" t="s">
        <v>1462</v>
      </c>
      <c r="D151" s="169">
        <v>130</v>
      </c>
      <c r="E151" s="169" t="s">
        <v>1402</v>
      </c>
      <c r="F151" s="169" t="s">
        <v>4637</v>
      </c>
      <c r="G151" s="169" t="s">
        <v>4638</v>
      </c>
      <c r="H151" s="169">
        <v>1</v>
      </c>
      <c r="I151" s="169" t="s">
        <v>2311</v>
      </c>
      <c r="J151" s="169" t="s">
        <v>1403</v>
      </c>
      <c r="K151" s="169">
        <v>2027</v>
      </c>
      <c r="L151" s="169">
        <v>2027</v>
      </c>
      <c r="M151" s="171">
        <v>46268</v>
      </c>
      <c r="N151" s="169" t="s">
        <v>36</v>
      </c>
      <c r="O151" s="169" t="s">
        <v>704</v>
      </c>
      <c r="P151" s="169">
        <v>968</v>
      </c>
      <c r="Q151" s="169" t="s">
        <v>1474</v>
      </c>
      <c r="R151" s="169">
        <v>2</v>
      </c>
      <c r="S151" s="169">
        <v>2</v>
      </c>
      <c r="T151" s="169" t="s">
        <v>1464</v>
      </c>
      <c r="U151" s="169">
        <v>1</v>
      </c>
      <c r="V151" s="169">
        <v>2722523</v>
      </c>
      <c r="W151" s="169">
        <v>0</v>
      </c>
      <c r="X151" s="169" t="s">
        <v>1406</v>
      </c>
      <c r="Z151" s="169" t="s">
        <v>32</v>
      </c>
      <c r="AA151" s="171">
        <v>46310</v>
      </c>
      <c r="AB151" s="169">
        <v>27</v>
      </c>
      <c r="AC151" s="169">
        <v>22523</v>
      </c>
      <c r="AD151" s="169">
        <v>131</v>
      </c>
      <c r="AE151" s="169" t="s">
        <v>1462</v>
      </c>
      <c r="AF151" s="169">
        <v>130</v>
      </c>
      <c r="AG151" s="169" t="s">
        <v>1402</v>
      </c>
      <c r="AH151" s="169" t="s">
        <v>36</v>
      </c>
      <c r="AI151" s="169" t="s">
        <v>704</v>
      </c>
      <c r="AJ151" s="169">
        <v>968</v>
      </c>
      <c r="AK151" s="169" t="s">
        <v>1407</v>
      </c>
      <c r="AL151" s="169">
        <v>28095</v>
      </c>
      <c r="AM151" s="169" t="s">
        <v>1421</v>
      </c>
      <c r="AN151" s="169" t="s">
        <v>1435</v>
      </c>
      <c r="AO151" s="169">
        <v>28</v>
      </c>
      <c r="AP151" s="169" t="s">
        <v>1416</v>
      </c>
      <c r="AQ151" s="169">
        <v>0</v>
      </c>
      <c r="AR151" s="169" t="s">
        <v>1410</v>
      </c>
      <c r="AT151" s="169" t="s">
        <v>1417</v>
      </c>
      <c r="AU151" s="169" t="s">
        <v>1412</v>
      </c>
    </row>
    <row r="152" spans="1:47" x14ac:dyDescent="0.45">
      <c r="A152" s="169">
        <v>2713150006</v>
      </c>
      <c r="B152" s="169">
        <v>131</v>
      </c>
      <c r="C152" s="169" t="s">
        <v>1462</v>
      </c>
      <c r="D152" s="169">
        <v>130</v>
      </c>
      <c r="E152" s="169" t="s">
        <v>1402</v>
      </c>
      <c r="F152" s="169" t="s">
        <v>4639</v>
      </c>
      <c r="G152" s="169" t="s">
        <v>4640</v>
      </c>
      <c r="H152" s="169">
        <v>1</v>
      </c>
      <c r="I152" s="169" t="s">
        <v>4641</v>
      </c>
      <c r="J152" s="169" t="s">
        <v>1403</v>
      </c>
      <c r="K152" s="169">
        <v>2027</v>
      </c>
      <c r="L152" s="169">
        <v>2027</v>
      </c>
      <c r="M152" s="171">
        <v>46272</v>
      </c>
      <c r="N152" s="169" t="s">
        <v>36</v>
      </c>
      <c r="O152" s="169" t="s">
        <v>704</v>
      </c>
      <c r="P152" s="169">
        <v>588</v>
      </c>
      <c r="Q152" s="169" t="s">
        <v>1524</v>
      </c>
      <c r="R152" s="169">
        <v>2</v>
      </c>
      <c r="S152" s="169">
        <v>2</v>
      </c>
      <c r="T152" s="169" t="s">
        <v>1464</v>
      </c>
      <c r="U152" s="169">
        <v>1</v>
      </c>
      <c r="V152" s="169">
        <v>2722509</v>
      </c>
      <c r="W152" s="169">
        <v>0</v>
      </c>
      <c r="X152" s="169" t="s">
        <v>1406</v>
      </c>
      <c r="Z152" s="169" t="s">
        <v>32</v>
      </c>
      <c r="AA152" s="171">
        <v>46303</v>
      </c>
      <c r="AB152" s="169">
        <v>27</v>
      </c>
      <c r="AC152" s="169">
        <v>22509</v>
      </c>
      <c r="AD152" s="169">
        <v>131</v>
      </c>
      <c r="AE152" s="169" t="s">
        <v>1462</v>
      </c>
      <c r="AF152" s="169">
        <v>130</v>
      </c>
      <c r="AG152" s="169" t="s">
        <v>1402</v>
      </c>
      <c r="AH152" s="169" t="s">
        <v>36</v>
      </c>
      <c r="AI152" s="169" t="s">
        <v>704</v>
      </c>
      <c r="AJ152" s="169">
        <v>588</v>
      </c>
      <c r="AK152" s="169" t="s">
        <v>1407</v>
      </c>
      <c r="AL152" s="169">
        <v>28100</v>
      </c>
      <c r="AM152" s="169" t="s">
        <v>1418</v>
      </c>
      <c r="AN152" s="169" t="s">
        <v>1434</v>
      </c>
      <c r="AO152" s="169">
        <v>28</v>
      </c>
      <c r="AP152" s="169" t="s">
        <v>1416</v>
      </c>
      <c r="AQ152" s="169">
        <v>0</v>
      </c>
      <c r="AR152" s="169" t="s">
        <v>1410</v>
      </c>
      <c r="AT152" s="169" t="s">
        <v>1417</v>
      </c>
      <c r="AU152" s="169" t="s">
        <v>1412</v>
      </c>
    </row>
    <row r="153" spans="1:47" x14ac:dyDescent="0.45">
      <c r="A153" s="169">
        <v>2713150007</v>
      </c>
      <c r="B153" s="169">
        <v>131</v>
      </c>
      <c r="C153" s="169" t="s">
        <v>1462</v>
      </c>
      <c r="D153" s="169">
        <v>130</v>
      </c>
      <c r="E153" s="169" t="s">
        <v>1402</v>
      </c>
      <c r="F153" s="169" t="s">
        <v>4642</v>
      </c>
      <c r="G153" s="169" t="s">
        <v>4643</v>
      </c>
      <c r="H153" s="169">
        <v>2</v>
      </c>
      <c r="I153" s="169" t="s">
        <v>4644</v>
      </c>
      <c r="J153" s="169" t="s">
        <v>1403</v>
      </c>
      <c r="K153" s="169">
        <v>2027</v>
      </c>
      <c r="L153" s="169">
        <v>2027</v>
      </c>
      <c r="M153" s="171">
        <v>46272</v>
      </c>
      <c r="N153" s="169" t="s">
        <v>36</v>
      </c>
      <c r="O153" s="169" t="s">
        <v>704</v>
      </c>
      <c r="P153" s="169">
        <v>428</v>
      </c>
      <c r="Q153" s="169" t="s">
        <v>1463</v>
      </c>
      <c r="R153" s="169">
        <v>2</v>
      </c>
      <c r="S153" s="169">
        <v>2</v>
      </c>
      <c r="T153" s="169" t="s">
        <v>1464</v>
      </c>
      <c r="U153" s="169">
        <v>1</v>
      </c>
      <c r="V153" s="169">
        <v>0</v>
      </c>
      <c r="W153" s="169">
        <v>0</v>
      </c>
      <c r="X153" s="169" t="s">
        <v>1406</v>
      </c>
      <c r="Z153" s="169" t="s">
        <v>32</v>
      </c>
      <c r="AA153" s="169"/>
      <c r="AB153" s="169">
        <v>0</v>
      </c>
      <c r="AC153" s="169">
        <v>0</v>
      </c>
      <c r="AD153" s="169">
        <v>0</v>
      </c>
      <c r="AE153" s="169" t="s">
        <v>1446</v>
      </c>
      <c r="AG153" s="169" t="s">
        <v>1446</v>
      </c>
      <c r="AJ153" s="169">
        <v>0</v>
      </c>
      <c r="AK153" s="169" t="s">
        <v>1473</v>
      </c>
      <c r="AL153" s="169">
        <v>28224</v>
      </c>
      <c r="AM153" s="169" t="s">
        <v>1414</v>
      </c>
      <c r="AN153" s="169" t="s">
        <v>1621</v>
      </c>
      <c r="AO153" s="169">
        <v>28</v>
      </c>
      <c r="AP153" s="169" t="s">
        <v>1416</v>
      </c>
      <c r="AQ153" s="169">
        <v>0</v>
      </c>
      <c r="AR153" s="169" t="s">
        <v>1410</v>
      </c>
      <c r="AT153" s="169" t="s">
        <v>1417</v>
      </c>
      <c r="AU153" s="169" t="s">
        <v>1412</v>
      </c>
    </row>
    <row r="154" spans="1:47" x14ac:dyDescent="0.45">
      <c r="A154" s="169">
        <v>2713150009</v>
      </c>
      <c r="B154" s="169">
        <v>131</v>
      </c>
      <c r="C154" s="169" t="s">
        <v>1462</v>
      </c>
      <c r="D154" s="169">
        <v>130</v>
      </c>
      <c r="E154" s="169" t="s">
        <v>1402</v>
      </c>
      <c r="F154" s="169" t="s">
        <v>4645</v>
      </c>
      <c r="G154" s="169" t="s">
        <v>4646</v>
      </c>
      <c r="H154" s="169">
        <v>2</v>
      </c>
      <c r="I154" s="169" t="s">
        <v>972</v>
      </c>
      <c r="J154" s="169" t="s">
        <v>1403</v>
      </c>
      <c r="K154" s="169">
        <v>2027</v>
      </c>
      <c r="L154" s="169">
        <v>2027</v>
      </c>
      <c r="M154" s="171">
        <v>46279</v>
      </c>
      <c r="N154" s="169" t="s">
        <v>36</v>
      </c>
      <c r="O154" s="169" t="s">
        <v>793</v>
      </c>
      <c r="P154" s="169">
        <v>859</v>
      </c>
      <c r="Q154" s="169" t="s">
        <v>1494</v>
      </c>
      <c r="R154" s="169">
        <v>1</v>
      </c>
      <c r="S154" s="169">
        <v>2</v>
      </c>
      <c r="T154" s="169" t="s">
        <v>1464</v>
      </c>
      <c r="U154" s="169">
        <v>1</v>
      </c>
      <c r="V154" s="169">
        <v>0</v>
      </c>
      <c r="W154" s="169">
        <v>0</v>
      </c>
      <c r="X154" s="169" t="s">
        <v>1406</v>
      </c>
      <c r="Z154" s="169" t="s">
        <v>32</v>
      </c>
      <c r="AA154" s="169"/>
      <c r="AB154" s="169">
        <v>0</v>
      </c>
      <c r="AC154" s="169">
        <v>0</v>
      </c>
      <c r="AD154" s="169">
        <v>0</v>
      </c>
      <c r="AE154" s="169" t="s">
        <v>1446</v>
      </c>
      <c r="AG154" s="169" t="s">
        <v>1446</v>
      </c>
      <c r="AJ154" s="169">
        <v>0</v>
      </c>
      <c r="AK154" s="169" t="s">
        <v>1410</v>
      </c>
      <c r="AL154" s="169">
        <v>28098</v>
      </c>
      <c r="AM154" s="169" t="s">
        <v>1418</v>
      </c>
      <c r="AN154" s="169" t="s">
        <v>1448</v>
      </c>
      <c r="AO154" s="169">
        <v>28</v>
      </c>
      <c r="AP154" s="169" t="s">
        <v>1416</v>
      </c>
      <c r="AQ154" s="169">
        <v>0</v>
      </c>
      <c r="AR154" s="169" t="s">
        <v>1410</v>
      </c>
      <c r="AT154" s="169" t="s">
        <v>1417</v>
      </c>
      <c r="AU154" s="169" t="s">
        <v>1412</v>
      </c>
    </row>
    <row r="155" spans="1:47" x14ac:dyDescent="0.45">
      <c r="A155" s="169">
        <v>2713150010</v>
      </c>
      <c r="B155" s="169">
        <v>131</v>
      </c>
      <c r="C155" s="169" t="s">
        <v>1462</v>
      </c>
      <c r="D155" s="169">
        <v>130</v>
      </c>
      <c r="E155" s="169" t="s">
        <v>1402</v>
      </c>
      <c r="F155" s="169" t="s">
        <v>4647</v>
      </c>
      <c r="G155" s="169" t="s">
        <v>4648</v>
      </c>
      <c r="H155" s="169">
        <v>2</v>
      </c>
      <c r="I155" s="169" t="s">
        <v>4649</v>
      </c>
      <c r="J155" s="169" t="s">
        <v>1403</v>
      </c>
      <c r="K155" s="169">
        <v>2027</v>
      </c>
      <c r="L155" s="169">
        <v>2027</v>
      </c>
      <c r="M155" s="171">
        <v>46274</v>
      </c>
      <c r="N155" s="169" t="s">
        <v>36</v>
      </c>
      <c r="O155" s="169" t="s">
        <v>708</v>
      </c>
      <c r="P155" s="169">
        <v>1756</v>
      </c>
      <c r="Q155" s="169" t="s">
        <v>2784</v>
      </c>
      <c r="R155" s="169">
        <v>2</v>
      </c>
      <c r="S155" s="169">
        <v>3</v>
      </c>
      <c r="T155" s="169" t="s">
        <v>1477</v>
      </c>
      <c r="U155" s="169">
        <v>4</v>
      </c>
      <c r="V155" s="169">
        <v>0</v>
      </c>
      <c r="W155" s="169">
        <v>0</v>
      </c>
      <c r="X155" s="169" t="s">
        <v>1406</v>
      </c>
      <c r="Z155" s="169" t="s">
        <v>32</v>
      </c>
      <c r="AA155" s="169"/>
      <c r="AB155" s="169">
        <v>0</v>
      </c>
      <c r="AC155" s="169">
        <v>0</v>
      </c>
      <c r="AD155" s="169">
        <v>0</v>
      </c>
      <c r="AE155" s="169" t="s">
        <v>1446</v>
      </c>
      <c r="AG155" s="169" t="s">
        <v>1446</v>
      </c>
      <c r="AJ155" s="169">
        <v>0</v>
      </c>
      <c r="AK155" s="169" t="s">
        <v>1407</v>
      </c>
      <c r="AL155" s="169">
        <v>28232</v>
      </c>
      <c r="AM155" s="169" t="s">
        <v>1418</v>
      </c>
      <c r="AN155" s="169" t="s">
        <v>1548</v>
      </c>
      <c r="AO155" s="169">
        <v>28</v>
      </c>
      <c r="AP155" s="169" t="s">
        <v>1416</v>
      </c>
      <c r="AQ155" s="169">
        <v>0</v>
      </c>
      <c r="AR155" s="169" t="s">
        <v>1410</v>
      </c>
      <c r="AT155" s="169" t="s">
        <v>1417</v>
      </c>
      <c r="AU155" s="169" t="s">
        <v>1412</v>
      </c>
    </row>
    <row r="156" spans="1:47" x14ac:dyDescent="0.45">
      <c r="A156" s="169">
        <v>2713150011</v>
      </c>
      <c r="B156" s="169">
        <v>131</v>
      </c>
      <c r="C156" s="169" t="s">
        <v>1462</v>
      </c>
      <c r="D156" s="169">
        <v>130</v>
      </c>
      <c r="E156" s="169" t="s">
        <v>1402</v>
      </c>
      <c r="F156" s="169" t="s">
        <v>4650</v>
      </c>
      <c r="G156" s="169" t="s">
        <v>4651</v>
      </c>
      <c r="H156" s="169">
        <v>1</v>
      </c>
      <c r="I156" s="169" t="s">
        <v>1054</v>
      </c>
      <c r="J156" s="169" t="s">
        <v>1403</v>
      </c>
      <c r="K156" s="169">
        <v>2027</v>
      </c>
      <c r="L156" s="169">
        <v>2027</v>
      </c>
      <c r="M156" s="171">
        <v>46266</v>
      </c>
      <c r="N156" s="169" t="s">
        <v>36</v>
      </c>
      <c r="O156" s="169" t="s">
        <v>698</v>
      </c>
      <c r="P156" s="169">
        <v>502</v>
      </c>
      <c r="Q156" s="169" t="s">
        <v>1500</v>
      </c>
      <c r="R156" s="169">
        <v>2</v>
      </c>
      <c r="S156" s="169">
        <v>5</v>
      </c>
      <c r="T156" s="169" t="s">
        <v>1470</v>
      </c>
      <c r="U156" s="169">
        <v>15</v>
      </c>
      <c r="V156" s="169">
        <v>0</v>
      </c>
      <c r="W156" s="169">
        <v>0</v>
      </c>
      <c r="X156" s="169" t="s">
        <v>1406</v>
      </c>
      <c r="Z156" s="169" t="s">
        <v>32</v>
      </c>
      <c r="AA156" s="169"/>
      <c r="AB156" s="169">
        <v>0</v>
      </c>
      <c r="AC156" s="169">
        <v>0</v>
      </c>
      <c r="AD156" s="169">
        <v>0</v>
      </c>
      <c r="AE156" s="169" t="s">
        <v>1446</v>
      </c>
      <c r="AG156" s="169" t="s">
        <v>1446</v>
      </c>
      <c r="AJ156" s="169">
        <v>0</v>
      </c>
      <c r="AK156" s="169" t="s">
        <v>1407</v>
      </c>
      <c r="AL156" s="169">
        <v>28099</v>
      </c>
      <c r="AM156" s="169" t="s">
        <v>1418</v>
      </c>
      <c r="AN156" s="169" t="s">
        <v>1447</v>
      </c>
      <c r="AO156" s="169">
        <v>28</v>
      </c>
      <c r="AP156" s="169" t="s">
        <v>1416</v>
      </c>
      <c r="AQ156" s="169">
        <v>0</v>
      </c>
      <c r="AR156" s="169" t="s">
        <v>1410</v>
      </c>
      <c r="AT156" s="169" t="s">
        <v>1417</v>
      </c>
      <c r="AU156" s="169" t="s">
        <v>1412</v>
      </c>
    </row>
    <row r="157" spans="1:47" x14ac:dyDescent="0.45">
      <c r="A157" s="169">
        <v>2713150012</v>
      </c>
      <c r="B157" s="169">
        <v>131</v>
      </c>
      <c r="C157" s="169" t="s">
        <v>1462</v>
      </c>
      <c r="D157" s="169">
        <v>130</v>
      </c>
      <c r="E157" s="169" t="s">
        <v>1402</v>
      </c>
      <c r="F157" s="169" t="s">
        <v>4652</v>
      </c>
      <c r="G157" s="169" t="s">
        <v>4653</v>
      </c>
      <c r="H157" s="169">
        <v>1</v>
      </c>
      <c r="I157" s="169" t="s">
        <v>1013</v>
      </c>
      <c r="J157" s="169" t="s">
        <v>1403</v>
      </c>
      <c r="K157" s="169">
        <v>2027</v>
      </c>
      <c r="L157" s="169">
        <v>2027</v>
      </c>
      <c r="M157" s="171">
        <v>46268</v>
      </c>
      <c r="N157" s="169" t="s">
        <v>36</v>
      </c>
      <c r="O157" s="169" t="s">
        <v>704</v>
      </c>
      <c r="P157" s="169">
        <v>968</v>
      </c>
      <c r="Q157" s="169" t="s">
        <v>1474</v>
      </c>
      <c r="R157" s="169">
        <v>2</v>
      </c>
      <c r="S157" s="169">
        <v>2</v>
      </c>
      <c r="T157" s="169" t="s">
        <v>1464</v>
      </c>
      <c r="U157" s="169">
        <v>1</v>
      </c>
      <c r="V157" s="169">
        <v>2722502</v>
      </c>
      <c r="W157" s="169">
        <v>0</v>
      </c>
      <c r="X157" s="169" t="s">
        <v>1406</v>
      </c>
      <c r="Z157" s="169" t="s">
        <v>32</v>
      </c>
      <c r="AA157" s="171">
        <v>46294</v>
      </c>
      <c r="AB157" s="169">
        <v>27</v>
      </c>
      <c r="AC157" s="169">
        <v>22502</v>
      </c>
      <c r="AD157" s="169">
        <v>131</v>
      </c>
      <c r="AE157" s="169" t="s">
        <v>1462</v>
      </c>
      <c r="AF157" s="169">
        <v>130</v>
      </c>
      <c r="AG157" s="169" t="s">
        <v>1402</v>
      </c>
      <c r="AH157" s="169" t="s">
        <v>36</v>
      </c>
      <c r="AI157" s="169" t="s">
        <v>704</v>
      </c>
      <c r="AJ157" s="169">
        <v>968</v>
      </c>
      <c r="AK157" s="169" t="s">
        <v>1407</v>
      </c>
      <c r="AL157" s="169">
        <v>28095</v>
      </c>
      <c r="AM157" s="169" t="s">
        <v>1421</v>
      </c>
      <c r="AN157" s="169" t="s">
        <v>1435</v>
      </c>
      <c r="AO157" s="169">
        <v>28</v>
      </c>
      <c r="AP157" s="169" t="s">
        <v>1416</v>
      </c>
      <c r="AQ157" s="169">
        <v>0</v>
      </c>
      <c r="AR157" s="169" t="s">
        <v>1410</v>
      </c>
      <c r="AT157" s="169" t="s">
        <v>1417</v>
      </c>
      <c r="AU157" s="169" t="s">
        <v>1412</v>
      </c>
    </row>
    <row r="158" spans="1:47" x14ac:dyDescent="0.45">
      <c r="A158" s="169">
        <v>2713150014</v>
      </c>
      <c r="B158" s="169">
        <v>131</v>
      </c>
      <c r="C158" s="169" t="s">
        <v>1462</v>
      </c>
      <c r="D158" s="169">
        <v>130</v>
      </c>
      <c r="E158" s="169" t="s">
        <v>1402</v>
      </c>
      <c r="F158" s="169" t="s">
        <v>4654</v>
      </c>
      <c r="G158" s="169" t="s">
        <v>4655</v>
      </c>
      <c r="H158" s="169">
        <v>2</v>
      </c>
      <c r="I158" s="169" t="s">
        <v>982</v>
      </c>
      <c r="J158" s="169" t="s">
        <v>1403</v>
      </c>
      <c r="K158" s="169">
        <v>2027</v>
      </c>
      <c r="L158" s="169">
        <v>2027</v>
      </c>
      <c r="M158" s="171">
        <v>46275</v>
      </c>
      <c r="N158" s="169" t="s">
        <v>36</v>
      </c>
      <c r="O158" s="169" t="s">
        <v>708</v>
      </c>
      <c r="P158" s="169">
        <v>1044</v>
      </c>
      <c r="Q158" s="169" t="s">
        <v>1476</v>
      </c>
      <c r="R158" s="169">
        <v>2</v>
      </c>
      <c r="S158" s="169">
        <v>3</v>
      </c>
      <c r="T158" s="169" t="s">
        <v>1477</v>
      </c>
      <c r="U158" s="169">
        <v>4</v>
      </c>
      <c r="V158" s="169">
        <v>2722508</v>
      </c>
      <c r="W158" s="169">
        <v>0</v>
      </c>
      <c r="X158" s="169" t="s">
        <v>1406</v>
      </c>
      <c r="Z158" s="169" t="s">
        <v>32</v>
      </c>
      <c r="AA158" s="171">
        <v>46303</v>
      </c>
      <c r="AB158" s="169">
        <v>27</v>
      </c>
      <c r="AC158" s="169">
        <v>22508</v>
      </c>
      <c r="AD158" s="169">
        <v>131</v>
      </c>
      <c r="AE158" s="169" t="s">
        <v>1462</v>
      </c>
      <c r="AF158" s="169">
        <v>130</v>
      </c>
      <c r="AG158" s="169" t="s">
        <v>1402</v>
      </c>
      <c r="AH158" s="169" t="s">
        <v>36</v>
      </c>
      <c r="AI158" s="169" t="s">
        <v>708</v>
      </c>
      <c r="AJ158" s="169">
        <v>1044</v>
      </c>
      <c r="AK158" s="169" t="s">
        <v>1407</v>
      </c>
      <c r="AL158" s="169">
        <v>28088</v>
      </c>
      <c r="AM158" s="169" t="s">
        <v>1418</v>
      </c>
      <c r="AN158" s="169" t="s">
        <v>1497</v>
      </c>
      <c r="AO158" s="169">
        <v>28</v>
      </c>
      <c r="AP158" s="169" t="s">
        <v>1416</v>
      </c>
      <c r="AQ158" s="169">
        <v>0</v>
      </c>
      <c r="AR158" s="169" t="s">
        <v>1410</v>
      </c>
      <c r="AT158" s="169" t="s">
        <v>1417</v>
      </c>
      <c r="AU158" s="169" t="s">
        <v>1412</v>
      </c>
    </row>
    <row r="159" spans="1:47" x14ac:dyDescent="0.45">
      <c r="A159" s="169">
        <v>2713150015</v>
      </c>
      <c r="B159" s="169">
        <v>131</v>
      </c>
      <c r="C159" s="169" t="s">
        <v>1462</v>
      </c>
      <c r="D159" s="169">
        <v>130</v>
      </c>
      <c r="E159" s="169" t="s">
        <v>1402</v>
      </c>
      <c r="F159" s="169" t="s">
        <v>4656</v>
      </c>
      <c r="G159" s="169" t="s">
        <v>4657</v>
      </c>
      <c r="H159" s="169">
        <v>2</v>
      </c>
      <c r="I159" s="169" t="s">
        <v>4658</v>
      </c>
      <c r="J159" s="169" t="s">
        <v>1403</v>
      </c>
      <c r="K159" s="169">
        <v>2027</v>
      </c>
      <c r="L159" s="169">
        <v>2027</v>
      </c>
      <c r="M159" s="171">
        <v>46283</v>
      </c>
      <c r="N159" s="169" t="s">
        <v>36</v>
      </c>
      <c r="O159" s="169" t="s">
        <v>708</v>
      </c>
      <c r="P159" s="169">
        <v>1044</v>
      </c>
      <c r="Q159" s="169" t="s">
        <v>1476</v>
      </c>
      <c r="R159" s="169">
        <v>2</v>
      </c>
      <c r="S159" s="169">
        <v>3</v>
      </c>
      <c r="T159" s="169" t="s">
        <v>1477</v>
      </c>
      <c r="U159" s="169">
        <v>4</v>
      </c>
      <c r="V159" s="169">
        <v>2722526</v>
      </c>
      <c r="W159" s="169">
        <v>0</v>
      </c>
      <c r="X159" s="169" t="s">
        <v>1406</v>
      </c>
      <c r="Z159" s="169" t="s">
        <v>32</v>
      </c>
      <c r="AA159" s="171">
        <v>46315</v>
      </c>
      <c r="AB159" s="169">
        <v>27</v>
      </c>
      <c r="AC159" s="169">
        <v>22526</v>
      </c>
      <c r="AD159" s="169">
        <v>131</v>
      </c>
      <c r="AE159" s="169" t="s">
        <v>1462</v>
      </c>
      <c r="AF159" s="169">
        <v>130</v>
      </c>
      <c r="AG159" s="169" t="s">
        <v>1402</v>
      </c>
      <c r="AH159" s="169" t="s">
        <v>36</v>
      </c>
      <c r="AI159" s="169" t="s">
        <v>708</v>
      </c>
      <c r="AJ159" s="169">
        <v>1044</v>
      </c>
      <c r="AK159" s="169" t="s">
        <v>1407</v>
      </c>
      <c r="AL159" s="169">
        <v>28168</v>
      </c>
      <c r="AM159" s="169" t="s">
        <v>1418</v>
      </c>
      <c r="AN159" s="169" t="s">
        <v>1475</v>
      </c>
      <c r="AO159" s="169">
        <v>28</v>
      </c>
      <c r="AP159" s="169" t="s">
        <v>1416</v>
      </c>
      <c r="AQ159" s="169">
        <v>0</v>
      </c>
      <c r="AR159" s="169" t="s">
        <v>1410</v>
      </c>
      <c r="AT159" s="169" t="s">
        <v>1417</v>
      </c>
      <c r="AU159" s="169" t="s">
        <v>1412</v>
      </c>
    </row>
    <row r="160" spans="1:47" x14ac:dyDescent="0.45">
      <c r="A160" s="169">
        <v>2713150016</v>
      </c>
      <c r="B160" s="169">
        <v>131</v>
      </c>
      <c r="C160" s="169" t="s">
        <v>1462</v>
      </c>
      <c r="D160" s="169">
        <v>130</v>
      </c>
      <c r="E160" s="169" t="s">
        <v>1402</v>
      </c>
      <c r="F160" s="169" t="s">
        <v>4659</v>
      </c>
      <c r="G160" s="169" t="s">
        <v>4660</v>
      </c>
      <c r="H160" s="169">
        <v>2</v>
      </c>
      <c r="I160" s="169" t="s">
        <v>963</v>
      </c>
      <c r="J160" s="169" t="s">
        <v>1403</v>
      </c>
      <c r="K160" s="169">
        <v>2027</v>
      </c>
      <c r="L160" s="169">
        <v>2027</v>
      </c>
      <c r="M160" s="171">
        <v>46272</v>
      </c>
      <c r="N160" s="169" t="s">
        <v>36</v>
      </c>
      <c r="O160" s="169" t="s">
        <v>708</v>
      </c>
      <c r="P160" s="169">
        <v>121</v>
      </c>
      <c r="Q160" s="169" t="s">
        <v>1502</v>
      </c>
      <c r="R160" s="169">
        <v>2</v>
      </c>
      <c r="S160" s="169">
        <v>8</v>
      </c>
      <c r="T160" s="169" t="s">
        <v>1503</v>
      </c>
      <c r="U160" s="169">
        <v>6</v>
      </c>
      <c r="V160" s="169">
        <v>2722514</v>
      </c>
      <c r="W160" s="169">
        <v>0</v>
      </c>
      <c r="X160" s="169" t="s">
        <v>1406</v>
      </c>
      <c r="Z160" s="169" t="s">
        <v>32</v>
      </c>
      <c r="AA160" s="171">
        <v>46307</v>
      </c>
      <c r="AB160" s="169">
        <v>27</v>
      </c>
      <c r="AC160" s="169">
        <v>22514</v>
      </c>
      <c r="AD160" s="169">
        <v>131</v>
      </c>
      <c r="AE160" s="169" t="s">
        <v>1462</v>
      </c>
      <c r="AF160" s="169">
        <v>130</v>
      </c>
      <c r="AG160" s="169" t="s">
        <v>1402</v>
      </c>
      <c r="AH160" s="169" t="s">
        <v>36</v>
      </c>
      <c r="AI160" s="169" t="s">
        <v>708</v>
      </c>
      <c r="AJ160" s="169">
        <v>121</v>
      </c>
      <c r="AK160" s="169" t="s">
        <v>1407</v>
      </c>
      <c r="AL160" s="169">
        <v>28168</v>
      </c>
      <c r="AM160" s="169" t="s">
        <v>1418</v>
      </c>
      <c r="AN160" s="169" t="s">
        <v>1475</v>
      </c>
      <c r="AO160" s="169">
        <v>28</v>
      </c>
      <c r="AP160" s="169" t="s">
        <v>1416</v>
      </c>
      <c r="AQ160" s="169">
        <v>0</v>
      </c>
      <c r="AR160" s="169" t="s">
        <v>1410</v>
      </c>
      <c r="AT160" s="169" t="s">
        <v>1417</v>
      </c>
      <c r="AU160" s="169" t="s">
        <v>1412</v>
      </c>
    </row>
    <row r="161" spans="1:47" x14ac:dyDescent="0.45">
      <c r="A161" s="169">
        <v>2713150017</v>
      </c>
      <c r="B161" s="169">
        <v>131</v>
      </c>
      <c r="C161" s="169" t="s">
        <v>1462</v>
      </c>
      <c r="D161" s="169">
        <v>130</v>
      </c>
      <c r="E161" s="169" t="s">
        <v>1402</v>
      </c>
      <c r="F161" s="169" t="s">
        <v>4661</v>
      </c>
      <c r="G161" s="169" t="s">
        <v>4662</v>
      </c>
      <c r="H161" s="169">
        <v>2</v>
      </c>
      <c r="I161" s="169" t="s">
        <v>878</v>
      </c>
      <c r="J161" s="169" t="s">
        <v>1403</v>
      </c>
      <c r="K161" s="169">
        <v>2027</v>
      </c>
      <c r="L161" s="169">
        <v>2027</v>
      </c>
      <c r="M161" s="171">
        <v>46279</v>
      </c>
      <c r="N161" s="169" t="s">
        <v>36</v>
      </c>
      <c r="O161" s="169" t="s">
        <v>708</v>
      </c>
      <c r="P161" s="169">
        <v>1044</v>
      </c>
      <c r="Q161" s="169" t="s">
        <v>1476</v>
      </c>
      <c r="R161" s="169">
        <v>2</v>
      </c>
      <c r="S161" s="169">
        <v>3</v>
      </c>
      <c r="T161" s="169" t="s">
        <v>1477</v>
      </c>
      <c r="U161" s="169">
        <v>4</v>
      </c>
      <c r="V161" s="169">
        <v>2722510</v>
      </c>
      <c r="W161" s="169">
        <v>0</v>
      </c>
      <c r="X161" s="169" t="s">
        <v>1406</v>
      </c>
      <c r="Z161" s="169" t="s">
        <v>32</v>
      </c>
      <c r="AA161" s="171">
        <v>46303</v>
      </c>
      <c r="AB161" s="169">
        <v>27</v>
      </c>
      <c r="AC161" s="169">
        <v>22510</v>
      </c>
      <c r="AD161" s="169">
        <v>131</v>
      </c>
      <c r="AE161" s="169" t="s">
        <v>1462</v>
      </c>
      <c r="AF161" s="169">
        <v>130</v>
      </c>
      <c r="AG161" s="169" t="s">
        <v>1402</v>
      </c>
      <c r="AH161" s="169" t="s">
        <v>36</v>
      </c>
      <c r="AI161" s="169" t="s">
        <v>708</v>
      </c>
      <c r="AJ161" s="169">
        <v>1044</v>
      </c>
      <c r="AK161" s="169" t="s">
        <v>1407</v>
      </c>
      <c r="AL161" s="169">
        <v>28095</v>
      </c>
      <c r="AM161" s="169" t="s">
        <v>1421</v>
      </c>
      <c r="AN161" s="169" t="s">
        <v>1435</v>
      </c>
      <c r="AO161" s="169">
        <v>28</v>
      </c>
      <c r="AP161" s="169" t="s">
        <v>1416</v>
      </c>
      <c r="AQ161" s="169">
        <v>0</v>
      </c>
      <c r="AR161" s="169" t="s">
        <v>1410</v>
      </c>
      <c r="AT161" s="169" t="s">
        <v>1417</v>
      </c>
      <c r="AU161" s="169" t="s">
        <v>1412</v>
      </c>
    </row>
    <row r="162" spans="1:47" x14ac:dyDescent="0.45">
      <c r="A162" s="169">
        <v>2713150018</v>
      </c>
      <c r="B162" s="169">
        <v>131</v>
      </c>
      <c r="C162" s="169" t="s">
        <v>1462</v>
      </c>
      <c r="D162" s="169">
        <v>130</v>
      </c>
      <c r="E162" s="169" t="s">
        <v>1402</v>
      </c>
      <c r="F162" s="169" t="s">
        <v>4663</v>
      </c>
      <c r="G162" s="169" t="s">
        <v>4664</v>
      </c>
      <c r="H162" s="169">
        <v>2</v>
      </c>
      <c r="I162" s="169" t="s">
        <v>4665</v>
      </c>
      <c r="J162" s="169" t="s">
        <v>1403</v>
      </c>
      <c r="K162" s="169">
        <v>2027</v>
      </c>
      <c r="L162" s="169">
        <v>2027</v>
      </c>
      <c r="M162" s="171">
        <v>46289</v>
      </c>
      <c r="N162" s="169" t="s">
        <v>36</v>
      </c>
      <c r="O162" s="169" t="s">
        <v>708</v>
      </c>
      <c r="P162" s="169">
        <v>1044</v>
      </c>
      <c r="Q162" s="169" t="s">
        <v>1476</v>
      </c>
      <c r="R162" s="169">
        <v>2</v>
      </c>
      <c r="S162" s="169">
        <v>3</v>
      </c>
      <c r="T162" s="169" t="s">
        <v>1477</v>
      </c>
      <c r="U162" s="169">
        <v>4</v>
      </c>
      <c r="V162" s="169">
        <v>2722518</v>
      </c>
      <c r="W162" s="169">
        <v>0</v>
      </c>
      <c r="X162" s="169" t="s">
        <v>1406</v>
      </c>
      <c r="Z162" s="169" t="s">
        <v>32</v>
      </c>
      <c r="AA162" s="171">
        <v>46308</v>
      </c>
      <c r="AB162" s="169">
        <v>27</v>
      </c>
      <c r="AC162" s="169">
        <v>22518</v>
      </c>
      <c r="AD162" s="169">
        <v>131</v>
      </c>
      <c r="AE162" s="169" t="s">
        <v>1462</v>
      </c>
      <c r="AF162" s="169">
        <v>130</v>
      </c>
      <c r="AG162" s="169" t="s">
        <v>1402</v>
      </c>
      <c r="AH162" s="169" t="s">
        <v>36</v>
      </c>
      <c r="AI162" s="169" t="s">
        <v>708</v>
      </c>
      <c r="AJ162" s="169">
        <v>1044</v>
      </c>
      <c r="AK162" s="169" t="s">
        <v>1407</v>
      </c>
      <c r="AL162" s="169">
        <v>28168</v>
      </c>
      <c r="AM162" s="169" t="s">
        <v>1418</v>
      </c>
      <c r="AN162" s="169" t="s">
        <v>1475</v>
      </c>
      <c r="AO162" s="169">
        <v>28</v>
      </c>
      <c r="AP162" s="169" t="s">
        <v>1416</v>
      </c>
      <c r="AQ162" s="169">
        <v>0</v>
      </c>
      <c r="AR162" s="169" t="s">
        <v>1410</v>
      </c>
      <c r="AT162" s="169" t="s">
        <v>1417</v>
      </c>
      <c r="AU162" s="169" t="s">
        <v>1412</v>
      </c>
    </row>
    <row r="163" spans="1:47" x14ac:dyDescent="0.45">
      <c r="A163" s="169">
        <v>2713150020</v>
      </c>
      <c r="B163" s="169">
        <v>131</v>
      </c>
      <c r="C163" s="169" t="s">
        <v>1462</v>
      </c>
      <c r="D163" s="169">
        <v>130</v>
      </c>
      <c r="E163" s="169" t="s">
        <v>1402</v>
      </c>
      <c r="F163" s="169" t="s">
        <v>4666</v>
      </c>
      <c r="G163" s="169" t="s">
        <v>4667</v>
      </c>
      <c r="H163" s="169">
        <v>2</v>
      </c>
      <c r="I163" s="169" t="s">
        <v>792</v>
      </c>
      <c r="J163" s="169" t="s">
        <v>1403</v>
      </c>
      <c r="K163" s="169">
        <v>2027</v>
      </c>
      <c r="L163" s="169">
        <v>2027</v>
      </c>
      <c r="M163" s="171">
        <v>46322</v>
      </c>
      <c r="N163" s="169" t="s">
        <v>36</v>
      </c>
      <c r="O163" s="169" t="s">
        <v>704</v>
      </c>
      <c r="P163" s="169">
        <v>428</v>
      </c>
      <c r="Q163" s="169" t="s">
        <v>1463</v>
      </c>
      <c r="R163" s="169">
        <v>2</v>
      </c>
      <c r="S163" s="169">
        <v>2</v>
      </c>
      <c r="T163" s="169" t="s">
        <v>1464</v>
      </c>
      <c r="U163" s="169">
        <v>1</v>
      </c>
      <c r="V163" s="169">
        <v>0</v>
      </c>
      <c r="W163" s="169">
        <v>0</v>
      </c>
      <c r="X163" s="169" t="s">
        <v>1406</v>
      </c>
      <c r="Z163" s="169" t="s">
        <v>32</v>
      </c>
      <c r="AA163" s="169"/>
      <c r="AB163" s="169">
        <v>0</v>
      </c>
      <c r="AC163" s="169">
        <v>0</v>
      </c>
      <c r="AD163" s="169">
        <v>0</v>
      </c>
      <c r="AE163" s="169" t="s">
        <v>1446</v>
      </c>
      <c r="AG163" s="169" t="s">
        <v>1446</v>
      </c>
      <c r="AJ163" s="169">
        <v>0</v>
      </c>
      <c r="AK163" s="169" t="s">
        <v>1407</v>
      </c>
      <c r="AL163" s="169">
        <v>28088</v>
      </c>
      <c r="AM163" s="169" t="s">
        <v>1418</v>
      </c>
      <c r="AN163" s="169" t="s">
        <v>1497</v>
      </c>
      <c r="AO163" s="169">
        <v>28</v>
      </c>
      <c r="AP163" s="169" t="s">
        <v>1416</v>
      </c>
      <c r="AQ163" s="169">
        <v>0</v>
      </c>
      <c r="AT163" s="169" t="s">
        <v>1417</v>
      </c>
      <c r="AU163" s="169" t="s">
        <v>1412</v>
      </c>
    </row>
    <row r="164" spans="1:47" x14ac:dyDescent="0.45">
      <c r="A164" s="169">
        <v>2713150021</v>
      </c>
      <c r="B164" s="169">
        <v>131</v>
      </c>
      <c r="C164" s="169" t="s">
        <v>1462</v>
      </c>
      <c r="D164" s="169">
        <v>130</v>
      </c>
      <c r="E164" s="169" t="s">
        <v>1402</v>
      </c>
      <c r="F164" s="169" t="s">
        <v>4668</v>
      </c>
      <c r="G164" s="169" t="s">
        <v>4669</v>
      </c>
      <c r="H164" s="169">
        <v>1</v>
      </c>
      <c r="I164" s="169" t="s">
        <v>1027</v>
      </c>
      <c r="J164" s="169" t="s">
        <v>1403</v>
      </c>
      <c r="K164" s="169">
        <v>2027</v>
      </c>
      <c r="L164" s="169">
        <v>2027</v>
      </c>
      <c r="M164" s="171">
        <v>46272</v>
      </c>
      <c r="N164" s="169" t="s">
        <v>36</v>
      </c>
      <c r="O164" s="169" t="s">
        <v>704</v>
      </c>
      <c r="P164" s="169">
        <v>427</v>
      </c>
      <c r="Q164" s="169" t="s">
        <v>1479</v>
      </c>
      <c r="R164" s="169">
        <v>2</v>
      </c>
      <c r="S164" s="169">
        <v>2</v>
      </c>
      <c r="T164" s="169" t="s">
        <v>1464</v>
      </c>
      <c r="U164" s="169">
        <v>1</v>
      </c>
      <c r="V164" s="169">
        <v>0</v>
      </c>
      <c r="W164" s="169">
        <v>0</v>
      </c>
      <c r="X164" s="169" t="s">
        <v>1406</v>
      </c>
      <c r="Z164" s="169" t="s">
        <v>32</v>
      </c>
      <c r="AA164" s="169"/>
      <c r="AB164" s="169">
        <v>0</v>
      </c>
      <c r="AC164" s="169">
        <v>0</v>
      </c>
      <c r="AD164" s="169">
        <v>0</v>
      </c>
      <c r="AE164" s="169" t="s">
        <v>1446</v>
      </c>
      <c r="AG164" s="169" t="s">
        <v>1446</v>
      </c>
      <c r="AJ164" s="169">
        <v>0</v>
      </c>
      <c r="AK164" s="169" t="s">
        <v>1407</v>
      </c>
      <c r="AL164" s="169">
        <v>1355</v>
      </c>
      <c r="AM164" s="169" t="s">
        <v>1421</v>
      </c>
      <c r="AN164" s="169" t="s">
        <v>1442</v>
      </c>
      <c r="AO164" s="169">
        <v>1</v>
      </c>
      <c r="AP164" s="169" t="s">
        <v>1443</v>
      </c>
      <c r="AQ164" s="169">
        <v>0</v>
      </c>
      <c r="AR164" s="169" t="s">
        <v>1410</v>
      </c>
      <c r="AT164" s="169" t="s">
        <v>1417</v>
      </c>
      <c r="AU164" s="169" t="s">
        <v>1412</v>
      </c>
    </row>
    <row r="165" spans="1:47" x14ac:dyDescent="0.45">
      <c r="A165" s="169">
        <v>2713150022</v>
      </c>
      <c r="B165" s="169">
        <v>131</v>
      </c>
      <c r="C165" s="169" t="s">
        <v>1462</v>
      </c>
      <c r="D165" s="169">
        <v>130</v>
      </c>
      <c r="E165" s="169" t="s">
        <v>1402</v>
      </c>
      <c r="F165" s="169" t="s">
        <v>4670</v>
      </c>
      <c r="G165" s="169" t="s">
        <v>4671</v>
      </c>
      <c r="H165" s="169">
        <v>1</v>
      </c>
      <c r="I165" s="169" t="s">
        <v>3318</v>
      </c>
      <c r="J165" s="169" t="s">
        <v>1403</v>
      </c>
      <c r="K165" s="169">
        <v>2027</v>
      </c>
      <c r="L165" s="169">
        <v>2027</v>
      </c>
      <c r="M165" s="171">
        <v>46322</v>
      </c>
      <c r="N165" s="169" t="s">
        <v>36</v>
      </c>
      <c r="O165" s="169" t="s">
        <v>793</v>
      </c>
      <c r="P165" s="169">
        <v>857</v>
      </c>
      <c r="Q165" s="169" t="s">
        <v>1481</v>
      </c>
      <c r="R165" s="169">
        <v>1</v>
      </c>
      <c r="S165" s="169">
        <v>2</v>
      </c>
      <c r="T165" s="169" t="s">
        <v>1464</v>
      </c>
      <c r="U165" s="169">
        <v>1</v>
      </c>
      <c r="V165" s="169">
        <v>0</v>
      </c>
      <c r="W165" s="169">
        <v>0</v>
      </c>
      <c r="X165" s="169" t="s">
        <v>1406</v>
      </c>
      <c r="Z165" s="169" t="s">
        <v>32</v>
      </c>
      <c r="AA165" s="169"/>
      <c r="AB165" s="169">
        <v>0</v>
      </c>
      <c r="AC165" s="169">
        <v>0</v>
      </c>
      <c r="AD165" s="169">
        <v>0</v>
      </c>
      <c r="AE165" s="169" t="s">
        <v>1446</v>
      </c>
      <c r="AG165" s="169" t="s">
        <v>1446</v>
      </c>
      <c r="AJ165" s="169">
        <v>0</v>
      </c>
      <c r="AK165" s="169" t="s">
        <v>1410</v>
      </c>
      <c r="AL165" s="169">
        <v>28193</v>
      </c>
      <c r="AM165" s="169" t="s">
        <v>1418</v>
      </c>
      <c r="AN165" s="169" t="s">
        <v>1439</v>
      </c>
      <c r="AO165" s="169">
        <v>28</v>
      </c>
      <c r="AP165" s="169" t="s">
        <v>1416</v>
      </c>
      <c r="AQ165" s="169">
        <v>0</v>
      </c>
      <c r="AT165" s="169" t="s">
        <v>1417</v>
      </c>
      <c r="AU165" s="169" t="s">
        <v>1412</v>
      </c>
    </row>
    <row r="166" spans="1:47" x14ac:dyDescent="0.45">
      <c r="A166" s="169">
        <v>2713150023</v>
      </c>
      <c r="B166" s="169">
        <v>131</v>
      </c>
      <c r="C166" s="169" t="s">
        <v>1462</v>
      </c>
      <c r="D166" s="169">
        <v>130</v>
      </c>
      <c r="E166" s="169" t="s">
        <v>1402</v>
      </c>
      <c r="F166" s="169" t="s">
        <v>4672</v>
      </c>
      <c r="G166" s="169" t="s">
        <v>4673</v>
      </c>
      <c r="H166" s="169">
        <v>1</v>
      </c>
      <c r="I166" s="169" t="s">
        <v>4674</v>
      </c>
      <c r="J166" s="169" t="s">
        <v>1403</v>
      </c>
      <c r="K166" s="169">
        <v>2027</v>
      </c>
      <c r="L166" s="169">
        <v>2027</v>
      </c>
      <c r="M166" s="171">
        <v>46268</v>
      </c>
      <c r="N166" s="169" t="s">
        <v>36</v>
      </c>
      <c r="O166" s="169" t="s">
        <v>704</v>
      </c>
      <c r="P166" s="169">
        <v>968</v>
      </c>
      <c r="Q166" s="169" t="s">
        <v>1474</v>
      </c>
      <c r="R166" s="169">
        <v>2</v>
      </c>
      <c r="S166" s="169">
        <v>2</v>
      </c>
      <c r="T166" s="169" t="s">
        <v>1464</v>
      </c>
      <c r="U166" s="169">
        <v>1</v>
      </c>
      <c r="V166" s="169">
        <v>2722505</v>
      </c>
      <c r="W166" s="169">
        <v>0</v>
      </c>
      <c r="X166" s="169" t="s">
        <v>1406</v>
      </c>
      <c r="Z166" s="169" t="s">
        <v>32</v>
      </c>
      <c r="AA166" s="171">
        <v>46302</v>
      </c>
      <c r="AB166" s="169">
        <v>27</v>
      </c>
      <c r="AC166" s="169">
        <v>22505</v>
      </c>
      <c r="AD166" s="169">
        <v>131</v>
      </c>
      <c r="AE166" s="169" t="s">
        <v>1462</v>
      </c>
      <c r="AF166" s="169">
        <v>130</v>
      </c>
      <c r="AG166" s="169" t="s">
        <v>1402</v>
      </c>
      <c r="AH166" s="169" t="s">
        <v>36</v>
      </c>
      <c r="AI166" s="169" t="s">
        <v>704</v>
      </c>
      <c r="AJ166" s="169">
        <v>968</v>
      </c>
      <c r="AK166" s="169" t="s">
        <v>1407</v>
      </c>
      <c r="AL166" s="169">
        <v>28090</v>
      </c>
      <c r="AM166" s="169" t="s">
        <v>1414</v>
      </c>
      <c r="AN166" s="169" t="s">
        <v>1455</v>
      </c>
      <c r="AO166" s="169">
        <v>28</v>
      </c>
      <c r="AP166" s="169" t="s">
        <v>1416</v>
      </c>
      <c r="AQ166" s="169">
        <v>0</v>
      </c>
      <c r="AR166" s="169" t="s">
        <v>1410</v>
      </c>
      <c r="AT166" s="169" t="s">
        <v>1417</v>
      </c>
      <c r="AU166" s="169" t="s">
        <v>1412</v>
      </c>
    </row>
    <row r="167" spans="1:47" x14ac:dyDescent="0.45">
      <c r="A167" s="169">
        <v>2713150024</v>
      </c>
      <c r="B167" s="169">
        <v>131</v>
      </c>
      <c r="C167" s="169" t="s">
        <v>1462</v>
      </c>
      <c r="D167" s="169">
        <v>130</v>
      </c>
      <c r="E167" s="169" t="s">
        <v>1402</v>
      </c>
      <c r="F167" s="169" t="s">
        <v>4675</v>
      </c>
      <c r="G167" s="169" t="s">
        <v>4676</v>
      </c>
      <c r="H167" s="169">
        <v>2</v>
      </c>
      <c r="I167" s="169" t="s">
        <v>4677</v>
      </c>
      <c r="J167" s="169" t="s">
        <v>1403</v>
      </c>
      <c r="K167" s="169">
        <v>2027</v>
      </c>
      <c r="L167" s="169">
        <v>2027</v>
      </c>
      <c r="M167" s="171">
        <v>46307</v>
      </c>
      <c r="N167" s="169" t="s">
        <v>36</v>
      </c>
      <c r="O167" s="169" t="s">
        <v>704</v>
      </c>
      <c r="P167" s="169">
        <v>290</v>
      </c>
      <c r="Q167" s="169" t="s">
        <v>1496</v>
      </c>
      <c r="R167" s="169">
        <v>2</v>
      </c>
      <c r="S167" s="169">
        <v>2</v>
      </c>
      <c r="T167" s="169" t="s">
        <v>1464</v>
      </c>
      <c r="U167" s="169">
        <v>1</v>
      </c>
      <c r="V167" s="169">
        <v>0</v>
      </c>
      <c r="W167" s="169">
        <v>0</v>
      </c>
      <c r="X167" s="169" t="s">
        <v>1406</v>
      </c>
      <c r="Z167" s="169" t="s">
        <v>32</v>
      </c>
      <c r="AA167" s="169"/>
      <c r="AB167" s="169">
        <v>0</v>
      </c>
      <c r="AC167" s="169">
        <v>0</v>
      </c>
      <c r="AD167" s="169">
        <v>0</v>
      </c>
      <c r="AE167" s="169" t="s">
        <v>1446</v>
      </c>
      <c r="AG167" s="169" t="s">
        <v>1446</v>
      </c>
      <c r="AJ167" s="169">
        <v>0</v>
      </c>
      <c r="AK167" s="169" t="s">
        <v>1473</v>
      </c>
      <c r="AL167" s="169">
        <v>28091</v>
      </c>
      <c r="AM167" s="169" t="s">
        <v>1421</v>
      </c>
      <c r="AN167" s="169" t="s">
        <v>1452</v>
      </c>
      <c r="AO167" s="169">
        <v>28</v>
      </c>
      <c r="AP167" s="169" t="s">
        <v>1416</v>
      </c>
      <c r="AQ167" s="169">
        <v>0</v>
      </c>
      <c r="AR167" s="169" t="s">
        <v>1410</v>
      </c>
      <c r="AT167" s="169" t="s">
        <v>1417</v>
      </c>
      <c r="AU167" s="169" t="s">
        <v>1412</v>
      </c>
    </row>
    <row r="168" spans="1:47" x14ac:dyDescent="0.45">
      <c r="A168" s="169">
        <v>2713150025</v>
      </c>
      <c r="B168" s="169">
        <v>131</v>
      </c>
      <c r="C168" s="169" t="s">
        <v>1462</v>
      </c>
      <c r="D168" s="169">
        <v>130</v>
      </c>
      <c r="E168" s="169" t="s">
        <v>1402</v>
      </c>
      <c r="F168" s="169" t="s">
        <v>4678</v>
      </c>
      <c r="G168" s="169" t="s">
        <v>4679</v>
      </c>
      <c r="H168" s="169">
        <v>2</v>
      </c>
      <c r="I168" s="169" t="s">
        <v>4680</v>
      </c>
      <c r="J168" s="169" t="s">
        <v>1403</v>
      </c>
      <c r="K168" s="169">
        <v>2027</v>
      </c>
      <c r="L168" s="169">
        <v>2027</v>
      </c>
      <c r="M168" s="171">
        <v>46300</v>
      </c>
      <c r="N168" s="169" t="s">
        <v>36</v>
      </c>
      <c r="O168" s="169" t="s">
        <v>708</v>
      </c>
      <c r="P168" s="169">
        <v>121</v>
      </c>
      <c r="Q168" s="169" t="s">
        <v>1502</v>
      </c>
      <c r="R168" s="169">
        <v>2</v>
      </c>
      <c r="S168" s="169">
        <v>8</v>
      </c>
      <c r="T168" s="169" t="s">
        <v>1503</v>
      </c>
      <c r="U168" s="169">
        <v>6</v>
      </c>
      <c r="V168" s="169">
        <v>0</v>
      </c>
      <c r="W168" s="169">
        <v>0</v>
      </c>
      <c r="X168" s="169" t="s">
        <v>1406</v>
      </c>
      <c r="Z168" s="169" t="s">
        <v>32</v>
      </c>
      <c r="AA168" s="169"/>
      <c r="AB168" s="169">
        <v>0</v>
      </c>
      <c r="AC168" s="169">
        <v>0</v>
      </c>
      <c r="AD168" s="169">
        <v>0</v>
      </c>
      <c r="AE168" s="169" t="s">
        <v>1446</v>
      </c>
      <c r="AG168" s="169" t="s">
        <v>1446</v>
      </c>
      <c r="AJ168" s="169">
        <v>0</v>
      </c>
      <c r="AK168" s="169" t="s">
        <v>1407</v>
      </c>
      <c r="AL168" s="169">
        <v>28107</v>
      </c>
      <c r="AM168" s="169" t="s">
        <v>1418</v>
      </c>
      <c r="AN168" s="169" t="s">
        <v>1484</v>
      </c>
      <c r="AO168" s="169">
        <v>28</v>
      </c>
      <c r="AP168" s="169" t="s">
        <v>1416</v>
      </c>
      <c r="AQ168" s="169">
        <v>0</v>
      </c>
      <c r="AR168" s="169" t="s">
        <v>1410</v>
      </c>
      <c r="AT168" s="169" t="s">
        <v>1417</v>
      </c>
      <c r="AU168" s="169" t="s">
        <v>1412</v>
      </c>
    </row>
    <row r="169" spans="1:47" x14ac:dyDescent="0.45">
      <c r="A169" s="169">
        <v>2713150027</v>
      </c>
      <c r="B169" s="169">
        <v>131</v>
      </c>
      <c r="C169" s="169" t="s">
        <v>1462</v>
      </c>
      <c r="D169" s="169">
        <v>130</v>
      </c>
      <c r="E169" s="169" t="s">
        <v>1402</v>
      </c>
      <c r="F169" s="169" t="s">
        <v>4681</v>
      </c>
      <c r="G169" s="169" t="s">
        <v>4682</v>
      </c>
      <c r="H169" s="169">
        <v>1</v>
      </c>
      <c r="I169" s="169" t="s">
        <v>543</v>
      </c>
      <c r="J169" s="169" t="s">
        <v>1403</v>
      </c>
      <c r="K169" s="169">
        <v>2027</v>
      </c>
      <c r="L169" s="169">
        <v>2027</v>
      </c>
      <c r="M169" s="171">
        <v>46266</v>
      </c>
      <c r="N169" s="169" t="s">
        <v>36</v>
      </c>
      <c r="O169" s="169" t="s">
        <v>708</v>
      </c>
      <c r="P169" s="169">
        <v>121</v>
      </c>
      <c r="Q169" s="169" t="s">
        <v>1502</v>
      </c>
      <c r="R169" s="169">
        <v>2</v>
      </c>
      <c r="S169" s="169">
        <v>8</v>
      </c>
      <c r="T169" s="169" t="s">
        <v>1503</v>
      </c>
      <c r="U169" s="169">
        <v>6</v>
      </c>
      <c r="V169" s="169">
        <v>0</v>
      </c>
      <c r="W169" s="169">
        <v>0</v>
      </c>
      <c r="X169" s="169" t="s">
        <v>1406</v>
      </c>
      <c r="Z169" s="169" t="s">
        <v>32</v>
      </c>
      <c r="AA169" s="169"/>
      <c r="AB169" s="169">
        <v>0</v>
      </c>
      <c r="AC169" s="169">
        <v>0</v>
      </c>
      <c r="AD169" s="169">
        <v>0</v>
      </c>
      <c r="AE169" s="169" t="s">
        <v>1446</v>
      </c>
      <c r="AG169" s="169" t="s">
        <v>1446</v>
      </c>
      <c r="AJ169" s="169">
        <v>0</v>
      </c>
      <c r="AK169" s="169" t="s">
        <v>1407</v>
      </c>
      <c r="AL169" s="169">
        <v>28108</v>
      </c>
      <c r="AM169" s="169" t="s">
        <v>1418</v>
      </c>
      <c r="AN169" s="169" t="s">
        <v>1534</v>
      </c>
      <c r="AO169" s="169">
        <v>28</v>
      </c>
      <c r="AP169" s="169" t="s">
        <v>1416</v>
      </c>
      <c r="AQ169" s="169">
        <v>0</v>
      </c>
      <c r="AR169" s="169" t="s">
        <v>1410</v>
      </c>
      <c r="AT169" s="169" t="s">
        <v>1417</v>
      </c>
      <c r="AU169" s="169" t="s">
        <v>1412</v>
      </c>
    </row>
    <row r="170" spans="1:47" x14ac:dyDescent="0.45">
      <c r="A170" s="169">
        <v>2713150028</v>
      </c>
      <c r="B170" s="169">
        <v>131</v>
      </c>
      <c r="C170" s="169" t="s">
        <v>1462</v>
      </c>
      <c r="D170" s="169">
        <v>130</v>
      </c>
      <c r="E170" s="169" t="s">
        <v>1402</v>
      </c>
      <c r="F170" s="169" t="s">
        <v>4683</v>
      </c>
      <c r="G170" s="169" t="s">
        <v>4684</v>
      </c>
      <c r="H170" s="169">
        <v>2</v>
      </c>
      <c r="I170" s="169" t="s">
        <v>4685</v>
      </c>
      <c r="J170" s="169" t="s">
        <v>1403</v>
      </c>
      <c r="K170" s="169">
        <v>2027</v>
      </c>
      <c r="L170" s="169">
        <v>2027</v>
      </c>
      <c r="M170" s="171">
        <v>46300</v>
      </c>
      <c r="N170" s="169" t="s">
        <v>36</v>
      </c>
      <c r="O170" s="169" t="s">
        <v>708</v>
      </c>
      <c r="P170" s="169">
        <v>121</v>
      </c>
      <c r="Q170" s="169" t="s">
        <v>1502</v>
      </c>
      <c r="R170" s="169">
        <v>2</v>
      </c>
      <c r="S170" s="169">
        <v>8</v>
      </c>
      <c r="T170" s="169" t="s">
        <v>1503</v>
      </c>
      <c r="U170" s="169">
        <v>6</v>
      </c>
      <c r="V170" s="169">
        <v>2722525</v>
      </c>
      <c r="W170" s="169">
        <v>0</v>
      </c>
      <c r="X170" s="169" t="s">
        <v>1406</v>
      </c>
      <c r="Z170" s="169" t="s">
        <v>32</v>
      </c>
      <c r="AA170" s="171">
        <v>46314</v>
      </c>
      <c r="AB170" s="169">
        <v>27</v>
      </c>
      <c r="AC170" s="169">
        <v>22525</v>
      </c>
      <c r="AD170" s="169">
        <v>131</v>
      </c>
      <c r="AE170" s="169" t="s">
        <v>1462</v>
      </c>
      <c r="AF170" s="169">
        <v>130</v>
      </c>
      <c r="AG170" s="169" t="s">
        <v>1402</v>
      </c>
      <c r="AH170" s="169" t="s">
        <v>36</v>
      </c>
      <c r="AI170" s="169" t="s">
        <v>708</v>
      </c>
      <c r="AJ170" s="169">
        <v>121</v>
      </c>
      <c r="AK170" s="169" t="s">
        <v>1407</v>
      </c>
      <c r="AL170" s="169">
        <v>28269</v>
      </c>
      <c r="AM170" s="169" t="s">
        <v>1421</v>
      </c>
      <c r="AN170" s="169" t="s">
        <v>1450</v>
      </c>
      <c r="AO170" s="169">
        <v>28</v>
      </c>
      <c r="AP170" s="169" t="s">
        <v>1416</v>
      </c>
      <c r="AQ170" s="169">
        <v>0</v>
      </c>
      <c r="AR170" s="169" t="s">
        <v>1410</v>
      </c>
      <c r="AT170" s="169" t="s">
        <v>1417</v>
      </c>
      <c r="AU170" s="169" t="s">
        <v>1412</v>
      </c>
    </row>
    <row r="171" spans="1:47" x14ac:dyDescent="0.45">
      <c r="A171" s="169">
        <v>2713150030</v>
      </c>
      <c r="B171" s="169">
        <v>131</v>
      </c>
      <c r="C171" s="169" t="s">
        <v>1462</v>
      </c>
      <c r="D171" s="169">
        <v>130</v>
      </c>
      <c r="E171" s="169" t="s">
        <v>1402</v>
      </c>
      <c r="F171" s="169" t="s">
        <v>4686</v>
      </c>
      <c r="G171" s="169" t="s">
        <v>4687</v>
      </c>
      <c r="H171" s="169">
        <v>2</v>
      </c>
      <c r="I171" s="169" t="s">
        <v>4688</v>
      </c>
      <c r="J171" s="169" t="s">
        <v>1403</v>
      </c>
      <c r="K171" s="169">
        <v>2027</v>
      </c>
      <c r="L171" s="169">
        <v>2027</v>
      </c>
      <c r="M171" s="171">
        <v>46266</v>
      </c>
      <c r="N171" s="169" t="s">
        <v>36</v>
      </c>
      <c r="O171" s="169" t="s">
        <v>708</v>
      </c>
      <c r="P171" s="169">
        <v>121</v>
      </c>
      <c r="Q171" s="169" t="s">
        <v>1502</v>
      </c>
      <c r="R171" s="169">
        <v>2</v>
      </c>
      <c r="S171" s="169">
        <v>8</v>
      </c>
      <c r="T171" s="169" t="s">
        <v>1503</v>
      </c>
      <c r="U171" s="169">
        <v>6</v>
      </c>
      <c r="V171" s="169">
        <v>0</v>
      </c>
      <c r="W171" s="169">
        <v>0</v>
      </c>
      <c r="X171" s="169" t="s">
        <v>1406</v>
      </c>
      <c r="Z171" s="169" t="s">
        <v>32</v>
      </c>
      <c r="AA171" s="169"/>
      <c r="AB171" s="169">
        <v>0</v>
      </c>
      <c r="AC171" s="169">
        <v>0</v>
      </c>
      <c r="AD171" s="169">
        <v>0</v>
      </c>
      <c r="AE171" s="169" t="s">
        <v>1446</v>
      </c>
      <c r="AG171" s="169" t="s">
        <v>1446</v>
      </c>
      <c r="AJ171" s="169">
        <v>0</v>
      </c>
      <c r="AK171" s="169" t="s">
        <v>1407</v>
      </c>
      <c r="AL171" s="169">
        <v>28168</v>
      </c>
      <c r="AM171" s="169" t="s">
        <v>1418</v>
      </c>
      <c r="AN171" s="169" t="s">
        <v>1475</v>
      </c>
      <c r="AO171" s="169">
        <v>28</v>
      </c>
      <c r="AP171" s="169" t="s">
        <v>1416</v>
      </c>
      <c r="AQ171" s="169">
        <v>0</v>
      </c>
      <c r="AR171" s="169" t="s">
        <v>1410</v>
      </c>
      <c r="AT171" s="169" t="s">
        <v>1417</v>
      </c>
      <c r="AU171" s="169" t="s">
        <v>1412</v>
      </c>
    </row>
    <row r="172" spans="1:47" x14ac:dyDescent="0.45">
      <c r="A172" s="169">
        <v>2713150031</v>
      </c>
      <c r="B172" s="169">
        <v>131</v>
      </c>
      <c r="C172" s="169" t="s">
        <v>1462</v>
      </c>
      <c r="D172" s="169">
        <v>130</v>
      </c>
      <c r="E172" s="169" t="s">
        <v>1402</v>
      </c>
      <c r="F172" s="169" t="s">
        <v>4689</v>
      </c>
      <c r="G172" s="169" t="s">
        <v>4690</v>
      </c>
      <c r="H172" s="169">
        <v>2</v>
      </c>
      <c r="I172" s="169" t="s">
        <v>4691</v>
      </c>
      <c r="J172" s="169" t="s">
        <v>1403</v>
      </c>
      <c r="K172" s="169">
        <v>2027</v>
      </c>
      <c r="L172" s="169">
        <v>2027</v>
      </c>
      <c r="M172" s="171">
        <v>46272</v>
      </c>
      <c r="N172" s="169" t="s">
        <v>36</v>
      </c>
      <c r="O172" s="169" t="s">
        <v>741</v>
      </c>
      <c r="P172" s="169">
        <v>581</v>
      </c>
      <c r="Q172" s="169" t="s">
        <v>1489</v>
      </c>
      <c r="R172" s="169">
        <v>2</v>
      </c>
      <c r="S172" s="169">
        <v>10</v>
      </c>
      <c r="T172" s="169" t="s">
        <v>1490</v>
      </c>
      <c r="U172" s="169">
        <v>9</v>
      </c>
      <c r="V172" s="169">
        <v>0</v>
      </c>
      <c r="W172" s="169">
        <v>0</v>
      </c>
      <c r="X172" s="169" t="s">
        <v>1406</v>
      </c>
      <c r="Z172" s="169" t="s">
        <v>32</v>
      </c>
      <c r="AA172" s="169"/>
      <c r="AB172" s="169">
        <v>0</v>
      </c>
      <c r="AC172" s="169">
        <v>0</v>
      </c>
      <c r="AD172" s="169">
        <v>0</v>
      </c>
      <c r="AE172" s="169" t="s">
        <v>1446</v>
      </c>
      <c r="AG172" s="169" t="s">
        <v>1446</v>
      </c>
      <c r="AJ172" s="169">
        <v>0</v>
      </c>
      <c r="AK172" s="169" t="s">
        <v>1407</v>
      </c>
      <c r="AL172" s="169">
        <v>28168</v>
      </c>
      <c r="AM172" s="169" t="s">
        <v>1418</v>
      </c>
      <c r="AN172" s="169" t="s">
        <v>1475</v>
      </c>
      <c r="AO172" s="169">
        <v>28</v>
      </c>
      <c r="AP172" s="169" t="s">
        <v>1416</v>
      </c>
      <c r="AQ172" s="169">
        <v>0</v>
      </c>
      <c r="AR172" s="169" t="s">
        <v>1410</v>
      </c>
      <c r="AT172" s="169" t="s">
        <v>1417</v>
      </c>
      <c r="AU172" s="169" t="s">
        <v>1412</v>
      </c>
    </row>
    <row r="173" spans="1:47" x14ac:dyDescent="0.45">
      <c r="A173" s="169">
        <v>2713150033</v>
      </c>
      <c r="B173" s="169">
        <v>131</v>
      </c>
      <c r="C173" s="169" t="s">
        <v>1462</v>
      </c>
      <c r="D173" s="169">
        <v>130</v>
      </c>
      <c r="E173" s="169" t="s">
        <v>1402</v>
      </c>
      <c r="F173" s="169" t="s">
        <v>4692</v>
      </c>
      <c r="G173" s="169" t="s">
        <v>4693</v>
      </c>
      <c r="H173" s="169">
        <v>2</v>
      </c>
      <c r="I173" s="169" t="s">
        <v>716</v>
      </c>
      <c r="J173" s="169" t="s">
        <v>1403</v>
      </c>
      <c r="K173" s="169">
        <v>2027</v>
      </c>
      <c r="L173" s="169">
        <v>2027</v>
      </c>
      <c r="M173" s="171">
        <v>46283</v>
      </c>
      <c r="N173" s="169" t="s">
        <v>36</v>
      </c>
      <c r="O173" s="169" t="s">
        <v>741</v>
      </c>
      <c r="P173" s="169">
        <v>581</v>
      </c>
      <c r="Q173" s="169" t="s">
        <v>1489</v>
      </c>
      <c r="R173" s="169">
        <v>2</v>
      </c>
      <c r="S173" s="169">
        <v>10</v>
      </c>
      <c r="T173" s="169" t="s">
        <v>1490</v>
      </c>
      <c r="U173" s="169">
        <v>9</v>
      </c>
      <c r="V173" s="169">
        <v>2722519</v>
      </c>
      <c r="W173" s="169">
        <v>0</v>
      </c>
      <c r="X173" s="169" t="s">
        <v>1406</v>
      </c>
      <c r="Z173" s="169" t="s">
        <v>32</v>
      </c>
      <c r="AA173" s="171">
        <v>46308</v>
      </c>
      <c r="AB173" s="169">
        <v>27</v>
      </c>
      <c r="AC173" s="169">
        <v>22519</v>
      </c>
      <c r="AD173" s="169">
        <v>131</v>
      </c>
      <c r="AE173" s="169" t="s">
        <v>1462</v>
      </c>
      <c r="AF173" s="169">
        <v>130</v>
      </c>
      <c r="AG173" s="169" t="s">
        <v>1402</v>
      </c>
      <c r="AH173" s="169" t="s">
        <v>36</v>
      </c>
      <c r="AI173" s="169" t="s">
        <v>741</v>
      </c>
      <c r="AJ173" s="169">
        <v>581</v>
      </c>
      <c r="AK173" s="169" t="s">
        <v>1407</v>
      </c>
      <c r="AL173" s="169">
        <v>28157</v>
      </c>
      <c r="AM173" s="169" t="s">
        <v>1414</v>
      </c>
      <c r="AN173" s="169" t="s">
        <v>1415</v>
      </c>
      <c r="AO173" s="169">
        <v>28</v>
      </c>
      <c r="AP173" s="169" t="s">
        <v>1416</v>
      </c>
      <c r="AQ173" s="169">
        <v>0</v>
      </c>
      <c r="AR173" s="169" t="s">
        <v>1410</v>
      </c>
      <c r="AT173" s="169" t="s">
        <v>1417</v>
      </c>
      <c r="AU173" s="169" t="s">
        <v>1412</v>
      </c>
    </row>
    <row r="174" spans="1:47" x14ac:dyDescent="0.45">
      <c r="A174" s="169">
        <v>2713150034</v>
      </c>
      <c r="B174" s="169">
        <v>131</v>
      </c>
      <c r="C174" s="169" t="s">
        <v>1462</v>
      </c>
      <c r="D174" s="169">
        <v>130</v>
      </c>
      <c r="E174" s="169" t="s">
        <v>1402</v>
      </c>
      <c r="F174" s="169" t="s">
        <v>4694</v>
      </c>
      <c r="G174" s="169" t="s">
        <v>4695</v>
      </c>
      <c r="H174" s="169">
        <v>2</v>
      </c>
      <c r="I174" s="169" t="s">
        <v>2153</v>
      </c>
      <c r="J174" s="169" t="s">
        <v>1403</v>
      </c>
      <c r="K174" s="169">
        <v>2027</v>
      </c>
      <c r="L174" s="169">
        <v>2027</v>
      </c>
      <c r="M174" s="171">
        <v>46266</v>
      </c>
      <c r="N174" s="169" t="s">
        <v>36</v>
      </c>
      <c r="O174" s="169" t="s">
        <v>741</v>
      </c>
      <c r="P174" s="169">
        <v>581</v>
      </c>
      <c r="Q174" s="169" t="s">
        <v>1489</v>
      </c>
      <c r="R174" s="169">
        <v>2</v>
      </c>
      <c r="S174" s="169">
        <v>10</v>
      </c>
      <c r="T174" s="169" t="s">
        <v>1490</v>
      </c>
      <c r="U174" s="169">
        <v>9</v>
      </c>
      <c r="V174" s="169">
        <v>2722516</v>
      </c>
      <c r="W174" s="169">
        <v>0</v>
      </c>
      <c r="X174" s="169" t="s">
        <v>1406</v>
      </c>
      <c r="Z174" s="169" t="s">
        <v>32</v>
      </c>
      <c r="AA174" s="171">
        <v>46308</v>
      </c>
      <c r="AB174" s="169">
        <v>27</v>
      </c>
      <c r="AC174" s="169">
        <v>22516</v>
      </c>
      <c r="AD174" s="169">
        <v>131</v>
      </c>
      <c r="AE174" s="169" t="s">
        <v>1462</v>
      </c>
      <c r="AF174" s="169">
        <v>130</v>
      </c>
      <c r="AG174" s="169" t="s">
        <v>1402</v>
      </c>
      <c r="AH174" s="169" t="s">
        <v>36</v>
      </c>
      <c r="AI174" s="169" t="s">
        <v>741</v>
      </c>
      <c r="AJ174" s="169">
        <v>581</v>
      </c>
      <c r="AK174" s="169" t="s">
        <v>1407</v>
      </c>
      <c r="AL174" s="169">
        <v>28232</v>
      </c>
      <c r="AM174" s="169" t="s">
        <v>1418</v>
      </c>
      <c r="AN174" s="169" t="s">
        <v>1548</v>
      </c>
      <c r="AO174" s="169">
        <v>28</v>
      </c>
      <c r="AP174" s="169" t="s">
        <v>1416</v>
      </c>
      <c r="AQ174" s="169">
        <v>0</v>
      </c>
      <c r="AR174" s="169" t="s">
        <v>1410</v>
      </c>
      <c r="AT174" s="169" t="s">
        <v>1417</v>
      </c>
      <c r="AU174" s="169" t="s">
        <v>1412</v>
      </c>
    </row>
    <row r="175" spans="1:47" x14ac:dyDescent="0.45">
      <c r="A175" s="169">
        <v>2713150035</v>
      </c>
      <c r="B175" s="169">
        <v>131</v>
      </c>
      <c r="C175" s="169" t="s">
        <v>1462</v>
      </c>
      <c r="D175" s="169">
        <v>130</v>
      </c>
      <c r="E175" s="169" t="s">
        <v>1402</v>
      </c>
      <c r="F175" s="169" t="s">
        <v>4696</v>
      </c>
      <c r="G175" s="169" t="s">
        <v>4697</v>
      </c>
      <c r="H175" s="169">
        <v>1</v>
      </c>
      <c r="I175" s="169" t="s">
        <v>4698</v>
      </c>
      <c r="J175" s="169" t="s">
        <v>1403</v>
      </c>
      <c r="K175" s="169">
        <v>2027</v>
      </c>
      <c r="L175" s="169">
        <v>2027</v>
      </c>
      <c r="M175" s="171">
        <v>46272</v>
      </c>
      <c r="N175" s="169" t="s">
        <v>36</v>
      </c>
      <c r="O175" s="169" t="s">
        <v>698</v>
      </c>
      <c r="P175" s="169">
        <v>628</v>
      </c>
      <c r="Q175" s="169" t="s">
        <v>1530</v>
      </c>
      <c r="R175" s="169">
        <v>2</v>
      </c>
      <c r="S175" s="169">
        <v>5</v>
      </c>
      <c r="T175" s="169" t="s">
        <v>1470</v>
      </c>
      <c r="U175" s="169">
        <v>15</v>
      </c>
      <c r="V175" s="169">
        <v>0</v>
      </c>
      <c r="W175" s="169">
        <v>0</v>
      </c>
      <c r="X175" s="169" t="s">
        <v>1406</v>
      </c>
      <c r="Z175" s="169" t="s">
        <v>32</v>
      </c>
      <c r="AA175" s="169"/>
      <c r="AB175" s="169">
        <v>0</v>
      </c>
      <c r="AC175" s="169">
        <v>0</v>
      </c>
      <c r="AD175" s="169">
        <v>0</v>
      </c>
      <c r="AE175" s="169" t="s">
        <v>1446</v>
      </c>
      <c r="AG175" s="169" t="s">
        <v>1446</v>
      </c>
      <c r="AJ175" s="169">
        <v>0</v>
      </c>
      <c r="AK175" s="169" t="s">
        <v>1407</v>
      </c>
      <c r="AL175" s="169">
        <v>28108</v>
      </c>
      <c r="AM175" s="169" t="s">
        <v>1418</v>
      </c>
      <c r="AN175" s="169" t="s">
        <v>1534</v>
      </c>
      <c r="AO175" s="169">
        <v>28</v>
      </c>
      <c r="AP175" s="169" t="s">
        <v>1416</v>
      </c>
      <c r="AQ175" s="169">
        <v>0</v>
      </c>
      <c r="AR175" s="169" t="s">
        <v>1410</v>
      </c>
      <c r="AT175" s="169" t="s">
        <v>1417</v>
      </c>
      <c r="AU175" s="169" t="s">
        <v>1412</v>
      </c>
    </row>
    <row r="176" spans="1:47" x14ac:dyDescent="0.45">
      <c r="A176" s="169">
        <v>2713150036</v>
      </c>
      <c r="B176" s="169">
        <v>131</v>
      </c>
      <c r="C176" s="169" t="s">
        <v>1462</v>
      </c>
      <c r="D176" s="169">
        <v>130</v>
      </c>
      <c r="E176" s="169" t="s">
        <v>1402</v>
      </c>
      <c r="F176" s="169" t="s">
        <v>4699</v>
      </c>
      <c r="G176" s="169" t="s">
        <v>4700</v>
      </c>
      <c r="H176" s="169">
        <v>1</v>
      </c>
      <c r="I176" s="169" t="s">
        <v>4701</v>
      </c>
      <c r="J176" s="169" t="s">
        <v>1403</v>
      </c>
      <c r="K176" s="169">
        <v>2027</v>
      </c>
      <c r="L176" s="169">
        <v>2027</v>
      </c>
      <c r="M176" s="171">
        <v>46272</v>
      </c>
      <c r="N176" s="169" t="s">
        <v>36</v>
      </c>
      <c r="O176" s="169" t="s">
        <v>698</v>
      </c>
      <c r="P176" s="169">
        <v>502</v>
      </c>
      <c r="Q176" s="169" t="s">
        <v>1500</v>
      </c>
      <c r="R176" s="169">
        <v>2</v>
      </c>
      <c r="S176" s="169">
        <v>5</v>
      </c>
      <c r="T176" s="169" t="s">
        <v>1470</v>
      </c>
      <c r="U176" s="169">
        <v>15</v>
      </c>
      <c r="V176" s="169">
        <v>0</v>
      </c>
      <c r="W176" s="169">
        <v>0</v>
      </c>
      <c r="X176" s="169" t="s">
        <v>1406</v>
      </c>
      <c r="Z176" s="169" t="s">
        <v>32</v>
      </c>
      <c r="AA176" s="169"/>
      <c r="AB176" s="169">
        <v>0</v>
      </c>
      <c r="AC176" s="169">
        <v>0</v>
      </c>
      <c r="AD176" s="169">
        <v>0</v>
      </c>
      <c r="AE176" s="169" t="s">
        <v>1446</v>
      </c>
      <c r="AG176" s="169" t="s">
        <v>1446</v>
      </c>
      <c r="AJ176" s="169">
        <v>0</v>
      </c>
      <c r="AK176" s="169" t="s">
        <v>1407</v>
      </c>
      <c r="AL176" s="169">
        <v>28087</v>
      </c>
      <c r="AM176" s="169" t="s">
        <v>1418</v>
      </c>
      <c r="AN176" s="169" t="s">
        <v>1518</v>
      </c>
      <c r="AO176" s="169">
        <v>28</v>
      </c>
      <c r="AP176" s="169" t="s">
        <v>1416</v>
      </c>
      <c r="AQ176" s="169">
        <v>0</v>
      </c>
      <c r="AR176" s="169" t="s">
        <v>1410</v>
      </c>
      <c r="AT176" s="169" t="s">
        <v>1417</v>
      </c>
      <c r="AU176" s="169" t="s">
        <v>1412</v>
      </c>
    </row>
    <row r="177" spans="1:47" x14ac:dyDescent="0.45">
      <c r="A177" s="169">
        <v>2713150037</v>
      </c>
      <c r="B177" s="169">
        <v>131</v>
      </c>
      <c r="C177" s="169" t="s">
        <v>1462</v>
      </c>
      <c r="D177" s="169">
        <v>130</v>
      </c>
      <c r="E177" s="169" t="s">
        <v>1402</v>
      </c>
      <c r="F177" s="169" t="s">
        <v>4702</v>
      </c>
      <c r="G177" s="169" t="s">
        <v>4703</v>
      </c>
      <c r="H177" s="169">
        <v>1</v>
      </c>
      <c r="I177" s="169" t="s">
        <v>4674</v>
      </c>
      <c r="J177" s="169" t="s">
        <v>1403</v>
      </c>
      <c r="K177" s="169">
        <v>2027</v>
      </c>
      <c r="L177" s="169">
        <v>2027</v>
      </c>
      <c r="M177" s="171">
        <v>46290</v>
      </c>
      <c r="N177" s="169" t="s">
        <v>36</v>
      </c>
      <c r="O177" s="169" t="s">
        <v>704</v>
      </c>
      <c r="P177" s="169">
        <v>968</v>
      </c>
      <c r="Q177" s="169" t="s">
        <v>1474</v>
      </c>
      <c r="R177" s="169">
        <v>2</v>
      </c>
      <c r="S177" s="169">
        <v>2</v>
      </c>
      <c r="T177" s="169" t="s">
        <v>1464</v>
      </c>
      <c r="U177" s="169">
        <v>1</v>
      </c>
      <c r="V177" s="169">
        <v>0</v>
      </c>
      <c r="W177" s="169">
        <v>0</v>
      </c>
      <c r="X177" s="169" t="s">
        <v>1406</v>
      </c>
      <c r="Z177" s="169" t="s">
        <v>32</v>
      </c>
      <c r="AA177" s="169"/>
      <c r="AB177" s="169">
        <v>0</v>
      </c>
      <c r="AC177" s="169">
        <v>0</v>
      </c>
      <c r="AD177" s="169">
        <v>0</v>
      </c>
      <c r="AE177" s="169" t="s">
        <v>1446</v>
      </c>
      <c r="AG177" s="169" t="s">
        <v>1446</v>
      </c>
      <c r="AJ177" s="169">
        <v>0</v>
      </c>
      <c r="AK177" s="169" t="s">
        <v>1407</v>
      </c>
      <c r="AL177" s="169">
        <v>28099</v>
      </c>
      <c r="AM177" s="169" t="s">
        <v>1418</v>
      </c>
      <c r="AN177" s="169" t="s">
        <v>1447</v>
      </c>
      <c r="AO177" s="169">
        <v>28</v>
      </c>
      <c r="AP177" s="169" t="s">
        <v>1416</v>
      </c>
      <c r="AQ177" s="169">
        <v>0</v>
      </c>
      <c r="AR177" s="169" t="s">
        <v>1410</v>
      </c>
      <c r="AT177" s="169" t="s">
        <v>1417</v>
      </c>
      <c r="AU177" s="169" t="s">
        <v>1412</v>
      </c>
    </row>
    <row r="178" spans="1:47" x14ac:dyDescent="0.45">
      <c r="A178" s="169">
        <v>2713150038</v>
      </c>
      <c r="B178" s="169">
        <v>131</v>
      </c>
      <c r="C178" s="169" t="s">
        <v>1462</v>
      </c>
      <c r="D178" s="169">
        <v>130</v>
      </c>
      <c r="E178" s="169" t="s">
        <v>1402</v>
      </c>
      <c r="F178" s="169" t="s">
        <v>4704</v>
      </c>
      <c r="G178" s="169" t="s">
        <v>4705</v>
      </c>
      <c r="H178" s="169">
        <v>2</v>
      </c>
      <c r="I178" s="169" t="s">
        <v>848</v>
      </c>
      <c r="J178" s="169" t="s">
        <v>1403</v>
      </c>
      <c r="K178" s="169">
        <v>2027</v>
      </c>
      <c r="L178" s="169">
        <v>2027</v>
      </c>
      <c r="M178" s="171">
        <v>46266</v>
      </c>
      <c r="N178" s="169" t="s">
        <v>36</v>
      </c>
      <c r="O178" s="169" t="s">
        <v>698</v>
      </c>
      <c r="P178" s="169">
        <v>1046</v>
      </c>
      <c r="Q178" s="169" t="s">
        <v>2790</v>
      </c>
      <c r="R178" s="169">
        <v>2</v>
      </c>
      <c r="S178" s="169">
        <v>5</v>
      </c>
      <c r="T178" s="169" t="s">
        <v>1470</v>
      </c>
      <c r="U178" s="169">
        <v>15</v>
      </c>
      <c r="V178" s="169">
        <v>0</v>
      </c>
      <c r="W178" s="169">
        <v>0</v>
      </c>
      <c r="X178" s="169" t="s">
        <v>1406</v>
      </c>
      <c r="Z178" s="169" t="s">
        <v>32</v>
      </c>
      <c r="AA178" s="169"/>
      <c r="AB178" s="169">
        <v>0</v>
      </c>
      <c r="AC178" s="169">
        <v>0</v>
      </c>
      <c r="AD178" s="169">
        <v>0</v>
      </c>
      <c r="AE178" s="169" t="s">
        <v>1446</v>
      </c>
      <c r="AG178" s="169" t="s">
        <v>1446</v>
      </c>
      <c r="AJ178" s="169">
        <v>0</v>
      </c>
      <c r="AK178" s="169" t="s">
        <v>1407</v>
      </c>
      <c r="AL178" s="169">
        <v>28142</v>
      </c>
      <c r="AM178" s="169" t="s">
        <v>1418</v>
      </c>
      <c r="AN178" s="169" t="s">
        <v>1444</v>
      </c>
      <c r="AO178" s="169">
        <v>28</v>
      </c>
      <c r="AP178" s="169" t="s">
        <v>1416</v>
      </c>
      <c r="AQ178" s="169">
        <v>0</v>
      </c>
      <c r="AR178" s="169" t="s">
        <v>1410</v>
      </c>
      <c r="AT178" s="169" t="s">
        <v>1417</v>
      </c>
      <c r="AU178" s="169" t="s">
        <v>1412</v>
      </c>
    </row>
    <row r="179" spans="1:47" x14ac:dyDescent="0.45">
      <c r="A179" s="169">
        <v>2713150040</v>
      </c>
      <c r="B179" s="169">
        <v>131</v>
      </c>
      <c r="C179" s="169" t="s">
        <v>1462</v>
      </c>
      <c r="D179" s="169">
        <v>130</v>
      </c>
      <c r="E179" s="169" t="s">
        <v>1402</v>
      </c>
      <c r="F179" s="169" t="s">
        <v>4706</v>
      </c>
      <c r="G179" s="169" t="s">
        <v>4707</v>
      </c>
      <c r="H179" s="169">
        <v>1</v>
      </c>
      <c r="I179" s="169" t="s">
        <v>1920</v>
      </c>
      <c r="J179" s="169" t="s">
        <v>1403</v>
      </c>
      <c r="K179" s="169">
        <v>2027</v>
      </c>
      <c r="L179" s="169">
        <v>2027</v>
      </c>
      <c r="M179" s="171">
        <v>46266</v>
      </c>
      <c r="N179" s="169" t="s">
        <v>36</v>
      </c>
      <c r="O179" s="169" t="s">
        <v>698</v>
      </c>
      <c r="P179" s="169">
        <v>504</v>
      </c>
      <c r="Q179" s="169" t="s">
        <v>1509</v>
      </c>
      <c r="R179" s="169">
        <v>2</v>
      </c>
      <c r="S179" s="169">
        <v>5</v>
      </c>
      <c r="T179" s="169" t="s">
        <v>1470</v>
      </c>
      <c r="U179" s="169">
        <v>15</v>
      </c>
      <c r="V179" s="169">
        <v>0</v>
      </c>
      <c r="W179" s="169">
        <v>0</v>
      </c>
      <c r="X179" s="169" t="s">
        <v>1406</v>
      </c>
      <c r="Z179" s="169" t="s">
        <v>32</v>
      </c>
      <c r="AA179" s="169"/>
      <c r="AB179" s="169">
        <v>0</v>
      </c>
      <c r="AC179" s="169">
        <v>0</v>
      </c>
      <c r="AD179" s="169">
        <v>0</v>
      </c>
      <c r="AE179" s="169" t="s">
        <v>1446</v>
      </c>
      <c r="AG179" s="169" t="s">
        <v>1446</v>
      </c>
      <c r="AJ179" s="169">
        <v>0</v>
      </c>
      <c r="AK179" s="169" t="s">
        <v>1407</v>
      </c>
      <c r="AL179" s="169">
        <v>28144</v>
      </c>
      <c r="AM179" s="169" t="s">
        <v>1418</v>
      </c>
      <c r="AN179" s="169" t="s">
        <v>1510</v>
      </c>
      <c r="AO179" s="169">
        <v>28</v>
      </c>
      <c r="AP179" s="169" t="s">
        <v>1416</v>
      </c>
      <c r="AQ179" s="169">
        <v>0</v>
      </c>
      <c r="AR179" s="169" t="s">
        <v>1410</v>
      </c>
      <c r="AT179" s="169" t="s">
        <v>1417</v>
      </c>
      <c r="AU179" s="169" t="s">
        <v>1412</v>
      </c>
    </row>
    <row r="180" spans="1:47" x14ac:dyDescent="0.45">
      <c r="A180" s="169">
        <v>2713150041</v>
      </c>
      <c r="B180" s="169">
        <v>131</v>
      </c>
      <c r="C180" s="169" t="s">
        <v>1462</v>
      </c>
      <c r="D180" s="169">
        <v>130</v>
      </c>
      <c r="E180" s="169" t="s">
        <v>1402</v>
      </c>
      <c r="F180" s="169" t="s">
        <v>2756</v>
      </c>
      <c r="G180" s="169" t="s">
        <v>4708</v>
      </c>
      <c r="H180" s="169">
        <v>1</v>
      </c>
      <c r="I180" s="169" t="s">
        <v>2294</v>
      </c>
      <c r="J180" s="169" t="s">
        <v>1403</v>
      </c>
      <c r="K180" s="169">
        <v>2027</v>
      </c>
      <c r="L180" s="169">
        <v>2027</v>
      </c>
      <c r="M180" s="171">
        <v>46266</v>
      </c>
      <c r="N180" s="169" t="s">
        <v>36</v>
      </c>
      <c r="O180" s="169" t="s">
        <v>698</v>
      </c>
      <c r="P180" s="169">
        <v>628</v>
      </c>
      <c r="Q180" s="169" t="s">
        <v>1530</v>
      </c>
      <c r="R180" s="169">
        <v>2</v>
      </c>
      <c r="S180" s="169">
        <v>5</v>
      </c>
      <c r="T180" s="169" t="s">
        <v>1470</v>
      </c>
      <c r="U180" s="169">
        <v>15</v>
      </c>
      <c r="V180" s="169">
        <v>2722515</v>
      </c>
      <c r="W180" s="169">
        <v>0</v>
      </c>
      <c r="X180" s="169" t="s">
        <v>1406</v>
      </c>
      <c r="Z180" s="169" t="s">
        <v>32</v>
      </c>
      <c r="AA180" s="171">
        <v>46307</v>
      </c>
      <c r="AB180" s="169">
        <v>27</v>
      </c>
      <c r="AC180" s="169">
        <v>22515</v>
      </c>
      <c r="AD180" s="169">
        <v>131</v>
      </c>
      <c r="AE180" s="169" t="s">
        <v>1462</v>
      </c>
      <c r="AF180" s="169">
        <v>130</v>
      </c>
      <c r="AG180" s="169" t="s">
        <v>1402</v>
      </c>
      <c r="AH180" s="169" t="s">
        <v>36</v>
      </c>
      <c r="AI180" s="169" t="s">
        <v>698</v>
      </c>
      <c r="AJ180" s="169">
        <v>628</v>
      </c>
      <c r="AK180" s="169" t="s">
        <v>1407</v>
      </c>
      <c r="AL180" s="169">
        <v>28158</v>
      </c>
      <c r="AM180" s="169" t="s">
        <v>1418</v>
      </c>
      <c r="AN180" s="169" t="s">
        <v>2840</v>
      </c>
      <c r="AO180" s="169">
        <v>28</v>
      </c>
      <c r="AP180" s="169" t="s">
        <v>1416</v>
      </c>
      <c r="AQ180" s="169">
        <v>0</v>
      </c>
      <c r="AR180" s="169" t="s">
        <v>1410</v>
      </c>
      <c r="AT180" s="169" t="s">
        <v>1417</v>
      </c>
      <c r="AU180" s="169" t="s">
        <v>1412</v>
      </c>
    </row>
    <row r="181" spans="1:47" x14ac:dyDescent="0.45">
      <c r="A181" s="169">
        <v>2713150042</v>
      </c>
      <c r="B181" s="169">
        <v>131</v>
      </c>
      <c r="C181" s="169" t="s">
        <v>1462</v>
      </c>
      <c r="D181" s="169">
        <v>130</v>
      </c>
      <c r="E181" s="169" t="s">
        <v>1402</v>
      </c>
      <c r="F181" s="169" t="s">
        <v>4709</v>
      </c>
      <c r="G181" s="169" t="s">
        <v>4710</v>
      </c>
      <c r="H181" s="169">
        <v>2</v>
      </c>
      <c r="I181" s="169" t="s">
        <v>2321</v>
      </c>
      <c r="J181" s="169" t="s">
        <v>1403</v>
      </c>
      <c r="K181" s="169">
        <v>2027</v>
      </c>
      <c r="L181" s="169">
        <v>2027</v>
      </c>
      <c r="M181" s="171">
        <v>46266</v>
      </c>
      <c r="N181" s="169" t="s">
        <v>36</v>
      </c>
      <c r="O181" s="169" t="s">
        <v>708</v>
      </c>
      <c r="P181" s="169">
        <v>1044</v>
      </c>
      <c r="Q181" s="169" t="s">
        <v>1476</v>
      </c>
      <c r="R181" s="169">
        <v>2</v>
      </c>
      <c r="S181" s="169">
        <v>3</v>
      </c>
      <c r="T181" s="169" t="s">
        <v>1477</v>
      </c>
      <c r="U181" s="169">
        <v>4</v>
      </c>
      <c r="V181" s="169">
        <v>2722504</v>
      </c>
      <c r="W181" s="169">
        <v>0</v>
      </c>
      <c r="X181" s="169" t="s">
        <v>1406</v>
      </c>
      <c r="Z181" s="169" t="s">
        <v>32</v>
      </c>
      <c r="AA181" s="171">
        <v>46295</v>
      </c>
      <c r="AB181" s="169">
        <v>27</v>
      </c>
      <c r="AC181" s="169">
        <v>22504</v>
      </c>
      <c r="AD181" s="169">
        <v>131</v>
      </c>
      <c r="AE181" s="169" t="s">
        <v>1462</v>
      </c>
      <c r="AF181" s="169">
        <v>130</v>
      </c>
      <c r="AG181" s="169" t="s">
        <v>1402</v>
      </c>
      <c r="AH181" s="169" t="s">
        <v>36</v>
      </c>
      <c r="AI181" s="169" t="s">
        <v>708</v>
      </c>
      <c r="AJ181" s="169">
        <v>1044</v>
      </c>
      <c r="AK181" s="169" t="s">
        <v>1407</v>
      </c>
      <c r="AL181" s="169">
        <v>1355</v>
      </c>
      <c r="AM181" s="169" t="s">
        <v>1421</v>
      </c>
      <c r="AN181" s="169" t="s">
        <v>1442</v>
      </c>
      <c r="AO181" s="169">
        <v>1</v>
      </c>
      <c r="AP181" s="169" t="s">
        <v>1443</v>
      </c>
      <c r="AQ181" s="169">
        <v>0</v>
      </c>
      <c r="AR181" s="169" t="s">
        <v>1410</v>
      </c>
      <c r="AT181" s="169" t="s">
        <v>1417</v>
      </c>
      <c r="AU181" s="169" t="s">
        <v>1412</v>
      </c>
    </row>
    <row r="182" spans="1:47" x14ac:dyDescent="0.45">
      <c r="A182" s="169">
        <v>2713150043</v>
      </c>
      <c r="B182" s="169">
        <v>131</v>
      </c>
      <c r="C182" s="169" t="s">
        <v>1462</v>
      </c>
      <c r="D182" s="169">
        <v>130</v>
      </c>
      <c r="E182" s="169" t="s">
        <v>1402</v>
      </c>
      <c r="F182" s="169" t="s">
        <v>4711</v>
      </c>
      <c r="G182" s="169" t="s">
        <v>4712</v>
      </c>
      <c r="H182" s="169">
        <v>2</v>
      </c>
      <c r="I182" s="169" t="s">
        <v>4713</v>
      </c>
      <c r="J182" s="169" t="s">
        <v>1403</v>
      </c>
      <c r="K182" s="169">
        <v>2027</v>
      </c>
      <c r="L182" s="169">
        <v>2027</v>
      </c>
      <c r="M182" s="171">
        <v>46321</v>
      </c>
      <c r="N182" s="169" t="s">
        <v>36</v>
      </c>
      <c r="O182" s="169" t="s">
        <v>704</v>
      </c>
      <c r="P182" s="169">
        <v>427</v>
      </c>
      <c r="Q182" s="169" t="s">
        <v>1479</v>
      </c>
      <c r="R182" s="169">
        <v>2</v>
      </c>
      <c r="S182" s="169">
        <v>2</v>
      </c>
      <c r="T182" s="169" t="s">
        <v>1464</v>
      </c>
      <c r="U182" s="169">
        <v>1</v>
      </c>
      <c r="V182" s="169">
        <v>0</v>
      </c>
      <c r="W182" s="169">
        <v>0</v>
      </c>
      <c r="X182" s="169" t="s">
        <v>1406</v>
      </c>
      <c r="Z182" s="169" t="s">
        <v>32</v>
      </c>
      <c r="AA182" s="169"/>
      <c r="AB182" s="169">
        <v>0</v>
      </c>
      <c r="AC182" s="169">
        <v>0</v>
      </c>
      <c r="AD182" s="169">
        <v>0</v>
      </c>
      <c r="AE182" s="169" t="s">
        <v>1446</v>
      </c>
      <c r="AG182" s="169" t="s">
        <v>1446</v>
      </c>
      <c r="AJ182" s="169">
        <v>0</v>
      </c>
      <c r="AK182" s="169" t="s">
        <v>1473</v>
      </c>
      <c r="AL182" s="169">
        <v>28017</v>
      </c>
      <c r="AM182" s="169" t="s">
        <v>1421</v>
      </c>
      <c r="AN182" s="169" t="s">
        <v>1536</v>
      </c>
      <c r="AO182" s="169">
        <v>28</v>
      </c>
      <c r="AP182" s="169" t="s">
        <v>1416</v>
      </c>
      <c r="AQ182" s="169">
        <v>0</v>
      </c>
      <c r="AR182" s="169" t="s">
        <v>1410</v>
      </c>
      <c r="AT182" s="169" t="s">
        <v>1417</v>
      </c>
      <c r="AU182" s="169" t="s">
        <v>1412</v>
      </c>
    </row>
    <row r="183" spans="1:47" x14ac:dyDescent="0.45">
      <c r="A183" s="169">
        <v>2713150045</v>
      </c>
      <c r="B183" s="169">
        <v>131</v>
      </c>
      <c r="C183" s="169" t="s">
        <v>1462</v>
      </c>
      <c r="D183" s="169">
        <v>130</v>
      </c>
      <c r="E183" s="169" t="s">
        <v>1402</v>
      </c>
      <c r="F183" s="169" t="s">
        <v>4714</v>
      </c>
      <c r="G183" s="169" t="s">
        <v>4715</v>
      </c>
      <c r="H183" s="169">
        <v>1</v>
      </c>
      <c r="I183" s="169" t="s">
        <v>3078</v>
      </c>
      <c r="J183" s="169" t="s">
        <v>1403</v>
      </c>
      <c r="K183" s="169">
        <v>2027</v>
      </c>
      <c r="L183" s="169">
        <v>2027</v>
      </c>
      <c r="M183" s="171">
        <v>46300</v>
      </c>
      <c r="N183" s="169" t="s">
        <v>36</v>
      </c>
      <c r="O183" s="169" t="s">
        <v>704</v>
      </c>
      <c r="P183" s="169">
        <v>427</v>
      </c>
      <c r="Q183" s="169" t="s">
        <v>1479</v>
      </c>
      <c r="R183" s="169">
        <v>2</v>
      </c>
      <c r="S183" s="169">
        <v>2</v>
      </c>
      <c r="T183" s="169" t="s">
        <v>1464</v>
      </c>
      <c r="U183" s="169">
        <v>1</v>
      </c>
      <c r="V183" s="169">
        <v>0</v>
      </c>
      <c r="W183" s="169">
        <v>0</v>
      </c>
      <c r="X183" s="169" t="s">
        <v>1406</v>
      </c>
      <c r="Z183" s="169" t="s">
        <v>32</v>
      </c>
      <c r="AA183" s="169"/>
      <c r="AB183" s="169">
        <v>0</v>
      </c>
      <c r="AC183" s="169">
        <v>0</v>
      </c>
      <c r="AD183" s="169">
        <v>0</v>
      </c>
      <c r="AE183" s="169" t="s">
        <v>1446</v>
      </c>
      <c r="AG183" s="169" t="s">
        <v>1446</v>
      </c>
      <c r="AJ183" s="169">
        <v>0</v>
      </c>
      <c r="AK183" s="169" t="s">
        <v>1410</v>
      </c>
      <c r="AL183" s="169">
        <v>28173</v>
      </c>
      <c r="AM183" s="169" t="s">
        <v>1418</v>
      </c>
      <c r="AN183" s="169" t="s">
        <v>1456</v>
      </c>
      <c r="AO183" s="169">
        <v>28</v>
      </c>
      <c r="AP183" s="169" t="s">
        <v>1416</v>
      </c>
      <c r="AQ183" s="169">
        <v>0</v>
      </c>
      <c r="AR183" s="169" t="s">
        <v>1410</v>
      </c>
      <c r="AT183" s="169" t="s">
        <v>1417</v>
      </c>
      <c r="AU183" s="169" t="s">
        <v>1412</v>
      </c>
    </row>
    <row r="184" spans="1:47" x14ac:dyDescent="0.45">
      <c r="A184" s="169">
        <v>2713150046</v>
      </c>
      <c r="B184" s="169">
        <v>131</v>
      </c>
      <c r="C184" s="169" t="s">
        <v>1462</v>
      </c>
      <c r="D184" s="169">
        <v>130</v>
      </c>
      <c r="E184" s="169" t="s">
        <v>1402</v>
      </c>
      <c r="F184" s="169" t="s">
        <v>4716</v>
      </c>
      <c r="G184" s="169" t="s">
        <v>4717</v>
      </c>
      <c r="H184" s="169">
        <v>1</v>
      </c>
      <c r="I184" s="169" t="s">
        <v>4718</v>
      </c>
      <c r="J184" s="169" t="s">
        <v>1403</v>
      </c>
      <c r="K184" s="169">
        <v>2027</v>
      </c>
      <c r="L184" s="169">
        <v>2027</v>
      </c>
      <c r="M184" s="171">
        <v>46322</v>
      </c>
      <c r="N184" s="169" t="s">
        <v>36</v>
      </c>
      <c r="O184" s="169" t="s">
        <v>704</v>
      </c>
      <c r="P184" s="169">
        <v>852</v>
      </c>
      <c r="Q184" s="169" t="s">
        <v>1472</v>
      </c>
      <c r="R184" s="169">
        <v>2</v>
      </c>
      <c r="S184" s="169">
        <v>2</v>
      </c>
      <c r="T184" s="169" t="s">
        <v>1464</v>
      </c>
      <c r="U184" s="169">
        <v>1</v>
      </c>
      <c r="V184" s="169">
        <v>0</v>
      </c>
      <c r="W184" s="169">
        <v>0</v>
      </c>
      <c r="X184" s="169" t="s">
        <v>1406</v>
      </c>
      <c r="Z184" s="169" t="s">
        <v>32</v>
      </c>
      <c r="AA184" s="169"/>
      <c r="AB184" s="169">
        <v>0</v>
      </c>
      <c r="AC184" s="169">
        <v>0</v>
      </c>
      <c r="AD184" s="169">
        <v>0</v>
      </c>
      <c r="AE184" s="169" t="s">
        <v>1446</v>
      </c>
      <c r="AG184" s="169" t="s">
        <v>1446</v>
      </c>
      <c r="AJ184" s="169">
        <v>0</v>
      </c>
      <c r="AK184" s="169" t="s">
        <v>1407</v>
      </c>
      <c r="AL184" s="169">
        <v>28175</v>
      </c>
      <c r="AM184" s="169" t="s">
        <v>1418</v>
      </c>
      <c r="AN184" s="169" t="s">
        <v>1459</v>
      </c>
      <c r="AO184" s="169">
        <v>28</v>
      </c>
      <c r="AP184" s="169" t="s">
        <v>1416</v>
      </c>
      <c r="AQ184" s="169">
        <v>0</v>
      </c>
      <c r="AT184" s="169" t="s">
        <v>1417</v>
      </c>
      <c r="AU184" s="169" t="s">
        <v>1412</v>
      </c>
    </row>
    <row r="185" spans="1:47" x14ac:dyDescent="0.45">
      <c r="A185" s="169">
        <v>2713150047</v>
      </c>
      <c r="B185" s="169">
        <v>131</v>
      </c>
      <c r="C185" s="169" t="s">
        <v>1462</v>
      </c>
      <c r="D185" s="169">
        <v>130</v>
      </c>
      <c r="E185" s="169" t="s">
        <v>1402</v>
      </c>
      <c r="F185" s="169" t="s">
        <v>4719</v>
      </c>
      <c r="G185" s="169" t="s">
        <v>4720</v>
      </c>
      <c r="H185" s="169">
        <v>1</v>
      </c>
      <c r="I185" s="169" t="s">
        <v>4721</v>
      </c>
      <c r="J185" s="169" t="s">
        <v>1403</v>
      </c>
      <c r="K185" s="169">
        <v>2027</v>
      </c>
      <c r="L185" s="169">
        <v>2027</v>
      </c>
      <c r="M185" s="171">
        <v>46289</v>
      </c>
      <c r="N185" s="169" t="s">
        <v>36</v>
      </c>
      <c r="O185" s="169" t="s">
        <v>704</v>
      </c>
      <c r="P185" s="169">
        <v>968</v>
      </c>
      <c r="Q185" s="169" t="s">
        <v>1474</v>
      </c>
      <c r="R185" s="169">
        <v>2</v>
      </c>
      <c r="S185" s="169">
        <v>2</v>
      </c>
      <c r="T185" s="169" t="s">
        <v>1464</v>
      </c>
      <c r="U185" s="169">
        <v>1</v>
      </c>
      <c r="V185" s="169">
        <v>0</v>
      </c>
      <c r="W185" s="169">
        <v>0</v>
      </c>
      <c r="X185" s="169" t="s">
        <v>1406</v>
      </c>
      <c r="Z185" s="169" t="s">
        <v>32</v>
      </c>
      <c r="AA185" s="169"/>
      <c r="AB185" s="169">
        <v>0</v>
      </c>
      <c r="AC185" s="169">
        <v>0</v>
      </c>
      <c r="AD185" s="169">
        <v>0</v>
      </c>
      <c r="AE185" s="169" t="s">
        <v>1446</v>
      </c>
      <c r="AG185" s="169" t="s">
        <v>1446</v>
      </c>
      <c r="AJ185" s="169">
        <v>0</v>
      </c>
      <c r="AK185" s="169" t="s">
        <v>1407</v>
      </c>
      <c r="AL185" s="169">
        <v>28144</v>
      </c>
      <c r="AM185" s="169" t="s">
        <v>1418</v>
      </c>
      <c r="AN185" s="169" t="s">
        <v>1510</v>
      </c>
      <c r="AO185" s="169">
        <v>28</v>
      </c>
      <c r="AP185" s="169" t="s">
        <v>1416</v>
      </c>
      <c r="AQ185" s="169">
        <v>0</v>
      </c>
      <c r="AR185" s="169" t="s">
        <v>1410</v>
      </c>
      <c r="AT185" s="169" t="s">
        <v>1417</v>
      </c>
      <c r="AU185" s="169" t="s">
        <v>1412</v>
      </c>
    </row>
    <row r="186" spans="1:47" x14ac:dyDescent="0.45">
      <c r="A186" s="169">
        <v>2713150050</v>
      </c>
      <c r="B186" s="169">
        <v>131</v>
      </c>
      <c r="C186" s="169" t="s">
        <v>1462</v>
      </c>
      <c r="D186" s="169">
        <v>130</v>
      </c>
      <c r="E186" s="169" t="s">
        <v>1402</v>
      </c>
      <c r="F186" s="169" t="s">
        <v>4722</v>
      </c>
      <c r="G186" s="169" t="s">
        <v>4723</v>
      </c>
      <c r="H186" s="169">
        <v>2</v>
      </c>
      <c r="I186" s="169" t="s">
        <v>3532</v>
      </c>
      <c r="J186" s="169" t="s">
        <v>1403</v>
      </c>
      <c r="K186" s="169">
        <v>2027</v>
      </c>
      <c r="L186" s="169">
        <v>2027</v>
      </c>
      <c r="M186" s="171">
        <v>46321</v>
      </c>
      <c r="N186" s="169" t="s">
        <v>36</v>
      </c>
      <c r="O186" s="169" t="s">
        <v>793</v>
      </c>
      <c r="P186" s="169">
        <v>427</v>
      </c>
      <c r="Q186" s="169" t="s">
        <v>1479</v>
      </c>
      <c r="R186" s="169">
        <v>1</v>
      </c>
      <c r="S186" s="169">
        <v>2</v>
      </c>
      <c r="T186" s="169" t="s">
        <v>1464</v>
      </c>
      <c r="U186" s="169">
        <v>1</v>
      </c>
      <c r="V186" s="169">
        <v>0</v>
      </c>
      <c r="W186" s="169">
        <v>0</v>
      </c>
      <c r="X186" s="169" t="s">
        <v>1406</v>
      </c>
      <c r="Z186" s="169" t="s">
        <v>32</v>
      </c>
      <c r="AA186" s="169"/>
      <c r="AB186" s="169">
        <v>0</v>
      </c>
      <c r="AC186" s="169">
        <v>0</v>
      </c>
      <c r="AD186" s="169">
        <v>0</v>
      </c>
      <c r="AE186" s="169" t="s">
        <v>1446</v>
      </c>
      <c r="AG186" s="169" t="s">
        <v>1446</v>
      </c>
      <c r="AJ186" s="169">
        <v>0</v>
      </c>
      <c r="AK186" s="169" t="s">
        <v>1473</v>
      </c>
      <c r="AL186" s="169">
        <v>28095</v>
      </c>
      <c r="AM186" s="169" t="s">
        <v>1421</v>
      </c>
      <c r="AN186" s="169" t="s">
        <v>1435</v>
      </c>
      <c r="AO186" s="169">
        <v>28</v>
      </c>
      <c r="AP186" s="169" t="s">
        <v>1416</v>
      </c>
      <c r="AQ186" s="169">
        <v>0</v>
      </c>
      <c r="AT186" s="169" t="s">
        <v>1417</v>
      </c>
      <c r="AU186" s="169" t="s">
        <v>1412</v>
      </c>
    </row>
    <row r="187" spans="1:47" x14ac:dyDescent="0.45">
      <c r="A187" s="169">
        <v>2713150051</v>
      </c>
      <c r="B187" s="169">
        <v>131</v>
      </c>
      <c r="C187" s="169" t="s">
        <v>1462</v>
      </c>
      <c r="D187" s="169">
        <v>130</v>
      </c>
      <c r="E187" s="169" t="s">
        <v>1402</v>
      </c>
      <c r="F187" s="169" t="s">
        <v>4724</v>
      </c>
      <c r="G187" s="169" t="s">
        <v>4725</v>
      </c>
      <c r="H187" s="169">
        <v>2</v>
      </c>
      <c r="I187" s="169" t="s">
        <v>2195</v>
      </c>
      <c r="J187" s="169" t="s">
        <v>1403</v>
      </c>
      <c r="K187" s="169">
        <v>2027</v>
      </c>
      <c r="L187" s="169">
        <v>2027</v>
      </c>
      <c r="M187" s="171">
        <v>46283</v>
      </c>
      <c r="N187" s="169" t="s">
        <v>36</v>
      </c>
      <c r="O187" s="169" t="s">
        <v>708</v>
      </c>
      <c r="P187" s="169">
        <v>1006</v>
      </c>
      <c r="Q187" s="169" t="s">
        <v>1612</v>
      </c>
      <c r="R187" s="169">
        <v>2</v>
      </c>
      <c r="S187" s="169">
        <v>8</v>
      </c>
      <c r="T187" s="169" t="s">
        <v>1503</v>
      </c>
      <c r="U187" s="169">
        <v>6</v>
      </c>
      <c r="V187" s="169">
        <v>2722512</v>
      </c>
      <c r="W187" s="169">
        <v>0</v>
      </c>
      <c r="X187" s="169" t="s">
        <v>1406</v>
      </c>
      <c r="Z187" s="169" t="s">
        <v>32</v>
      </c>
      <c r="AA187" s="171">
        <v>46307</v>
      </c>
      <c r="AB187" s="169">
        <v>27</v>
      </c>
      <c r="AC187" s="169">
        <v>22512</v>
      </c>
      <c r="AD187" s="169">
        <v>131</v>
      </c>
      <c r="AE187" s="169" t="s">
        <v>1462</v>
      </c>
      <c r="AF187" s="169">
        <v>130</v>
      </c>
      <c r="AG187" s="169" t="s">
        <v>1402</v>
      </c>
      <c r="AH187" s="169" t="s">
        <v>36</v>
      </c>
      <c r="AI187" s="169" t="s">
        <v>708</v>
      </c>
      <c r="AJ187" s="169">
        <v>1006</v>
      </c>
      <c r="AK187" s="169" t="s">
        <v>1407</v>
      </c>
      <c r="AL187" s="169">
        <v>28127</v>
      </c>
      <c r="AM187" s="169" t="s">
        <v>1418</v>
      </c>
      <c r="AN187" s="169" t="s">
        <v>1539</v>
      </c>
      <c r="AO187" s="169">
        <v>28</v>
      </c>
      <c r="AP187" s="169" t="s">
        <v>1416</v>
      </c>
      <c r="AQ187" s="169">
        <v>0</v>
      </c>
      <c r="AR187" s="169" t="s">
        <v>1410</v>
      </c>
      <c r="AT187" s="169" t="s">
        <v>1417</v>
      </c>
      <c r="AU187" s="169" t="s">
        <v>1412</v>
      </c>
    </row>
    <row r="188" spans="1:47" x14ac:dyDescent="0.45">
      <c r="A188" s="169">
        <v>2713150052</v>
      </c>
      <c r="B188" s="169">
        <v>131</v>
      </c>
      <c r="C188" s="169" t="s">
        <v>1462</v>
      </c>
      <c r="D188" s="169">
        <v>130</v>
      </c>
      <c r="E188" s="169" t="s">
        <v>1402</v>
      </c>
      <c r="F188" s="169" t="s">
        <v>4726</v>
      </c>
      <c r="G188" s="169" t="s">
        <v>4727</v>
      </c>
      <c r="H188" s="169">
        <v>1</v>
      </c>
      <c r="I188" s="169" t="s">
        <v>4728</v>
      </c>
      <c r="J188" s="169" t="s">
        <v>1468</v>
      </c>
      <c r="K188" s="169">
        <v>2027</v>
      </c>
      <c r="L188" s="169">
        <v>2027</v>
      </c>
      <c r="M188" s="171">
        <v>46266</v>
      </c>
      <c r="N188" s="169" t="s">
        <v>36</v>
      </c>
      <c r="O188" s="169" t="s">
        <v>698</v>
      </c>
      <c r="P188" s="169">
        <v>502</v>
      </c>
      <c r="Q188" s="169" t="s">
        <v>1500</v>
      </c>
      <c r="R188" s="169">
        <v>2</v>
      </c>
      <c r="S188" s="169">
        <v>5</v>
      </c>
      <c r="T188" s="169" t="s">
        <v>1470</v>
      </c>
      <c r="U188" s="169">
        <v>15</v>
      </c>
      <c r="V188" s="169">
        <v>0</v>
      </c>
      <c r="W188" s="169">
        <v>0</v>
      </c>
      <c r="X188" s="169" t="s">
        <v>1406</v>
      </c>
      <c r="Z188" s="169" t="s">
        <v>32</v>
      </c>
      <c r="AA188" s="169"/>
      <c r="AB188" s="169">
        <v>0</v>
      </c>
      <c r="AC188" s="169">
        <v>0</v>
      </c>
      <c r="AD188" s="169">
        <v>0</v>
      </c>
      <c r="AE188" s="169" t="s">
        <v>1446</v>
      </c>
      <c r="AG188" s="169" t="s">
        <v>1446</v>
      </c>
      <c r="AJ188" s="169">
        <v>0</v>
      </c>
      <c r="AK188" s="169" t="s">
        <v>1407</v>
      </c>
      <c r="AL188" s="169">
        <v>33031</v>
      </c>
      <c r="AM188" s="169" t="s">
        <v>1418</v>
      </c>
      <c r="AN188" s="169" t="s">
        <v>4729</v>
      </c>
      <c r="AO188" s="169">
        <v>33</v>
      </c>
      <c r="AP188" s="169" t="s">
        <v>1427</v>
      </c>
      <c r="AQ188" s="169">
        <v>0</v>
      </c>
      <c r="AR188" s="169" t="s">
        <v>1410</v>
      </c>
      <c r="AT188" s="169" t="s">
        <v>1417</v>
      </c>
      <c r="AU188" s="169" t="s">
        <v>1412</v>
      </c>
    </row>
    <row r="189" spans="1:47" x14ac:dyDescent="0.45">
      <c r="A189" s="169">
        <v>2713150053</v>
      </c>
      <c r="B189" s="169">
        <v>131</v>
      </c>
      <c r="C189" s="169" t="s">
        <v>1462</v>
      </c>
      <c r="D189" s="169">
        <v>130</v>
      </c>
      <c r="E189" s="169" t="s">
        <v>1402</v>
      </c>
      <c r="F189" s="169" t="s">
        <v>4730</v>
      </c>
      <c r="G189" s="169" t="s">
        <v>4731</v>
      </c>
      <c r="H189" s="169">
        <v>2</v>
      </c>
      <c r="I189" s="169" t="s">
        <v>4732</v>
      </c>
      <c r="J189" s="169" t="s">
        <v>1403</v>
      </c>
      <c r="K189" s="169">
        <v>2027</v>
      </c>
      <c r="L189" s="169">
        <v>2027</v>
      </c>
      <c r="M189" s="171">
        <v>46266</v>
      </c>
      <c r="N189" s="169" t="s">
        <v>36</v>
      </c>
      <c r="O189" s="169" t="s">
        <v>698</v>
      </c>
      <c r="P189" s="169">
        <v>502</v>
      </c>
      <c r="Q189" s="169" t="s">
        <v>1500</v>
      </c>
      <c r="R189" s="169">
        <v>2</v>
      </c>
      <c r="S189" s="169">
        <v>5</v>
      </c>
      <c r="T189" s="169" t="s">
        <v>1470</v>
      </c>
      <c r="U189" s="169">
        <v>15</v>
      </c>
      <c r="V189" s="169">
        <v>0</v>
      </c>
      <c r="W189" s="169">
        <v>0</v>
      </c>
      <c r="X189" s="169" t="s">
        <v>1406</v>
      </c>
      <c r="Z189" s="169" t="s">
        <v>32</v>
      </c>
      <c r="AA189" s="169"/>
      <c r="AB189" s="169">
        <v>0</v>
      </c>
      <c r="AC189" s="169">
        <v>0</v>
      </c>
      <c r="AD189" s="169">
        <v>0</v>
      </c>
      <c r="AE189" s="169" t="s">
        <v>1446</v>
      </c>
      <c r="AG189" s="169" t="s">
        <v>1446</v>
      </c>
      <c r="AJ189" s="169">
        <v>0</v>
      </c>
      <c r="AK189" s="169" t="s">
        <v>1407</v>
      </c>
      <c r="AL189" s="169">
        <v>28247</v>
      </c>
      <c r="AM189" s="169" t="s">
        <v>1418</v>
      </c>
      <c r="AN189" s="169" t="s">
        <v>1419</v>
      </c>
      <c r="AO189" s="169">
        <v>28</v>
      </c>
      <c r="AP189" s="169" t="s">
        <v>1416</v>
      </c>
      <c r="AQ189" s="169">
        <v>0</v>
      </c>
      <c r="AR189" s="169" t="s">
        <v>1410</v>
      </c>
      <c r="AT189" s="169" t="s">
        <v>1417</v>
      </c>
      <c r="AU189" s="169" t="s">
        <v>1412</v>
      </c>
    </row>
    <row r="190" spans="1:47" x14ac:dyDescent="0.45">
      <c r="A190" s="169">
        <v>2713150054</v>
      </c>
      <c r="B190" s="169">
        <v>131</v>
      </c>
      <c r="C190" s="169" t="s">
        <v>1462</v>
      </c>
      <c r="D190" s="169">
        <v>130</v>
      </c>
      <c r="E190" s="169" t="s">
        <v>1402</v>
      </c>
      <c r="F190" s="169" t="s">
        <v>4733</v>
      </c>
      <c r="G190" s="169" t="s">
        <v>4734</v>
      </c>
      <c r="H190" s="169">
        <v>2</v>
      </c>
      <c r="I190" s="169" t="s">
        <v>3584</v>
      </c>
      <c r="J190" s="169" t="s">
        <v>1403</v>
      </c>
      <c r="K190" s="169">
        <v>2027</v>
      </c>
      <c r="L190" s="169">
        <v>2027</v>
      </c>
      <c r="M190" s="171">
        <v>46266</v>
      </c>
      <c r="N190" s="169" t="s">
        <v>36</v>
      </c>
      <c r="O190" s="169" t="s">
        <v>698</v>
      </c>
      <c r="P190" s="169">
        <v>502</v>
      </c>
      <c r="Q190" s="169" t="s">
        <v>1500</v>
      </c>
      <c r="R190" s="169">
        <v>2</v>
      </c>
      <c r="S190" s="169">
        <v>5</v>
      </c>
      <c r="T190" s="169" t="s">
        <v>1470</v>
      </c>
      <c r="U190" s="169">
        <v>15</v>
      </c>
      <c r="V190" s="169">
        <v>0</v>
      </c>
      <c r="W190" s="169">
        <v>0</v>
      </c>
      <c r="X190" s="169" t="s">
        <v>1406</v>
      </c>
      <c r="Z190" s="169" t="s">
        <v>32</v>
      </c>
      <c r="AA190" s="169"/>
      <c r="AB190" s="169">
        <v>0</v>
      </c>
      <c r="AC190" s="169">
        <v>0</v>
      </c>
      <c r="AD190" s="169">
        <v>0</v>
      </c>
      <c r="AE190" s="169" t="s">
        <v>1446</v>
      </c>
      <c r="AG190" s="169" t="s">
        <v>1446</v>
      </c>
      <c r="AJ190" s="169">
        <v>0</v>
      </c>
      <c r="AK190" s="169" t="s">
        <v>1407</v>
      </c>
      <c r="AL190" s="169">
        <v>28137</v>
      </c>
      <c r="AM190" s="169" t="s">
        <v>1418</v>
      </c>
      <c r="AN190" s="169" t="s">
        <v>1609</v>
      </c>
      <c r="AO190" s="169">
        <v>28</v>
      </c>
      <c r="AP190" s="169" t="s">
        <v>1416</v>
      </c>
      <c r="AQ190" s="169">
        <v>0</v>
      </c>
      <c r="AR190" s="169" t="s">
        <v>1410</v>
      </c>
      <c r="AT190" s="169" t="s">
        <v>1417</v>
      </c>
      <c r="AU190" s="169" t="s">
        <v>1412</v>
      </c>
    </row>
    <row r="191" spans="1:47" x14ac:dyDescent="0.45">
      <c r="A191" s="169">
        <v>2713150055</v>
      </c>
      <c r="B191" s="169">
        <v>131</v>
      </c>
      <c r="C191" s="169" t="s">
        <v>1462</v>
      </c>
      <c r="D191" s="169">
        <v>130</v>
      </c>
      <c r="E191" s="169" t="s">
        <v>1402</v>
      </c>
      <c r="F191" s="169" t="s">
        <v>4735</v>
      </c>
      <c r="G191" s="169" t="s">
        <v>4736</v>
      </c>
      <c r="H191" s="169">
        <v>1</v>
      </c>
      <c r="I191" s="169" t="s">
        <v>2285</v>
      </c>
      <c r="J191" s="169" t="s">
        <v>1403</v>
      </c>
      <c r="K191" s="169">
        <v>2027</v>
      </c>
      <c r="L191" s="169">
        <v>2027</v>
      </c>
      <c r="M191" s="171">
        <v>46266</v>
      </c>
      <c r="N191" s="169" t="s">
        <v>36</v>
      </c>
      <c r="O191" s="169" t="s">
        <v>698</v>
      </c>
      <c r="P191" s="169">
        <v>1046</v>
      </c>
      <c r="Q191" s="169" t="s">
        <v>2790</v>
      </c>
      <c r="R191" s="169">
        <v>2</v>
      </c>
      <c r="S191" s="169">
        <v>5</v>
      </c>
      <c r="T191" s="169" t="s">
        <v>1470</v>
      </c>
      <c r="U191" s="169">
        <v>15</v>
      </c>
      <c r="V191" s="169">
        <v>2722506</v>
      </c>
      <c r="W191" s="169">
        <v>166</v>
      </c>
      <c r="X191" s="169" t="s">
        <v>1501</v>
      </c>
      <c r="Z191" s="169" t="s">
        <v>32</v>
      </c>
      <c r="AA191" s="171">
        <v>46302</v>
      </c>
      <c r="AB191" s="169">
        <v>27</v>
      </c>
      <c r="AC191" s="169">
        <v>22506</v>
      </c>
      <c r="AD191" s="169">
        <v>131</v>
      </c>
      <c r="AE191" s="169" t="s">
        <v>1462</v>
      </c>
      <c r="AF191" s="169">
        <v>130</v>
      </c>
      <c r="AG191" s="169" t="s">
        <v>1402</v>
      </c>
      <c r="AH191" s="169" t="s">
        <v>36</v>
      </c>
      <c r="AI191" s="169" t="s">
        <v>698</v>
      </c>
      <c r="AJ191" s="169">
        <v>1046</v>
      </c>
      <c r="AK191" s="169" t="s">
        <v>1407</v>
      </c>
      <c r="AL191" s="169">
        <v>28094</v>
      </c>
      <c r="AM191" s="169" t="s">
        <v>1421</v>
      </c>
      <c r="AN191" s="169" t="s">
        <v>1437</v>
      </c>
      <c r="AO191" s="169">
        <v>28</v>
      </c>
      <c r="AP191" s="169" t="s">
        <v>1416</v>
      </c>
      <c r="AQ191" s="169">
        <v>0</v>
      </c>
      <c r="AR191" s="169" t="s">
        <v>1410</v>
      </c>
      <c r="AT191" s="169" t="s">
        <v>1417</v>
      </c>
      <c r="AU191" s="169" t="s">
        <v>1412</v>
      </c>
    </row>
    <row r="192" spans="1:47" x14ac:dyDescent="0.45">
      <c r="A192" s="169">
        <v>2713150056</v>
      </c>
      <c r="B192" s="169">
        <v>131</v>
      </c>
      <c r="C192" s="169" t="s">
        <v>1462</v>
      </c>
      <c r="D192" s="169">
        <v>130</v>
      </c>
      <c r="E192" s="169" t="s">
        <v>1402</v>
      </c>
      <c r="F192" s="169" t="s">
        <v>4737</v>
      </c>
      <c r="G192" s="169" t="s">
        <v>4738</v>
      </c>
      <c r="H192" s="169">
        <v>1</v>
      </c>
      <c r="I192" s="169" t="s">
        <v>4701</v>
      </c>
      <c r="J192" s="169" t="s">
        <v>1403</v>
      </c>
      <c r="K192" s="169">
        <v>2027</v>
      </c>
      <c r="L192" s="169">
        <v>2027</v>
      </c>
      <c r="M192" s="171">
        <v>46272</v>
      </c>
      <c r="N192" s="169" t="s">
        <v>36</v>
      </c>
      <c r="O192" s="169" t="s">
        <v>793</v>
      </c>
      <c r="P192" s="169">
        <v>852</v>
      </c>
      <c r="Q192" s="169" t="s">
        <v>1472</v>
      </c>
      <c r="R192" s="169">
        <v>1</v>
      </c>
      <c r="S192" s="169">
        <v>2</v>
      </c>
      <c r="T192" s="169" t="s">
        <v>1464</v>
      </c>
      <c r="U192" s="169">
        <v>1</v>
      </c>
      <c r="V192" s="169">
        <v>0</v>
      </c>
      <c r="W192" s="169">
        <v>0</v>
      </c>
      <c r="X192" s="169" t="s">
        <v>1406</v>
      </c>
      <c r="Z192" s="169" t="s">
        <v>32</v>
      </c>
      <c r="AA192" s="169"/>
      <c r="AB192" s="169">
        <v>0</v>
      </c>
      <c r="AC192" s="169">
        <v>0</v>
      </c>
      <c r="AD192" s="169">
        <v>0</v>
      </c>
      <c r="AE192" s="169" t="s">
        <v>1446</v>
      </c>
      <c r="AG192" s="169" t="s">
        <v>1446</v>
      </c>
      <c r="AJ192" s="169">
        <v>0</v>
      </c>
      <c r="AK192" s="169" t="s">
        <v>1473</v>
      </c>
      <c r="AL192" s="169">
        <v>28099</v>
      </c>
      <c r="AM192" s="169" t="s">
        <v>1418</v>
      </c>
      <c r="AN192" s="169" t="s">
        <v>1447</v>
      </c>
      <c r="AO192" s="169">
        <v>28</v>
      </c>
      <c r="AP192" s="169" t="s">
        <v>1416</v>
      </c>
      <c r="AQ192" s="169">
        <v>0</v>
      </c>
      <c r="AR192" s="169" t="s">
        <v>1410</v>
      </c>
      <c r="AT192" s="169" t="s">
        <v>1417</v>
      </c>
      <c r="AU192" s="169" t="s">
        <v>1412</v>
      </c>
    </row>
    <row r="193" spans="1:47" x14ac:dyDescent="0.45">
      <c r="A193" s="169">
        <v>2713150057</v>
      </c>
      <c r="B193" s="169">
        <v>131</v>
      </c>
      <c r="C193" s="169" t="s">
        <v>1462</v>
      </c>
      <c r="D193" s="169">
        <v>130</v>
      </c>
      <c r="E193" s="169" t="s">
        <v>1402</v>
      </c>
      <c r="F193" s="169" t="s">
        <v>4739</v>
      </c>
      <c r="G193" s="169" t="s">
        <v>4740</v>
      </c>
      <c r="H193" s="169">
        <v>2</v>
      </c>
      <c r="I193" s="169" t="s">
        <v>4741</v>
      </c>
      <c r="J193" s="169" t="s">
        <v>1403</v>
      </c>
      <c r="K193" s="169">
        <v>2027</v>
      </c>
      <c r="L193" s="169">
        <v>2027</v>
      </c>
      <c r="M193" s="171">
        <v>46279</v>
      </c>
      <c r="N193" s="169" t="s">
        <v>36</v>
      </c>
      <c r="O193" s="169" t="s">
        <v>708</v>
      </c>
      <c r="P193" s="169">
        <v>121</v>
      </c>
      <c r="Q193" s="169" t="s">
        <v>1502</v>
      </c>
      <c r="R193" s="169">
        <v>2</v>
      </c>
      <c r="S193" s="169">
        <v>8</v>
      </c>
      <c r="T193" s="169" t="s">
        <v>1503</v>
      </c>
      <c r="U193" s="169">
        <v>6</v>
      </c>
      <c r="V193" s="169">
        <v>0</v>
      </c>
      <c r="W193" s="169">
        <v>0</v>
      </c>
      <c r="X193" s="169" t="s">
        <v>1406</v>
      </c>
      <c r="Z193" s="169" t="s">
        <v>32</v>
      </c>
      <c r="AA193" s="169"/>
      <c r="AB193" s="169">
        <v>0</v>
      </c>
      <c r="AC193" s="169">
        <v>0</v>
      </c>
      <c r="AD193" s="169">
        <v>0</v>
      </c>
      <c r="AE193" s="169" t="s">
        <v>1446</v>
      </c>
      <c r="AG193" s="169" t="s">
        <v>1446</v>
      </c>
      <c r="AJ193" s="169">
        <v>0</v>
      </c>
      <c r="AK193" s="169" t="s">
        <v>1407</v>
      </c>
      <c r="AL193" s="169">
        <v>28178</v>
      </c>
      <c r="AM193" s="169" t="s">
        <v>1418</v>
      </c>
      <c r="AN193" s="169" t="s">
        <v>1507</v>
      </c>
      <c r="AO193" s="169">
        <v>28</v>
      </c>
      <c r="AP193" s="169" t="s">
        <v>1416</v>
      </c>
      <c r="AQ193" s="169">
        <v>0</v>
      </c>
      <c r="AR193" s="169" t="s">
        <v>1410</v>
      </c>
      <c r="AT193" s="169" t="s">
        <v>1417</v>
      </c>
      <c r="AU193" s="169" t="s">
        <v>1412</v>
      </c>
    </row>
    <row r="194" spans="1:47" x14ac:dyDescent="0.45">
      <c r="A194" s="169">
        <v>2713150058</v>
      </c>
      <c r="B194" s="169">
        <v>131</v>
      </c>
      <c r="C194" s="169" t="s">
        <v>1462</v>
      </c>
      <c r="D194" s="169">
        <v>130</v>
      </c>
      <c r="E194" s="169" t="s">
        <v>1402</v>
      </c>
      <c r="F194" s="169" t="s">
        <v>4742</v>
      </c>
      <c r="G194" s="169" t="s">
        <v>4743</v>
      </c>
      <c r="H194" s="169">
        <v>2</v>
      </c>
      <c r="I194" s="169" t="s">
        <v>4744</v>
      </c>
      <c r="J194" s="169" t="s">
        <v>1588</v>
      </c>
      <c r="K194" s="169">
        <v>2027</v>
      </c>
      <c r="L194" s="169">
        <v>2027</v>
      </c>
      <c r="M194" s="171">
        <v>46279</v>
      </c>
      <c r="N194" s="169" t="s">
        <v>36</v>
      </c>
      <c r="O194" s="169" t="s">
        <v>708</v>
      </c>
      <c r="P194" s="169">
        <v>121</v>
      </c>
      <c r="Q194" s="169" t="s">
        <v>1502</v>
      </c>
      <c r="R194" s="169">
        <v>2</v>
      </c>
      <c r="S194" s="169">
        <v>8</v>
      </c>
      <c r="T194" s="169" t="s">
        <v>1503</v>
      </c>
      <c r="U194" s="169">
        <v>6</v>
      </c>
      <c r="V194" s="169">
        <v>0</v>
      </c>
      <c r="W194" s="169">
        <v>0</v>
      </c>
      <c r="X194" s="169" t="s">
        <v>1406</v>
      </c>
      <c r="Z194" s="169" t="s">
        <v>32</v>
      </c>
      <c r="AA194" s="169"/>
      <c r="AB194" s="169">
        <v>0</v>
      </c>
      <c r="AC194" s="169">
        <v>0</v>
      </c>
      <c r="AD194" s="169">
        <v>0</v>
      </c>
      <c r="AE194" s="169" t="s">
        <v>1446</v>
      </c>
      <c r="AG194" s="169" t="s">
        <v>1446</v>
      </c>
      <c r="AJ194" s="169">
        <v>0</v>
      </c>
      <c r="AK194" s="169" t="s">
        <v>1407</v>
      </c>
      <c r="AL194" s="169">
        <v>29010</v>
      </c>
      <c r="AM194" s="169" t="s">
        <v>1421</v>
      </c>
      <c r="AN194" s="169" t="s">
        <v>3333</v>
      </c>
      <c r="AO194" s="169">
        <v>29</v>
      </c>
      <c r="AP194" s="169" t="s">
        <v>1589</v>
      </c>
      <c r="AQ194" s="169">
        <v>0</v>
      </c>
      <c r="AR194" s="169" t="s">
        <v>1410</v>
      </c>
      <c r="AT194" s="169" t="s">
        <v>1417</v>
      </c>
      <c r="AU194" s="169" t="s">
        <v>1412</v>
      </c>
    </row>
    <row r="195" spans="1:47" x14ac:dyDescent="0.45">
      <c r="A195" s="169">
        <v>2713150059</v>
      </c>
      <c r="B195" s="169">
        <v>131</v>
      </c>
      <c r="C195" s="169" t="s">
        <v>1462</v>
      </c>
      <c r="D195" s="169">
        <v>130</v>
      </c>
      <c r="E195" s="169" t="s">
        <v>1402</v>
      </c>
      <c r="F195" s="169" t="s">
        <v>4745</v>
      </c>
      <c r="G195" s="169" t="s">
        <v>4746</v>
      </c>
      <c r="H195" s="169">
        <v>1</v>
      </c>
      <c r="I195" s="169" t="s">
        <v>4747</v>
      </c>
      <c r="J195" s="169" t="s">
        <v>1403</v>
      </c>
      <c r="K195" s="169">
        <v>2027</v>
      </c>
      <c r="L195" s="169">
        <v>2027</v>
      </c>
      <c r="M195" s="171">
        <v>46309</v>
      </c>
      <c r="N195" s="169" t="s">
        <v>36</v>
      </c>
      <c r="O195" s="169" t="s">
        <v>704</v>
      </c>
      <c r="P195" s="169">
        <v>427</v>
      </c>
      <c r="Q195" s="169" t="s">
        <v>1479</v>
      </c>
      <c r="R195" s="169">
        <v>2</v>
      </c>
      <c r="S195" s="169">
        <v>2</v>
      </c>
      <c r="T195" s="169" t="s">
        <v>1464</v>
      </c>
      <c r="U195" s="169">
        <v>1</v>
      </c>
      <c r="V195" s="169">
        <v>0</v>
      </c>
      <c r="W195" s="169">
        <v>0</v>
      </c>
      <c r="X195" s="169" t="s">
        <v>1406</v>
      </c>
      <c r="Z195" s="169" t="s">
        <v>32</v>
      </c>
      <c r="AA195" s="169"/>
      <c r="AB195" s="169">
        <v>0</v>
      </c>
      <c r="AC195" s="169">
        <v>0</v>
      </c>
      <c r="AD195" s="169">
        <v>0</v>
      </c>
      <c r="AE195" s="169" t="s">
        <v>1446</v>
      </c>
      <c r="AG195" s="169" t="s">
        <v>1446</v>
      </c>
      <c r="AJ195" s="169">
        <v>0</v>
      </c>
      <c r="AK195" s="169" t="s">
        <v>1473</v>
      </c>
      <c r="AL195" s="169">
        <v>28015</v>
      </c>
      <c r="AM195" s="169" t="s">
        <v>1421</v>
      </c>
      <c r="AN195" s="169" t="s">
        <v>1525</v>
      </c>
      <c r="AO195" s="169">
        <v>28</v>
      </c>
      <c r="AP195" s="169" t="s">
        <v>1416</v>
      </c>
      <c r="AQ195" s="169">
        <v>0</v>
      </c>
      <c r="AR195" s="169" t="s">
        <v>1410</v>
      </c>
      <c r="AT195" s="169" t="s">
        <v>1417</v>
      </c>
      <c r="AU195" s="169" t="s">
        <v>1412</v>
      </c>
    </row>
    <row r="196" spans="1:47" x14ac:dyDescent="0.45">
      <c r="A196" s="169">
        <v>2713150061</v>
      </c>
      <c r="B196" s="169">
        <v>131</v>
      </c>
      <c r="C196" s="169" t="s">
        <v>1462</v>
      </c>
      <c r="D196" s="169">
        <v>130</v>
      </c>
      <c r="E196" s="169" t="s">
        <v>1402</v>
      </c>
      <c r="F196" s="169" t="s">
        <v>4748</v>
      </c>
      <c r="G196" s="169" t="s">
        <v>4749</v>
      </c>
      <c r="H196" s="169">
        <v>1</v>
      </c>
      <c r="I196" s="169" t="s">
        <v>4750</v>
      </c>
      <c r="J196" s="169" t="s">
        <v>1403</v>
      </c>
      <c r="K196" s="169">
        <v>2027</v>
      </c>
      <c r="L196" s="169">
        <v>2027</v>
      </c>
      <c r="M196" s="171">
        <v>46272</v>
      </c>
      <c r="N196" s="169" t="s">
        <v>36</v>
      </c>
      <c r="O196" s="169" t="s">
        <v>704</v>
      </c>
      <c r="P196" s="169">
        <v>428</v>
      </c>
      <c r="Q196" s="169" t="s">
        <v>1463</v>
      </c>
      <c r="R196" s="169">
        <v>2</v>
      </c>
      <c r="S196" s="169">
        <v>2</v>
      </c>
      <c r="T196" s="169" t="s">
        <v>1464</v>
      </c>
      <c r="U196" s="169">
        <v>1</v>
      </c>
      <c r="V196" s="169">
        <v>2722524</v>
      </c>
      <c r="W196" s="169">
        <v>0</v>
      </c>
      <c r="X196" s="169" t="s">
        <v>1406</v>
      </c>
      <c r="Z196" s="169" t="s">
        <v>32</v>
      </c>
      <c r="AA196" s="171">
        <v>46311</v>
      </c>
      <c r="AB196" s="169">
        <v>27</v>
      </c>
      <c r="AC196" s="169">
        <v>22524</v>
      </c>
      <c r="AD196" s="169">
        <v>131</v>
      </c>
      <c r="AE196" s="169" t="s">
        <v>1462</v>
      </c>
      <c r="AF196" s="169">
        <v>130</v>
      </c>
      <c r="AG196" s="169" t="s">
        <v>1402</v>
      </c>
      <c r="AH196" s="169" t="s">
        <v>36</v>
      </c>
      <c r="AI196" s="169" t="s">
        <v>704</v>
      </c>
      <c r="AJ196" s="169">
        <v>428</v>
      </c>
      <c r="AK196" s="169" t="s">
        <v>1407</v>
      </c>
      <c r="AL196" s="169">
        <v>28141</v>
      </c>
      <c r="AM196" s="169" t="s">
        <v>1418</v>
      </c>
      <c r="AN196" s="169" t="s">
        <v>1546</v>
      </c>
      <c r="AO196" s="169">
        <v>28</v>
      </c>
      <c r="AP196" s="169" t="s">
        <v>1416</v>
      </c>
      <c r="AQ196" s="169">
        <v>0</v>
      </c>
      <c r="AR196" s="169" t="s">
        <v>1410</v>
      </c>
      <c r="AT196" s="169" t="s">
        <v>1417</v>
      </c>
      <c r="AU196" s="169" t="s">
        <v>1412</v>
      </c>
    </row>
    <row r="197" spans="1:47" x14ac:dyDescent="0.45">
      <c r="A197" s="169">
        <v>2713150062</v>
      </c>
      <c r="B197" s="169">
        <v>131</v>
      </c>
      <c r="C197" s="169" t="s">
        <v>1462</v>
      </c>
      <c r="D197" s="169">
        <v>130</v>
      </c>
      <c r="E197" s="169" t="s">
        <v>1402</v>
      </c>
      <c r="F197" s="169" t="s">
        <v>4751</v>
      </c>
      <c r="G197" s="169" t="s">
        <v>4752</v>
      </c>
      <c r="H197" s="169">
        <v>2</v>
      </c>
      <c r="I197" s="169" t="s">
        <v>1105</v>
      </c>
      <c r="J197" s="169" t="s">
        <v>1403</v>
      </c>
      <c r="K197" s="169">
        <v>2027</v>
      </c>
      <c r="L197" s="169">
        <v>2027</v>
      </c>
      <c r="M197" s="171">
        <v>46318</v>
      </c>
      <c r="N197" s="169" t="s">
        <v>36</v>
      </c>
      <c r="O197" s="169" t="s">
        <v>704</v>
      </c>
      <c r="P197" s="169">
        <v>427</v>
      </c>
      <c r="Q197" s="169" t="s">
        <v>1479</v>
      </c>
      <c r="R197" s="169">
        <v>2</v>
      </c>
      <c r="S197" s="169">
        <v>2</v>
      </c>
      <c r="T197" s="169" t="s">
        <v>1464</v>
      </c>
      <c r="U197" s="169">
        <v>1</v>
      </c>
      <c r="V197" s="169">
        <v>0</v>
      </c>
      <c r="W197" s="169">
        <v>0</v>
      </c>
      <c r="X197" s="169" t="s">
        <v>1406</v>
      </c>
      <c r="Z197" s="169" t="s">
        <v>32</v>
      </c>
      <c r="AA197" s="169"/>
      <c r="AB197" s="169">
        <v>0</v>
      </c>
      <c r="AC197" s="169">
        <v>0</v>
      </c>
      <c r="AD197" s="169">
        <v>0</v>
      </c>
      <c r="AE197" s="169" t="s">
        <v>1446</v>
      </c>
      <c r="AG197" s="169" t="s">
        <v>1446</v>
      </c>
      <c r="AJ197" s="169">
        <v>0</v>
      </c>
      <c r="AK197" s="169" t="s">
        <v>1407</v>
      </c>
      <c r="AL197" s="169">
        <v>28144</v>
      </c>
      <c r="AM197" s="169" t="s">
        <v>1418</v>
      </c>
      <c r="AN197" s="169" t="s">
        <v>1510</v>
      </c>
      <c r="AO197" s="169">
        <v>28</v>
      </c>
      <c r="AP197" s="169" t="s">
        <v>1416</v>
      </c>
      <c r="AQ197" s="169">
        <v>0</v>
      </c>
      <c r="AR197" s="169" t="s">
        <v>1410</v>
      </c>
      <c r="AT197" s="169" t="s">
        <v>1417</v>
      </c>
      <c r="AU197" s="169" t="s">
        <v>1412</v>
      </c>
    </row>
    <row r="198" spans="1:47" x14ac:dyDescent="0.45">
      <c r="A198" s="169">
        <v>2713150064</v>
      </c>
      <c r="B198" s="169">
        <v>131</v>
      </c>
      <c r="C198" s="169" t="s">
        <v>1462</v>
      </c>
      <c r="D198" s="169">
        <v>130</v>
      </c>
      <c r="E198" s="169" t="s">
        <v>1402</v>
      </c>
      <c r="F198" s="169" t="s">
        <v>4753</v>
      </c>
      <c r="G198" s="169" t="s">
        <v>4754</v>
      </c>
      <c r="H198" s="169">
        <v>2</v>
      </c>
      <c r="I198" s="169" t="s">
        <v>672</v>
      </c>
      <c r="J198" s="169" t="s">
        <v>1403</v>
      </c>
      <c r="K198" s="169">
        <v>2027</v>
      </c>
      <c r="L198" s="169">
        <v>2027</v>
      </c>
      <c r="M198" s="171">
        <v>46279</v>
      </c>
      <c r="N198" s="169" t="s">
        <v>36</v>
      </c>
      <c r="O198" s="169" t="s">
        <v>708</v>
      </c>
      <c r="P198" s="169">
        <v>1044</v>
      </c>
      <c r="Q198" s="169" t="s">
        <v>1476</v>
      </c>
      <c r="R198" s="169">
        <v>2</v>
      </c>
      <c r="S198" s="169">
        <v>3</v>
      </c>
      <c r="T198" s="169" t="s">
        <v>1477</v>
      </c>
      <c r="U198" s="169">
        <v>4</v>
      </c>
      <c r="V198" s="169">
        <v>2722511</v>
      </c>
      <c r="W198" s="169">
        <v>0</v>
      </c>
      <c r="X198" s="169" t="s">
        <v>1406</v>
      </c>
      <c r="Z198" s="169" t="s">
        <v>32</v>
      </c>
      <c r="AA198" s="171">
        <v>46307</v>
      </c>
      <c r="AB198" s="169">
        <v>27</v>
      </c>
      <c r="AC198" s="169">
        <v>22511</v>
      </c>
      <c r="AD198" s="169">
        <v>131</v>
      </c>
      <c r="AE198" s="169" t="s">
        <v>1462</v>
      </c>
      <c r="AF198" s="169">
        <v>130</v>
      </c>
      <c r="AG198" s="169" t="s">
        <v>1402</v>
      </c>
      <c r="AH198" s="169" t="s">
        <v>36</v>
      </c>
      <c r="AI198" s="169" t="s">
        <v>708</v>
      </c>
      <c r="AJ198" s="169">
        <v>1044</v>
      </c>
      <c r="AK198" s="169" t="s">
        <v>1407</v>
      </c>
      <c r="AL198" s="169">
        <v>8170</v>
      </c>
      <c r="AM198" s="169" t="s">
        <v>1421</v>
      </c>
      <c r="AN198" s="169" t="s">
        <v>2826</v>
      </c>
      <c r="AO198" s="169">
        <v>8</v>
      </c>
      <c r="AP198" s="169" t="s">
        <v>1529</v>
      </c>
      <c r="AQ198" s="169">
        <v>0</v>
      </c>
      <c r="AR198" s="169" t="s">
        <v>1410</v>
      </c>
      <c r="AT198" s="169" t="s">
        <v>1417</v>
      </c>
      <c r="AU198" s="169" t="s">
        <v>1412</v>
      </c>
    </row>
    <row r="199" spans="1:47" x14ac:dyDescent="0.45">
      <c r="A199" s="169">
        <v>2713150066</v>
      </c>
      <c r="B199" s="169">
        <v>131</v>
      </c>
      <c r="C199" s="169" t="s">
        <v>1462</v>
      </c>
      <c r="D199" s="169">
        <v>130</v>
      </c>
      <c r="E199" s="169" t="s">
        <v>1402</v>
      </c>
      <c r="F199" s="169" t="s">
        <v>4755</v>
      </c>
      <c r="G199" s="169" t="s">
        <v>4756</v>
      </c>
      <c r="H199" s="169">
        <v>1</v>
      </c>
      <c r="I199" s="169" t="s">
        <v>3218</v>
      </c>
      <c r="J199" s="169" t="s">
        <v>1403</v>
      </c>
      <c r="K199" s="169">
        <v>2027</v>
      </c>
      <c r="L199" s="169">
        <v>2027</v>
      </c>
      <c r="M199" s="171">
        <v>46274</v>
      </c>
      <c r="N199" s="169" t="s">
        <v>36</v>
      </c>
      <c r="O199" s="169" t="s">
        <v>698</v>
      </c>
      <c r="P199" s="169">
        <v>502</v>
      </c>
      <c r="Q199" s="169" t="s">
        <v>1500</v>
      </c>
      <c r="R199" s="169">
        <v>2</v>
      </c>
      <c r="S199" s="169">
        <v>5</v>
      </c>
      <c r="T199" s="169" t="s">
        <v>1470</v>
      </c>
      <c r="U199" s="169">
        <v>15</v>
      </c>
      <c r="V199" s="169">
        <v>2722501</v>
      </c>
      <c r="W199" s="169">
        <v>0</v>
      </c>
      <c r="X199" s="169" t="s">
        <v>1406</v>
      </c>
      <c r="Z199" s="169" t="s">
        <v>32</v>
      </c>
      <c r="AA199" s="171">
        <v>46293</v>
      </c>
      <c r="AB199" s="169">
        <v>27</v>
      </c>
      <c r="AC199" s="169">
        <v>22501</v>
      </c>
      <c r="AD199" s="169">
        <v>131</v>
      </c>
      <c r="AE199" s="169" t="s">
        <v>1462</v>
      </c>
      <c r="AF199" s="169">
        <v>130</v>
      </c>
      <c r="AG199" s="169" t="s">
        <v>1402</v>
      </c>
      <c r="AH199" s="169" t="s">
        <v>36</v>
      </c>
      <c r="AI199" s="169" t="s">
        <v>698</v>
      </c>
      <c r="AJ199" s="169">
        <v>502</v>
      </c>
      <c r="AK199" s="169" t="s">
        <v>1407</v>
      </c>
      <c r="AL199" s="169">
        <v>28175</v>
      </c>
      <c r="AM199" s="169" t="s">
        <v>1418</v>
      </c>
      <c r="AN199" s="169" t="s">
        <v>1459</v>
      </c>
      <c r="AO199" s="169">
        <v>28</v>
      </c>
      <c r="AP199" s="169" t="s">
        <v>1416</v>
      </c>
      <c r="AQ199" s="169">
        <v>0</v>
      </c>
      <c r="AR199" s="169" t="s">
        <v>1410</v>
      </c>
      <c r="AT199" s="169" t="s">
        <v>1417</v>
      </c>
      <c r="AU199" s="169" t="s">
        <v>1412</v>
      </c>
    </row>
    <row r="200" spans="1:47" x14ac:dyDescent="0.45">
      <c r="A200" s="169">
        <v>2713150068</v>
      </c>
      <c r="B200" s="169">
        <v>131</v>
      </c>
      <c r="C200" s="169" t="s">
        <v>1462</v>
      </c>
      <c r="D200" s="169">
        <v>130</v>
      </c>
      <c r="E200" s="169" t="s">
        <v>1402</v>
      </c>
      <c r="F200" s="169" t="s">
        <v>4757</v>
      </c>
      <c r="G200" s="169" t="s">
        <v>4758</v>
      </c>
      <c r="H200" s="169">
        <v>1</v>
      </c>
      <c r="I200" s="169" t="s">
        <v>4759</v>
      </c>
      <c r="J200" s="169" t="s">
        <v>1403</v>
      </c>
      <c r="K200" s="169">
        <v>2027</v>
      </c>
      <c r="L200" s="169">
        <v>2027</v>
      </c>
      <c r="M200" s="171">
        <v>46321</v>
      </c>
      <c r="N200" s="169" t="s">
        <v>36</v>
      </c>
      <c r="O200" s="169" t="s">
        <v>704</v>
      </c>
      <c r="P200" s="169">
        <v>427</v>
      </c>
      <c r="Q200" s="169" t="s">
        <v>1479</v>
      </c>
      <c r="R200" s="169">
        <v>2</v>
      </c>
      <c r="S200" s="169">
        <v>2</v>
      </c>
      <c r="T200" s="169" t="s">
        <v>1464</v>
      </c>
      <c r="U200" s="169">
        <v>1</v>
      </c>
      <c r="V200" s="169">
        <v>0</v>
      </c>
      <c r="W200" s="169">
        <v>0</v>
      </c>
      <c r="X200" s="169" t="s">
        <v>1406</v>
      </c>
      <c r="Z200" s="169" t="s">
        <v>32</v>
      </c>
      <c r="AA200" s="169"/>
      <c r="AB200" s="169">
        <v>0</v>
      </c>
      <c r="AC200" s="169">
        <v>0</v>
      </c>
      <c r="AD200" s="169">
        <v>0</v>
      </c>
      <c r="AE200" s="169" t="s">
        <v>1446</v>
      </c>
      <c r="AG200" s="169" t="s">
        <v>1446</v>
      </c>
      <c r="AJ200" s="169">
        <v>0</v>
      </c>
      <c r="AK200" s="169" t="s">
        <v>1473</v>
      </c>
      <c r="AL200" s="169">
        <v>28168</v>
      </c>
      <c r="AM200" s="169" t="s">
        <v>1418</v>
      </c>
      <c r="AN200" s="169" t="s">
        <v>1475</v>
      </c>
      <c r="AO200" s="169">
        <v>28</v>
      </c>
      <c r="AP200" s="169" t="s">
        <v>1416</v>
      </c>
      <c r="AQ200" s="169">
        <v>0</v>
      </c>
      <c r="AR200" s="169" t="s">
        <v>1410</v>
      </c>
      <c r="AT200" s="169" t="s">
        <v>1417</v>
      </c>
      <c r="AU200" s="169" t="s">
        <v>1412</v>
      </c>
    </row>
    <row r="201" spans="1:47" x14ac:dyDescent="0.45">
      <c r="A201" s="169">
        <v>2713150069</v>
      </c>
      <c r="B201" s="169">
        <v>131</v>
      </c>
      <c r="C201" s="169" t="s">
        <v>1462</v>
      </c>
      <c r="D201" s="169">
        <v>130</v>
      </c>
      <c r="E201" s="169" t="s">
        <v>1402</v>
      </c>
      <c r="F201" s="169" t="s">
        <v>4760</v>
      </c>
      <c r="G201" s="169" t="s">
        <v>4761</v>
      </c>
      <c r="H201" s="169">
        <v>2</v>
      </c>
      <c r="I201" s="169" t="s">
        <v>4762</v>
      </c>
      <c r="J201" s="169" t="s">
        <v>1403</v>
      </c>
      <c r="K201" s="169">
        <v>0</v>
      </c>
      <c r="L201" s="169">
        <v>2027</v>
      </c>
      <c r="M201" s="171">
        <v>46266</v>
      </c>
      <c r="N201" s="169" t="s">
        <v>36</v>
      </c>
      <c r="O201" s="169" t="s">
        <v>741</v>
      </c>
      <c r="P201" s="169">
        <v>581</v>
      </c>
      <c r="Q201" s="169" t="s">
        <v>1489</v>
      </c>
      <c r="R201" s="169">
        <v>2</v>
      </c>
      <c r="S201" s="169">
        <v>10</v>
      </c>
      <c r="T201" s="169" t="s">
        <v>1490</v>
      </c>
      <c r="U201" s="169">
        <v>9</v>
      </c>
      <c r="V201" s="169">
        <v>2722517</v>
      </c>
      <c r="W201" s="169">
        <v>0</v>
      </c>
      <c r="X201" s="169" t="s">
        <v>1406</v>
      </c>
      <c r="Z201" s="169" t="s">
        <v>32</v>
      </c>
      <c r="AA201" s="171">
        <v>46308</v>
      </c>
      <c r="AB201" s="169">
        <v>27</v>
      </c>
      <c r="AC201" s="169">
        <v>22517</v>
      </c>
      <c r="AD201" s="169">
        <v>131</v>
      </c>
      <c r="AE201" s="169" t="s">
        <v>1462</v>
      </c>
      <c r="AF201" s="169">
        <v>130</v>
      </c>
      <c r="AG201" s="169" t="s">
        <v>1402</v>
      </c>
      <c r="AH201" s="169" t="s">
        <v>36</v>
      </c>
      <c r="AI201" s="169" t="s">
        <v>741</v>
      </c>
      <c r="AJ201" s="169">
        <v>581</v>
      </c>
      <c r="AK201" s="169" t="s">
        <v>1407</v>
      </c>
      <c r="AL201" s="169">
        <v>28092</v>
      </c>
      <c r="AM201" s="169" t="s">
        <v>1421</v>
      </c>
      <c r="AN201" s="169" t="s">
        <v>2824</v>
      </c>
      <c r="AO201" s="169">
        <v>28</v>
      </c>
      <c r="AP201" s="169" t="s">
        <v>1416</v>
      </c>
      <c r="AQ201" s="169">
        <v>0</v>
      </c>
      <c r="AR201" s="169" t="s">
        <v>1410</v>
      </c>
      <c r="AT201" s="169" t="s">
        <v>1411</v>
      </c>
      <c r="AU201" s="169" t="s">
        <v>1412</v>
      </c>
    </row>
    <row r="202" spans="1:47" x14ac:dyDescent="0.45">
      <c r="A202" s="169">
        <v>2713150070</v>
      </c>
      <c r="B202" s="169">
        <v>131</v>
      </c>
      <c r="C202" s="169" t="s">
        <v>1462</v>
      </c>
      <c r="D202" s="169">
        <v>130</v>
      </c>
      <c r="E202" s="169" t="s">
        <v>1402</v>
      </c>
      <c r="F202" s="169" t="s">
        <v>4763</v>
      </c>
      <c r="G202" s="169" t="s">
        <v>4764</v>
      </c>
      <c r="H202" s="169">
        <v>1</v>
      </c>
      <c r="I202" s="169" t="s">
        <v>1108</v>
      </c>
      <c r="J202" s="169" t="s">
        <v>1403</v>
      </c>
      <c r="K202" s="169">
        <v>2027</v>
      </c>
      <c r="L202" s="169">
        <v>2027</v>
      </c>
      <c r="M202" s="171">
        <v>46281</v>
      </c>
      <c r="N202" s="169" t="s">
        <v>36</v>
      </c>
      <c r="O202" s="169" t="s">
        <v>704</v>
      </c>
      <c r="P202" s="169">
        <v>427</v>
      </c>
      <c r="Q202" s="169" t="s">
        <v>1479</v>
      </c>
      <c r="R202" s="169">
        <v>2</v>
      </c>
      <c r="S202" s="169">
        <v>2</v>
      </c>
      <c r="T202" s="169" t="s">
        <v>1464</v>
      </c>
      <c r="U202" s="169">
        <v>1</v>
      </c>
      <c r="V202" s="169">
        <v>0</v>
      </c>
      <c r="W202" s="169">
        <v>0</v>
      </c>
      <c r="X202" s="169" t="s">
        <v>1406</v>
      </c>
      <c r="Z202" s="169" t="s">
        <v>32</v>
      </c>
      <c r="AA202" s="169"/>
      <c r="AB202" s="169">
        <v>0</v>
      </c>
      <c r="AC202" s="169">
        <v>0</v>
      </c>
      <c r="AD202" s="169">
        <v>0</v>
      </c>
      <c r="AE202" s="169" t="s">
        <v>1446</v>
      </c>
      <c r="AG202" s="169" t="s">
        <v>1446</v>
      </c>
      <c r="AJ202" s="169">
        <v>0</v>
      </c>
      <c r="AK202" s="169" t="s">
        <v>1407</v>
      </c>
      <c r="AL202" s="169">
        <v>28187</v>
      </c>
      <c r="AM202" s="169" t="s">
        <v>1418</v>
      </c>
      <c r="AN202" s="169" t="s">
        <v>1425</v>
      </c>
      <c r="AO202" s="169">
        <v>28</v>
      </c>
      <c r="AP202" s="169" t="s">
        <v>1416</v>
      </c>
      <c r="AQ202" s="169">
        <v>0</v>
      </c>
      <c r="AR202" s="169" t="s">
        <v>1410</v>
      </c>
      <c r="AT202" s="169" t="s">
        <v>1417</v>
      </c>
      <c r="AU202" s="169" t="s">
        <v>1412</v>
      </c>
    </row>
    <row r="203" spans="1:47" x14ac:dyDescent="0.45">
      <c r="A203" s="169">
        <v>2713150072</v>
      </c>
      <c r="B203" s="169">
        <v>131</v>
      </c>
      <c r="C203" s="169" t="s">
        <v>1462</v>
      </c>
      <c r="D203" s="169">
        <v>130</v>
      </c>
      <c r="E203" s="169" t="s">
        <v>1402</v>
      </c>
      <c r="F203" s="169" t="s">
        <v>4765</v>
      </c>
      <c r="G203" s="169" t="s">
        <v>4766</v>
      </c>
      <c r="H203" s="169">
        <v>2</v>
      </c>
      <c r="I203" s="169" t="s">
        <v>889</v>
      </c>
      <c r="J203" s="169" t="s">
        <v>1403</v>
      </c>
      <c r="K203" s="169">
        <v>2027</v>
      </c>
      <c r="L203" s="169">
        <v>2027</v>
      </c>
      <c r="M203" s="171">
        <v>46276</v>
      </c>
      <c r="N203" s="169" t="s">
        <v>36</v>
      </c>
      <c r="O203" s="169" t="s">
        <v>708</v>
      </c>
      <c r="P203" s="169">
        <v>1044</v>
      </c>
      <c r="Q203" s="169" t="s">
        <v>1476</v>
      </c>
      <c r="R203" s="169">
        <v>2</v>
      </c>
      <c r="S203" s="169">
        <v>3</v>
      </c>
      <c r="T203" s="169" t="s">
        <v>1477</v>
      </c>
      <c r="U203" s="169">
        <v>4</v>
      </c>
      <c r="V203" s="169">
        <v>0</v>
      </c>
      <c r="W203" s="169">
        <v>0</v>
      </c>
      <c r="X203" s="169" t="s">
        <v>1406</v>
      </c>
      <c r="Z203" s="169" t="s">
        <v>32</v>
      </c>
      <c r="AA203" s="169"/>
      <c r="AB203" s="169">
        <v>0</v>
      </c>
      <c r="AC203" s="169">
        <v>0</v>
      </c>
      <c r="AD203" s="169">
        <v>0</v>
      </c>
      <c r="AE203" s="169" t="s">
        <v>1446</v>
      </c>
      <c r="AG203" s="169" t="s">
        <v>1446</v>
      </c>
      <c r="AJ203" s="169">
        <v>0</v>
      </c>
      <c r="AK203" s="169" t="s">
        <v>1407</v>
      </c>
      <c r="AL203" s="169">
        <v>28174</v>
      </c>
      <c r="AM203" s="169" t="s">
        <v>1418</v>
      </c>
      <c r="AN203" s="169" t="s">
        <v>1543</v>
      </c>
      <c r="AO203" s="169">
        <v>28</v>
      </c>
      <c r="AP203" s="169" t="s">
        <v>1416</v>
      </c>
      <c r="AQ203" s="169">
        <v>0</v>
      </c>
      <c r="AR203" s="169" t="s">
        <v>1410</v>
      </c>
      <c r="AT203" s="169" t="s">
        <v>1417</v>
      </c>
      <c r="AU203" s="169" t="s">
        <v>1412</v>
      </c>
    </row>
    <row r="204" spans="1:47" x14ac:dyDescent="0.45">
      <c r="A204" s="169">
        <v>2713150073</v>
      </c>
      <c r="B204" s="169">
        <v>131</v>
      </c>
      <c r="C204" s="169" t="s">
        <v>1462</v>
      </c>
      <c r="D204" s="169">
        <v>130</v>
      </c>
      <c r="E204" s="169" t="s">
        <v>1402</v>
      </c>
      <c r="F204" s="169" t="s">
        <v>4767</v>
      </c>
      <c r="G204" s="169" t="s">
        <v>4768</v>
      </c>
      <c r="H204" s="169">
        <v>1</v>
      </c>
      <c r="I204" s="169" t="s">
        <v>4769</v>
      </c>
      <c r="J204" s="169" t="s">
        <v>1403</v>
      </c>
      <c r="K204" s="169">
        <v>2027</v>
      </c>
      <c r="L204" s="169">
        <v>2027</v>
      </c>
      <c r="M204" s="171">
        <v>46310</v>
      </c>
      <c r="N204" s="169" t="s">
        <v>36</v>
      </c>
      <c r="O204" s="169" t="s">
        <v>704</v>
      </c>
      <c r="P204" s="169">
        <v>968</v>
      </c>
      <c r="Q204" s="169" t="s">
        <v>1474</v>
      </c>
      <c r="R204" s="169">
        <v>2</v>
      </c>
      <c r="S204" s="169">
        <v>2</v>
      </c>
      <c r="T204" s="169" t="s">
        <v>1464</v>
      </c>
      <c r="U204" s="169">
        <v>1</v>
      </c>
      <c r="V204" s="169">
        <v>0</v>
      </c>
      <c r="W204" s="169">
        <v>0</v>
      </c>
      <c r="X204" s="169" t="s">
        <v>1406</v>
      </c>
      <c r="Z204" s="169" t="s">
        <v>32</v>
      </c>
      <c r="AA204" s="169"/>
      <c r="AB204" s="169">
        <v>0</v>
      </c>
      <c r="AC204" s="169">
        <v>0</v>
      </c>
      <c r="AD204" s="169">
        <v>0</v>
      </c>
      <c r="AE204" s="169" t="s">
        <v>1446</v>
      </c>
      <c r="AG204" s="169" t="s">
        <v>1446</v>
      </c>
      <c r="AJ204" s="169">
        <v>0</v>
      </c>
      <c r="AK204" s="169" t="s">
        <v>1410</v>
      </c>
      <c r="AL204" s="169">
        <v>28174</v>
      </c>
      <c r="AM204" s="169" t="s">
        <v>1418</v>
      </c>
      <c r="AN204" s="169" t="s">
        <v>1543</v>
      </c>
      <c r="AO204" s="169">
        <v>28</v>
      </c>
      <c r="AP204" s="169" t="s">
        <v>1416</v>
      </c>
      <c r="AQ204" s="169">
        <v>0</v>
      </c>
      <c r="AR204" s="169" t="s">
        <v>1410</v>
      </c>
      <c r="AT204" s="169" t="s">
        <v>1417</v>
      </c>
      <c r="AU204" s="169" t="s">
        <v>1412</v>
      </c>
    </row>
    <row r="205" spans="1:47" x14ac:dyDescent="0.45">
      <c r="A205" s="169">
        <v>2713150077</v>
      </c>
      <c r="B205" s="169">
        <v>131</v>
      </c>
      <c r="C205" s="169" t="s">
        <v>1462</v>
      </c>
      <c r="D205" s="169">
        <v>130</v>
      </c>
      <c r="E205" s="169" t="s">
        <v>1402</v>
      </c>
      <c r="F205" s="169" t="s">
        <v>4770</v>
      </c>
      <c r="G205" s="169" t="s">
        <v>4771</v>
      </c>
      <c r="H205" s="169">
        <v>2</v>
      </c>
      <c r="I205" s="169" t="s">
        <v>566</v>
      </c>
      <c r="J205" s="169" t="s">
        <v>1403</v>
      </c>
      <c r="K205" s="169">
        <v>2027</v>
      </c>
      <c r="L205" s="169">
        <v>2027</v>
      </c>
      <c r="M205" s="171">
        <v>46300</v>
      </c>
      <c r="N205" s="169" t="s">
        <v>36</v>
      </c>
      <c r="O205" s="169" t="s">
        <v>793</v>
      </c>
      <c r="P205" s="169">
        <v>427</v>
      </c>
      <c r="Q205" s="169" t="s">
        <v>1479</v>
      </c>
      <c r="R205" s="169">
        <v>1</v>
      </c>
      <c r="S205" s="169">
        <v>2</v>
      </c>
      <c r="T205" s="169" t="s">
        <v>1464</v>
      </c>
      <c r="U205" s="169">
        <v>1</v>
      </c>
      <c r="V205" s="169">
        <v>0</v>
      </c>
      <c r="W205" s="169">
        <v>0</v>
      </c>
      <c r="X205" s="169" t="s">
        <v>1406</v>
      </c>
      <c r="Z205" s="169" t="s">
        <v>32</v>
      </c>
      <c r="AA205" s="169"/>
      <c r="AB205" s="169">
        <v>0</v>
      </c>
      <c r="AC205" s="169">
        <v>0</v>
      </c>
      <c r="AD205" s="169">
        <v>0</v>
      </c>
      <c r="AE205" s="169" t="s">
        <v>1446</v>
      </c>
      <c r="AG205" s="169" t="s">
        <v>1446</v>
      </c>
      <c r="AJ205" s="169">
        <v>0</v>
      </c>
      <c r="AK205" s="169" t="s">
        <v>1473</v>
      </c>
      <c r="AL205" s="169">
        <v>28090</v>
      </c>
      <c r="AM205" s="169" t="s">
        <v>1414</v>
      </c>
      <c r="AN205" s="169" t="s">
        <v>1455</v>
      </c>
      <c r="AO205" s="169">
        <v>28</v>
      </c>
      <c r="AP205" s="169" t="s">
        <v>1416</v>
      </c>
      <c r="AQ205" s="169">
        <v>0</v>
      </c>
      <c r="AR205" s="169" t="s">
        <v>1410</v>
      </c>
      <c r="AT205" s="169" t="s">
        <v>1417</v>
      </c>
      <c r="AU205" s="169" t="s">
        <v>1412</v>
      </c>
    </row>
    <row r="206" spans="1:47" x14ac:dyDescent="0.45">
      <c r="A206" s="169">
        <v>2713150080</v>
      </c>
      <c r="B206" s="169">
        <v>131</v>
      </c>
      <c r="C206" s="169" t="s">
        <v>1462</v>
      </c>
      <c r="D206" s="169">
        <v>130</v>
      </c>
      <c r="E206" s="169" t="s">
        <v>1402</v>
      </c>
      <c r="F206" s="169" t="s">
        <v>4772</v>
      </c>
      <c r="G206" s="169" t="s">
        <v>4773</v>
      </c>
      <c r="H206" s="169">
        <v>1</v>
      </c>
      <c r="I206" s="169" t="s">
        <v>3387</v>
      </c>
      <c r="J206" s="169" t="s">
        <v>1403</v>
      </c>
      <c r="K206" s="169">
        <v>2027</v>
      </c>
      <c r="L206" s="169">
        <v>2027</v>
      </c>
      <c r="M206" s="171">
        <v>46266</v>
      </c>
      <c r="N206" s="169" t="s">
        <v>36</v>
      </c>
      <c r="O206" s="169" t="s">
        <v>698</v>
      </c>
      <c r="P206" s="169">
        <v>1046</v>
      </c>
      <c r="Q206" s="169" t="s">
        <v>2790</v>
      </c>
      <c r="R206" s="169">
        <v>2</v>
      </c>
      <c r="S206" s="169">
        <v>5</v>
      </c>
      <c r="T206" s="169" t="s">
        <v>1470</v>
      </c>
      <c r="U206" s="169">
        <v>15</v>
      </c>
      <c r="V206" s="169">
        <v>2722513</v>
      </c>
      <c r="W206" s="169">
        <v>0</v>
      </c>
      <c r="X206" s="169" t="s">
        <v>1406</v>
      </c>
      <c r="Z206" s="169" t="s">
        <v>32</v>
      </c>
      <c r="AA206" s="171">
        <v>46307</v>
      </c>
      <c r="AB206" s="169">
        <v>27</v>
      </c>
      <c r="AC206" s="169">
        <v>22513</v>
      </c>
      <c r="AD206" s="169">
        <v>131</v>
      </c>
      <c r="AE206" s="169" t="s">
        <v>1462</v>
      </c>
      <c r="AF206" s="169">
        <v>130</v>
      </c>
      <c r="AG206" s="169" t="s">
        <v>1402</v>
      </c>
      <c r="AH206" s="169" t="s">
        <v>36</v>
      </c>
      <c r="AI206" s="169" t="s">
        <v>698</v>
      </c>
      <c r="AJ206" s="169">
        <v>1046</v>
      </c>
      <c r="AK206" s="169" t="s">
        <v>1407</v>
      </c>
      <c r="AL206" s="169">
        <v>28232</v>
      </c>
      <c r="AM206" s="169" t="s">
        <v>1418</v>
      </c>
      <c r="AN206" s="169" t="s">
        <v>1548</v>
      </c>
      <c r="AO206" s="169">
        <v>28</v>
      </c>
      <c r="AP206" s="169" t="s">
        <v>1416</v>
      </c>
      <c r="AQ206" s="169">
        <v>0</v>
      </c>
      <c r="AR206" s="169" t="s">
        <v>1410</v>
      </c>
      <c r="AT206" s="169" t="s">
        <v>1417</v>
      </c>
      <c r="AU206" s="169" t="s">
        <v>1412</v>
      </c>
    </row>
    <row r="207" spans="1:47" x14ac:dyDescent="0.45">
      <c r="A207" s="169">
        <v>2713150085</v>
      </c>
      <c r="B207" s="169">
        <v>131</v>
      </c>
      <c r="C207" s="169" t="s">
        <v>1462</v>
      </c>
      <c r="D207" s="169">
        <v>130</v>
      </c>
      <c r="E207" s="169" t="s">
        <v>1402</v>
      </c>
      <c r="F207" s="169" t="s">
        <v>4774</v>
      </c>
      <c r="G207" s="169" t="s">
        <v>4775</v>
      </c>
      <c r="H207" s="169">
        <v>1</v>
      </c>
      <c r="I207" s="169" t="s">
        <v>4565</v>
      </c>
      <c r="J207" s="169" t="s">
        <v>1403</v>
      </c>
      <c r="K207" s="169">
        <v>2027</v>
      </c>
      <c r="L207" s="169">
        <v>2027</v>
      </c>
      <c r="M207" s="171">
        <v>46301</v>
      </c>
      <c r="N207" s="169" t="s">
        <v>36</v>
      </c>
      <c r="O207" s="169" t="s">
        <v>698</v>
      </c>
      <c r="P207" s="169">
        <v>1046</v>
      </c>
      <c r="Q207" s="169" t="s">
        <v>2790</v>
      </c>
      <c r="R207" s="169">
        <v>2</v>
      </c>
      <c r="S207" s="169">
        <v>5</v>
      </c>
      <c r="T207" s="169" t="s">
        <v>1470</v>
      </c>
      <c r="U207" s="169">
        <v>15</v>
      </c>
      <c r="V207" s="169">
        <v>2722527</v>
      </c>
      <c r="W207" s="169">
        <v>0</v>
      </c>
      <c r="X207" s="169" t="s">
        <v>1406</v>
      </c>
      <c r="Z207" s="169" t="s">
        <v>32</v>
      </c>
      <c r="AA207" s="171">
        <v>46321</v>
      </c>
      <c r="AB207" s="169">
        <v>27</v>
      </c>
      <c r="AC207" s="169">
        <v>22527</v>
      </c>
      <c r="AD207" s="169">
        <v>131</v>
      </c>
      <c r="AE207" s="169" t="s">
        <v>1462</v>
      </c>
      <c r="AF207" s="169">
        <v>130</v>
      </c>
      <c r="AG207" s="169" t="s">
        <v>1402</v>
      </c>
      <c r="AH207" s="169" t="s">
        <v>36</v>
      </c>
      <c r="AI207" s="169" t="s">
        <v>698</v>
      </c>
      <c r="AJ207" s="169">
        <v>1046</v>
      </c>
      <c r="AK207" s="169" t="s">
        <v>1407</v>
      </c>
      <c r="AL207" s="169">
        <v>28095</v>
      </c>
      <c r="AM207" s="169" t="s">
        <v>1421</v>
      </c>
      <c r="AN207" s="169" t="s">
        <v>1435</v>
      </c>
      <c r="AO207" s="169">
        <v>28</v>
      </c>
      <c r="AP207" s="169" t="s">
        <v>1416</v>
      </c>
      <c r="AQ207" s="169">
        <v>0</v>
      </c>
      <c r="AR207" s="169" t="s">
        <v>1410</v>
      </c>
      <c r="AT207" s="169" t="s">
        <v>1417</v>
      </c>
      <c r="AU207" s="169" t="s">
        <v>1412</v>
      </c>
    </row>
    <row r="208" spans="1:47" x14ac:dyDescent="0.45">
      <c r="A208" s="169">
        <v>2713150086</v>
      </c>
      <c r="B208" s="169">
        <v>131</v>
      </c>
      <c r="C208" s="169" t="s">
        <v>1462</v>
      </c>
      <c r="D208" s="169">
        <v>130</v>
      </c>
      <c r="E208" s="169" t="s">
        <v>1402</v>
      </c>
      <c r="F208" s="169" t="s">
        <v>4776</v>
      </c>
      <c r="G208" s="169" t="s">
        <v>4777</v>
      </c>
      <c r="H208" s="169">
        <v>1</v>
      </c>
      <c r="I208" s="169" t="s">
        <v>972</v>
      </c>
      <c r="J208" s="169" t="s">
        <v>1403</v>
      </c>
      <c r="K208" s="169">
        <v>2027</v>
      </c>
      <c r="L208" s="169">
        <v>2027</v>
      </c>
      <c r="M208" s="171">
        <v>46268</v>
      </c>
      <c r="N208" s="169" t="s">
        <v>36</v>
      </c>
      <c r="O208" s="169" t="s">
        <v>793</v>
      </c>
      <c r="P208" s="169">
        <v>852</v>
      </c>
      <c r="Q208" s="169" t="s">
        <v>1472</v>
      </c>
      <c r="R208" s="169">
        <v>1</v>
      </c>
      <c r="S208" s="169">
        <v>2</v>
      </c>
      <c r="T208" s="169" t="s">
        <v>1464</v>
      </c>
      <c r="U208" s="169">
        <v>1</v>
      </c>
      <c r="V208" s="169">
        <v>0</v>
      </c>
      <c r="W208" s="169">
        <v>0</v>
      </c>
      <c r="X208" s="169" t="s">
        <v>1406</v>
      </c>
      <c r="Z208" s="169" t="s">
        <v>32</v>
      </c>
      <c r="AA208" s="169"/>
      <c r="AB208" s="169">
        <v>0</v>
      </c>
      <c r="AC208" s="169">
        <v>0</v>
      </c>
      <c r="AD208" s="169">
        <v>0</v>
      </c>
      <c r="AE208" s="169" t="s">
        <v>1446</v>
      </c>
      <c r="AG208" s="169" t="s">
        <v>1446</v>
      </c>
      <c r="AJ208" s="169">
        <v>0</v>
      </c>
      <c r="AK208" s="169" t="s">
        <v>1473</v>
      </c>
      <c r="AL208" s="169">
        <v>28099</v>
      </c>
      <c r="AM208" s="169" t="s">
        <v>1418</v>
      </c>
      <c r="AN208" s="169" t="s">
        <v>1447</v>
      </c>
      <c r="AO208" s="169">
        <v>28</v>
      </c>
      <c r="AP208" s="169" t="s">
        <v>1416</v>
      </c>
      <c r="AQ208" s="169">
        <v>0</v>
      </c>
      <c r="AR208" s="169" t="s">
        <v>1410</v>
      </c>
      <c r="AT208" s="169" t="s">
        <v>1417</v>
      </c>
      <c r="AU208" s="169" t="s">
        <v>1412</v>
      </c>
    </row>
    <row r="209" spans="1:47" x14ac:dyDescent="0.45">
      <c r="A209" s="169">
        <v>2713150087</v>
      </c>
      <c r="B209" s="169">
        <v>131</v>
      </c>
      <c r="C209" s="169" t="s">
        <v>1462</v>
      </c>
      <c r="D209" s="169">
        <v>130</v>
      </c>
      <c r="E209" s="169" t="s">
        <v>1402</v>
      </c>
      <c r="F209" s="169" t="s">
        <v>4778</v>
      </c>
      <c r="G209" s="169" t="s">
        <v>4779</v>
      </c>
      <c r="H209" s="169">
        <v>2</v>
      </c>
      <c r="I209" s="169" t="s">
        <v>4780</v>
      </c>
      <c r="J209" s="169" t="s">
        <v>1403</v>
      </c>
      <c r="K209" s="169">
        <v>2027</v>
      </c>
      <c r="L209" s="169">
        <v>2027</v>
      </c>
      <c r="M209" s="171">
        <v>46317</v>
      </c>
      <c r="N209" s="169" t="s">
        <v>36</v>
      </c>
      <c r="O209" s="169" t="s">
        <v>793</v>
      </c>
      <c r="P209" s="169">
        <v>428</v>
      </c>
      <c r="Q209" s="169" t="s">
        <v>1463</v>
      </c>
      <c r="R209" s="169">
        <v>1</v>
      </c>
      <c r="S209" s="169">
        <v>2</v>
      </c>
      <c r="T209" s="169" t="s">
        <v>1464</v>
      </c>
      <c r="U209" s="169">
        <v>1</v>
      </c>
      <c r="V209" s="169">
        <v>0</v>
      </c>
      <c r="W209" s="169">
        <v>0</v>
      </c>
      <c r="X209" s="169" t="s">
        <v>1406</v>
      </c>
      <c r="Z209" s="169" t="s">
        <v>32</v>
      </c>
      <c r="AA209" s="169"/>
      <c r="AB209" s="169">
        <v>0</v>
      </c>
      <c r="AC209" s="169">
        <v>0</v>
      </c>
      <c r="AD209" s="169">
        <v>0</v>
      </c>
      <c r="AE209" s="169" t="s">
        <v>1446</v>
      </c>
      <c r="AG209" s="169" t="s">
        <v>1446</v>
      </c>
      <c r="AJ209" s="169">
        <v>0</v>
      </c>
      <c r="AK209" s="169" t="s">
        <v>1473</v>
      </c>
      <c r="AL209" s="169">
        <v>28098</v>
      </c>
      <c r="AM209" s="169" t="s">
        <v>1418</v>
      </c>
      <c r="AN209" s="169" t="s">
        <v>1448</v>
      </c>
      <c r="AO209" s="169">
        <v>28</v>
      </c>
      <c r="AP209" s="169" t="s">
        <v>1416</v>
      </c>
      <c r="AQ209" s="169">
        <v>0</v>
      </c>
      <c r="AT209" s="169" t="s">
        <v>1417</v>
      </c>
      <c r="AU209" s="169" t="s">
        <v>1412</v>
      </c>
    </row>
    <row r="210" spans="1:47" x14ac:dyDescent="0.45">
      <c r="A210" s="169">
        <v>2713150092</v>
      </c>
      <c r="B210" s="169">
        <v>131</v>
      </c>
      <c r="C210" s="169" t="s">
        <v>1462</v>
      </c>
      <c r="D210" s="169">
        <v>130</v>
      </c>
      <c r="E210" s="169" t="s">
        <v>1402</v>
      </c>
      <c r="F210" s="169" t="s">
        <v>4781</v>
      </c>
      <c r="G210" s="169" t="s">
        <v>4782</v>
      </c>
      <c r="H210" s="169">
        <v>2</v>
      </c>
      <c r="I210" s="169" t="s">
        <v>4783</v>
      </c>
      <c r="J210" s="169" t="s">
        <v>1403</v>
      </c>
      <c r="K210" s="169">
        <v>2027</v>
      </c>
      <c r="L210" s="169">
        <v>2027</v>
      </c>
      <c r="M210" s="171">
        <v>46317</v>
      </c>
      <c r="N210" s="169" t="s">
        <v>36</v>
      </c>
      <c r="O210" s="169" t="s">
        <v>793</v>
      </c>
      <c r="P210" s="169">
        <v>785</v>
      </c>
      <c r="Q210" s="169" t="s">
        <v>1491</v>
      </c>
      <c r="R210" s="169">
        <v>1</v>
      </c>
      <c r="S210" s="169">
        <v>2</v>
      </c>
      <c r="T210" s="169" t="s">
        <v>1464</v>
      </c>
      <c r="U210" s="169">
        <v>1</v>
      </c>
      <c r="V210" s="169">
        <v>0</v>
      </c>
      <c r="W210" s="169">
        <v>0</v>
      </c>
      <c r="X210" s="169" t="s">
        <v>1406</v>
      </c>
      <c r="Z210" s="169" t="s">
        <v>32</v>
      </c>
      <c r="AA210" s="169"/>
      <c r="AB210" s="169">
        <v>0</v>
      </c>
      <c r="AC210" s="169">
        <v>0</v>
      </c>
      <c r="AD210" s="169">
        <v>0</v>
      </c>
      <c r="AE210" s="169" t="s">
        <v>1446</v>
      </c>
      <c r="AG210" s="169" t="s">
        <v>1446</v>
      </c>
      <c r="AJ210" s="169">
        <v>0</v>
      </c>
      <c r="AK210" s="169" t="s">
        <v>1473</v>
      </c>
      <c r="AL210" s="169">
        <v>28098</v>
      </c>
      <c r="AM210" s="169" t="s">
        <v>1418</v>
      </c>
      <c r="AN210" s="169" t="s">
        <v>1448</v>
      </c>
      <c r="AO210" s="169">
        <v>28</v>
      </c>
      <c r="AP210" s="169" t="s">
        <v>1416</v>
      </c>
      <c r="AQ210" s="169">
        <v>0</v>
      </c>
      <c r="AR210" s="169" t="s">
        <v>1410</v>
      </c>
      <c r="AT210" s="169" t="s">
        <v>1417</v>
      </c>
      <c r="AU210" s="169" t="s">
        <v>1412</v>
      </c>
    </row>
    <row r="211" spans="1:47" x14ac:dyDescent="0.45">
      <c r="A211" s="169">
        <v>2713150093</v>
      </c>
      <c r="B211" s="169">
        <v>131</v>
      </c>
      <c r="C211" s="169" t="s">
        <v>1462</v>
      </c>
      <c r="D211" s="169">
        <v>130</v>
      </c>
      <c r="E211" s="169" t="s">
        <v>1402</v>
      </c>
      <c r="F211" s="169" t="s">
        <v>4784</v>
      </c>
      <c r="G211" s="169" t="s">
        <v>4785</v>
      </c>
      <c r="H211" s="169">
        <v>2</v>
      </c>
      <c r="I211" s="169" t="s">
        <v>908</v>
      </c>
      <c r="J211" s="169" t="s">
        <v>1403</v>
      </c>
      <c r="K211" s="169">
        <v>2027</v>
      </c>
      <c r="L211" s="169">
        <v>2027</v>
      </c>
      <c r="M211" s="171">
        <v>46317</v>
      </c>
      <c r="N211" s="169" t="s">
        <v>36</v>
      </c>
      <c r="O211" s="169" t="s">
        <v>793</v>
      </c>
      <c r="P211" s="169">
        <v>859</v>
      </c>
      <c r="Q211" s="169" t="s">
        <v>1494</v>
      </c>
      <c r="R211" s="169">
        <v>1</v>
      </c>
      <c r="S211" s="169">
        <v>2</v>
      </c>
      <c r="T211" s="169" t="s">
        <v>1464</v>
      </c>
      <c r="U211" s="169">
        <v>1</v>
      </c>
      <c r="V211" s="169">
        <v>0</v>
      </c>
      <c r="W211" s="169">
        <v>0</v>
      </c>
      <c r="X211" s="169" t="s">
        <v>1406</v>
      </c>
      <c r="Z211" s="169" t="s">
        <v>32</v>
      </c>
      <c r="AA211" s="169"/>
      <c r="AB211" s="169">
        <v>0</v>
      </c>
      <c r="AC211" s="169">
        <v>0</v>
      </c>
      <c r="AD211" s="169">
        <v>0</v>
      </c>
      <c r="AE211" s="169" t="s">
        <v>1446</v>
      </c>
      <c r="AG211" s="169" t="s">
        <v>1446</v>
      </c>
      <c r="AJ211" s="169">
        <v>0</v>
      </c>
      <c r="AK211" s="169" t="s">
        <v>1473</v>
      </c>
      <c r="AL211" s="169">
        <v>28098</v>
      </c>
      <c r="AM211" s="169" t="s">
        <v>1418</v>
      </c>
      <c r="AN211" s="169" t="s">
        <v>1448</v>
      </c>
      <c r="AO211" s="169">
        <v>28</v>
      </c>
      <c r="AP211" s="169" t="s">
        <v>1416</v>
      </c>
      <c r="AQ211" s="169">
        <v>0</v>
      </c>
      <c r="AT211" s="169" t="s">
        <v>1417</v>
      </c>
      <c r="AU211" s="169" t="s">
        <v>1412</v>
      </c>
    </row>
    <row r="212" spans="1:47" x14ac:dyDescent="0.45">
      <c r="A212" s="169">
        <v>2713150095</v>
      </c>
      <c r="B212" s="169">
        <v>131</v>
      </c>
      <c r="C212" s="169" t="s">
        <v>1462</v>
      </c>
      <c r="D212" s="169">
        <v>130</v>
      </c>
      <c r="E212" s="169" t="s">
        <v>1402</v>
      </c>
      <c r="F212" s="169" t="s">
        <v>4786</v>
      </c>
      <c r="G212" s="169" t="s">
        <v>4787</v>
      </c>
      <c r="H212" s="169">
        <v>1</v>
      </c>
      <c r="I212" s="169" t="s">
        <v>4788</v>
      </c>
      <c r="J212" s="169" t="s">
        <v>1403</v>
      </c>
      <c r="K212" s="169">
        <v>2027</v>
      </c>
      <c r="L212" s="169">
        <v>2027</v>
      </c>
      <c r="M212" s="171">
        <v>46315</v>
      </c>
      <c r="N212" s="169" t="s">
        <v>36</v>
      </c>
      <c r="O212" s="169" t="s">
        <v>704</v>
      </c>
      <c r="P212" s="169">
        <v>428</v>
      </c>
      <c r="Q212" s="169" t="s">
        <v>1463</v>
      </c>
      <c r="R212" s="169">
        <v>2</v>
      </c>
      <c r="S212" s="169">
        <v>2</v>
      </c>
      <c r="T212" s="169" t="s">
        <v>1464</v>
      </c>
      <c r="U212" s="169">
        <v>1</v>
      </c>
      <c r="V212" s="169">
        <v>0</v>
      </c>
      <c r="W212" s="169">
        <v>0</v>
      </c>
      <c r="X212" s="169" t="s">
        <v>1406</v>
      </c>
      <c r="Z212" s="169" t="s">
        <v>32</v>
      </c>
      <c r="AA212" s="169"/>
      <c r="AB212" s="169">
        <v>0</v>
      </c>
      <c r="AC212" s="169">
        <v>0</v>
      </c>
      <c r="AD212" s="169">
        <v>0</v>
      </c>
      <c r="AE212" s="169" t="s">
        <v>1446</v>
      </c>
      <c r="AG212" s="169" t="s">
        <v>1446</v>
      </c>
      <c r="AJ212" s="169">
        <v>0</v>
      </c>
      <c r="AK212" s="169" t="s">
        <v>1473</v>
      </c>
      <c r="AL212" s="169">
        <v>28200</v>
      </c>
      <c r="AM212" s="169" t="s">
        <v>1418</v>
      </c>
      <c r="AN212" s="169" t="s">
        <v>1520</v>
      </c>
      <c r="AO212" s="169">
        <v>28</v>
      </c>
      <c r="AP212" s="169" t="s">
        <v>1416</v>
      </c>
      <c r="AQ212" s="169">
        <v>0</v>
      </c>
      <c r="AR212" s="169" t="s">
        <v>1410</v>
      </c>
      <c r="AT212" s="169" t="s">
        <v>1417</v>
      </c>
      <c r="AU212" s="169" t="s">
        <v>1412</v>
      </c>
    </row>
    <row r="213" spans="1:47" x14ac:dyDescent="0.45">
      <c r="A213" s="169">
        <v>2713150096</v>
      </c>
      <c r="B213" s="169">
        <v>131</v>
      </c>
      <c r="C213" s="169" t="s">
        <v>1462</v>
      </c>
      <c r="D213" s="169">
        <v>130</v>
      </c>
      <c r="E213" s="169" t="s">
        <v>1402</v>
      </c>
      <c r="F213" s="169" t="s">
        <v>4789</v>
      </c>
      <c r="G213" s="169" t="s">
        <v>4790</v>
      </c>
      <c r="H213" s="169">
        <v>1</v>
      </c>
      <c r="I213" s="169" t="s">
        <v>4788</v>
      </c>
      <c r="J213" s="169" t="s">
        <v>1403</v>
      </c>
      <c r="K213" s="169">
        <v>2027</v>
      </c>
      <c r="L213" s="169">
        <v>2027</v>
      </c>
      <c r="M213" s="171">
        <v>46309</v>
      </c>
      <c r="N213" s="169" t="s">
        <v>36</v>
      </c>
      <c r="O213" s="169" t="s">
        <v>704</v>
      </c>
      <c r="P213" s="169">
        <v>428</v>
      </c>
      <c r="Q213" s="169" t="s">
        <v>1463</v>
      </c>
      <c r="R213" s="169">
        <v>2</v>
      </c>
      <c r="S213" s="169">
        <v>2</v>
      </c>
      <c r="T213" s="169" t="s">
        <v>1464</v>
      </c>
      <c r="U213" s="169">
        <v>1</v>
      </c>
      <c r="V213" s="169">
        <v>0</v>
      </c>
      <c r="W213" s="169">
        <v>0</v>
      </c>
      <c r="X213" s="169" t="s">
        <v>1406</v>
      </c>
      <c r="Z213" s="169" t="s">
        <v>32</v>
      </c>
      <c r="AA213" s="169"/>
      <c r="AB213" s="169">
        <v>0</v>
      </c>
      <c r="AC213" s="169">
        <v>0</v>
      </c>
      <c r="AD213" s="169">
        <v>0</v>
      </c>
      <c r="AE213" s="169" t="s">
        <v>1446</v>
      </c>
      <c r="AG213" s="169" t="s">
        <v>1446</v>
      </c>
      <c r="AJ213" s="169">
        <v>0</v>
      </c>
      <c r="AK213" s="169" t="s">
        <v>1473</v>
      </c>
      <c r="AL213" s="169">
        <v>28108</v>
      </c>
      <c r="AM213" s="169" t="s">
        <v>1418</v>
      </c>
      <c r="AN213" s="169" t="s">
        <v>1534</v>
      </c>
      <c r="AO213" s="169">
        <v>28</v>
      </c>
      <c r="AP213" s="169" t="s">
        <v>1416</v>
      </c>
      <c r="AQ213" s="169">
        <v>0</v>
      </c>
      <c r="AR213" s="169" t="s">
        <v>1410</v>
      </c>
      <c r="AT213" s="169" t="s">
        <v>1417</v>
      </c>
      <c r="AU213" s="169" t="s">
        <v>1412</v>
      </c>
    </row>
    <row r="214" spans="1:47" x14ac:dyDescent="0.45">
      <c r="A214" s="169">
        <v>2713150099</v>
      </c>
      <c r="B214" s="169">
        <v>131</v>
      </c>
      <c r="C214" s="169" t="s">
        <v>1462</v>
      </c>
      <c r="D214" s="169">
        <v>130</v>
      </c>
      <c r="E214" s="169" t="s">
        <v>1402</v>
      </c>
      <c r="F214" s="169" t="s">
        <v>4791</v>
      </c>
      <c r="G214" s="169" t="s">
        <v>4792</v>
      </c>
      <c r="H214" s="169">
        <v>2</v>
      </c>
      <c r="I214" s="169" t="s">
        <v>3538</v>
      </c>
      <c r="J214" s="169" t="s">
        <v>1403</v>
      </c>
      <c r="K214" s="169">
        <v>2027</v>
      </c>
      <c r="L214" s="169">
        <v>2027</v>
      </c>
      <c r="M214" s="171">
        <v>46272</v>
      </c>
      <c r="N214" s="169" t="s">
        <v>36</v>
      </c>
      <c r="O214" s="169" t="s">
        <v>698</v>
      </c>
      <c r="P214" s="169">
        <v>1786</v>
      </c>
      <c r="Q214" s="169" t="s">
        <v>4314</v>
      </c>
      <c r="R214" s="169">
        <v>2</v>
      </c>
      <c r="S214" s="169">
        <v>5</v>
      </c>
      <c r="T214" s="169" t="s">
        <v>1470</v>
      </c>
      <c r="U214" s="169">
        <v>15</v>
      </c>
      <c r="V214" s="169">
        <v>2722528</v>
      </c>
      <c r="W214" s="169">
        <v>0</v>
      </c>
      <c r="X214" s="169" t="s">
        <v>1406</v>
      </c>
      <c r="Z214" s="169" t="s">
        <v>32</v>
      </c>
      <c r="AA214" s="171">
        <v>46322</v>
      </c>
      <c r="AB214" s="169">
        <v>27</v>
      </c>
      <c r="AC214" s="169">
        <v>22528</v>
      </c>
      <c r="AD214" s="169">
        <v>131</v>
      </c>
      <c r="AE214" s="169" t="s">
        <v>1462</v>
      </c>
      <c r="AF214" s="169">
        <v>130</v>
      </c>
      <c r="AG214" s="169" t="s">
        <v>1402</v>
      </c>
      <c r="AH214" s="169" t="s">
        <v>36</v>
      </c>
      <c r="AI214" s="169" t="s">
        <v>698</v>
      </c>
      <c r="AJ214" s="169">
        <v>1786</v>
      </c>
      <c r="AK214" s="169" t="s">
        <v>1407</v>
      </c>
      <c r="AL214" s="169">
        <v>28247</v>
      </c>
      <c r="AM214" s="169" t="s">
        <v>1418</v>
      </c>
      <c r="AN214" s="169" t="s">
        <v>1419</v>
      </c>
      <c r="AO214" s="169">
        <v>28</v>
      </c>
      <c r="AP214" s="169" t="s">
        <v>1416</v>
      </c>
      <c r="AQ214" s="169">
        <v>0</v>
      </c>
      <c r="AR214" s="169" t="s">
        <v>1410</v>
      </c>
      <c r="AT214" s="169" t="s">
        <v>1417</v>
      </c>
      <c r="AU214" s="169" t="s">
        <v>1412</v>
      </c>
    </row>
    <row r="215" spans="1:47" x14ac:dyDescent="0.45">
      <c r="A215" s="169">
        <v>2713150100</v>
      </c>
      <c r="B215" s="169">
        <v>131</v>
      </c>
      <c r="C215" s="169" t="s">
        <v>1462</v>
      </c>
      <c r="D215" s="169">
        <v>130</v>
      </c>
      <c r="E215" s="169" t="s">
        <v>1402</v>
      </c>
      <c r="F215" s="169" t="s">
        <v>4793</v>
      </c>
      <c r="G215" s="169" t="s">
        <v>4794</v>
      </c>
      <c r="H215" s="169">
        <v>2</v>
      </c>
      <c r="I215" s="169" t="s">
        <v>4795</v>
      </c>
      <c r="J215" s="169" t="s">
        <v>1403</v>
      </c>
      <c r="K215" s="169">
        <v>2027</v>
      </c>
      <c r="L215" s="169">
        <v>2027</v>
      </c>
      <c r="M215" s="171">
        <v>46273</v>
      </c>
      <c r="N215" s="169" t="s">
        <v>36</v>
      </c>
      <c r="O215" s="169" t="s">
        <v>708</v>
      </c>
      <c r="P215" s="169">
        <v>121</v>
      </c>
      <c r="Q215" s="169" t="s">
        <v>1502</v>
      </c>
      <c r="R215" s="169">
        <v>2</v>
      </c>
      <c r="S215" s="169">
        <v>8</v>
      </c>
      <c r="T215" s="169" t="s">
        <v>1503</v>
      </c>
      <c r="U215" s="169">
        <v>6</v>
      </c>
      <c r="V215" s="169">
        <v>0</v>
      </c>
      <c r="W215" s="169">
        <v>0</v>
      </c>
      <c r="X215" s="169" t="s">
        <v>1406</v>
      </c>
      <c r="Z215" s="169" t="s">
        <v>32</v>
      </c>
      <c r="AA215" s="169"/>
      <c r="AB215" s="169">
        <v>0</v>
      </c>
      <c r="AC215" s="169">
        <v>0</v>
      </c>
      <c r="AD215" s="169">
        <v>0</v>
      </c>
      <c r="AE215" s="169" t="s">
        <v>1446</v>
      </c>
      <c r="AG215" s="169" t="s">
        <v>1446</v>
      </c>
      <c r="AJ215" s="169">
        <v>0</v>
      </c>
      <c r="AK215" s="169" t="s">
        <v>1407</v>
      </c>
      <c r="AL215" s="169">
        <v>28178</v>
      </c>
      <c r="AM215" s="169" t="s">
        <v>1418</v>
      </c>
      <c r="AN215" s="169" t="s">
        <v>1507</v>
      </c>
      <c r="AO215" s="169">
        <v>28</v>
      </c>
      <c r="AP215" s="169" t="s">
        <v>1416</v>
      </c>
      <c r="AQ215" s="169">
        <v>0</v>
      </c>
      <c r="AR215" s="169" t="s">
        <v>1410</v>
      </c>
      <c r="AT215" s="169" t="s">
        <v>1417</v>
      </c>
      <c r="AU215" s="169" t="s">
        <v>1412</v>
      </c>
    </row>
    <row r="216" spans="1:47" x14ac:dyDescent="0.45">
      <c r="A216" s="169">
        <v>2713150101</v>
      </c>
      <c r="B216" s="169">
        <v>131</v>
      </c>
      <c r="C216" s="169" t="s">
        <v>1462</v>
      </c>
      <c r="D216" s="169">
        <v>130</v>
      </c>
      <c r="E216" s="169" t="s">
        <v>1402</v>
      </c>
      <c r="F216" s="169" t="s">
        <v>4796</v>
      </c>
      <c r="G216" s="169" t="s">
        <v>4797</v>
      </c>
      <c r="H216" s="169">
        <v>1</v>
      </c>
      <c r="I216" s="169" t="s">
        <v>4798</v>
      </c>
      <c r="J216" s="169" t="s">
        <v>1403</v>
      </c>
      <c r="K216" s="169">
        <v>2027</v>
      </c>
      <c r="L216" s="169">
        <v>2027</v>
      </c>
      <c r="M216" s="171">
        <v>46272</v>
      </c>
      <c r="N216" s="169" t="s">
        <v>36</v>
      </c>
      <c r="O216" s="169" t="s">
        <v>793</v>
      </c>
      <c r="P216" s="169">
        <v>428</v>
      </c>
      <c r="Q216" s="169" t="s">
        <v>1463</v>
      </c>
      <c r="R216" s="169">
        <v>1</v>
      </c>
      <c r="S216" s="169">
        <v>2</v>
      </c>
      <c r="T216" s="169" t="s">
        <v>1464</v>
      </c>
      <c r="U216" s="169">
        <v>1</v>
      </c>
      <c r="V216" s="169">
        <v>0</v>
      </c>
      <c r="W216" s="169">
        <v>0</v>
      </c>
      <c r="X216" s="169" t="s">
        <v>1406</v>
      </c>
      <c r="Z216" s="169" t="s">
        <v>32</v>
      </c>
      <c r="AA216" s="169"/>
      <c r="AB216" s="169">
        <v>0</v>
      </c>
      <c r="AC216" s="169">
        <v>0</v>
      </c>
      <c r="AD216" s="169">
        <v>0</v>
      </c>
      <c r="AE216" s="169" t="s">
        <v>1446</v>
      </c>
      <c r="AG216" s="169" t="s">
        <v>1446</v>
      </c>
      <c r="AJ216" s="169">
        <v>0</v>
      </c>
      <c r="AK216" s="169" t="s">
        <v>1473</v>
      </c>
      <c r="AL216" s="169">
        <v>28182</v>
      </c>
      <c r="AM216" s="169" t="s">
        <v>1418</v>
      </c>
      <c r="AN216" s="169" t="s">
        <v>2872</v>
      </c>
      <c r="AO216" s="169">
        <v>28</v>
      </c>
      <c r="AP216" s="169" t="s">
        <v>1416</v>
      </c>
      <c r="AQ216" s="169">
        <v>0</v>
      </c>
      <c r="AR216" s="169" t="s">
        <v>1410</v>
      </c>
      <c r="AT216" s="169" t="s">
        <v>1417</v>
      </c>
      <c r="AU216" s="169" t="s">
        <v>1412</v>
      </c>
    </row>
    <row r="217" spans="1:47" x14ac:dyDescent="0.45">
      <c r="A217" s="169">
        <v>2713150102</v>
      </c>
      <c r="B217" s="169">
        <v>131</v>
      </c>
      <c r="C217" s="169" t="s">
        <v>1462</v>
      </c>
      <c r="D217" s="169">
        <v>130</v>
      </c>
      <c r="E217" s="169" t="s">
        <v>1402</v>
      </c>
      <c r="F217" s="169" t="s">
        <v>4799</v>
      </c>
      <c r="G217" s="169" t="s">
        <v>4800</v>
      </c>
      <c r="H217" s="169">
        <v>1</v>
      </c>
      <c r="I217" s="169" t="s">
        <v>4801</v>
      </c>
      <c r="J217" s="169" t="s">
        <v>1403</v>
      </c>
      <c r="K217" s="169">
        <v>2027</v>
      </c>
      <c r="L217" s="169">
        <v>2027</v>
      </c>
      <c r="M217" s="171">
        <v>46272</v>
      </c>
      <c r="N217" s="169" t="s">
        <v>36</v>
      </c>
      <c r="O217" s="169" t="s">
        <v>793</v>
      </c>
      <c r="P217" s="169">
        <v>427</v>
      </c>
      <c r="Q217" s="169" t="s">
        <v>1479</v>
      </c>
      <c r="R217" s="169">
        <v>1</v>
      </c>
      <c r="S217" s="169">
        <v>2</v>
      </c>
      <c r="T217" s="169" t="s">
        <v>1464</v>
      </c>
      <c r="U217" s="169">
        <v>1</v>
      </c>
      <c r="V217" s="169">
        <v>0</v>
      </c>
      <c r="W217" s="169">
        <v>0</v>
      </c>
      <c r="X217" s="169" t="s">
        <v>1406</v>
      </c>
      <c r="Z217" s="169" t="s">
        <v>32</v>
      </c>
      <c r="AA217" s="169"/>
      <c r="AB217" s="169">
        <v>0</v>
      </c>
      <c r="AC217" s="169">
        <v>0</v>
      </c>
      <c r="AD217" s="169">
        <v>0</v>
      </c>
      <c r="AE217" s="169" t="s">
        <v>1446</v>
      </c>
      <c r="AG217" s="169" t="s">
        <v>1446</v>
      </c>
      <c r="AJ217" s="169">
        <v>0</v>
      </c>
      <c r="AK217" s="169" t="s">
        <v>1473</v>
      </c>
      <c r="AL217" s="169">
        <v>28182</v>
      </c>
      <c r="AM217" s="169" t="s">
        <v>1418</v>
      </c>
      <c r="AN217" s="169" t="s">
        <v>2872</v>
      </c>
      <c r="AO217" s="169">
        <v>28</v>
      </c>
      <c r="AP217" s="169" t="s">
        <v>1416</v>
      </c>
      <c r="AQ217" s="169">
        <v>0</v>
      </c>
      <c r="AR217" s="169" t="s">
        <v>1410</v>
      </c>
      <c r="AT217" s="169" t="s">
        <v>1417</v>
      </c>
      <c r="AU217" s="169" t="s">
        <v>1412</v>
      </c>
    </row>
    <row r="218" spans="1:47" x14ac:dyDescent="0.45">
      <c r="A218" s="169">
        <v>2713150107</v>
      </c>
      <c r="B218" s="169">
        <v>131</v>
      </c>
      <c r="C218" s="169" t="s">
        <v>1462</v>
      </c>
      <c r="D218" s="169">
        <v>130</v>
      </c>
      <c r="E218" s="169" t="s">
        <v>1402</v>
      </c>
      <c r="F218" s="169" t="s">
        <v>4802</v>
      </c>
      <c r="G218" s="169" t="s">
        <v>4803</v>
      </c>
      <c r="H218" s="169">
        <v>2</v>
      </c>
      <c r="I218" s="169" t="s">
        <v>3158</v>
      </c>
      <c r="J218" s="169" t="s">
        <v>1403</v>
      </c>
      <c r="K218" s="169">
        <v>2027</v>
      </c>
      <c r="L218" s="169">
        <v>2027</v>
      </c>
      <c r="M218" s="171">
        <v>46279</v>
      </c>
      <c r="N218" s="169" t="s">
        <v>36</v>
      </c>
      <c r="O218" s="169" t="s">
        <v>704</v>
      </c>
      <c r="P218" s="169">
        <v>968</v>
      </c>
      <c r="Q218" s="169" t="s">
        <v>1474</v>
      </c>
      <c r="R218" s="169">
        <v>2</v>
      </c>
      <c r="S218" s="169">
        <v>2</v>
      </c>
      <c r="T218" s="169" t="s">
        <v>1464</v>
      </c>
      <c r="U218" s="169">
        <v>1</v>
      </c>
      <c r="V218" s="169">
        <v>0</v>
      </c>
      <c r="W218" s="169">
        <v>0</v>
      </c>
      <c r="X218" s="169" t="s">
        <v>1406</v>
      </c>
      <c r="Z218" s="169" t="s">
        <v>32</v>
      </c>
      <c r="AA218" s="169"/>
      <c r="AB218" s="169">
        <v>0</v>
      </c>
      <c r="AC218" s="169">
        <v>0</v>
      </c>
      <c r="AD218" s="169">
        <v>0</v>
      </c>
      <c r="AE218" s="169" t="s">
        <v>1446</v>
      </c>
      <c r="AG218" s="169" t="s">
        <v>1446</v>
      </c>
      <c r="AJ218" s="169">
        <v>0</v>
      </c>
      <c r="AK218" s="169" t="s">
        <v>1407</v>
      </c>
      <c r="AL218" s="169">
        <v>28024</v>
      </c>
      <c r="AM218" s="169" t="s">
        <v>1421</v>
      </c>
      <c r="AN218" s="169" t="s">
        <v>1535</v>
      </c>
      <c r="AO218" s="169">
        <v>28</v>
      </c>
      <c r="AP218" s="169" t="s">
        <v>1416</v>
      </c>
      <c r="AQ218" s="169">
        <v>0</v>
      </c>
      <c r="AR218" s="169" t="s">
        <v>1410</v>
      </c>
      <c r="AT218" s="169" t="s">
        <v>1417</v>
      </c>
      <c r="AU218" s="169" t="s">
        <v>1412</v>
      </c>
    </row>
    <row r="219" spans="1:47" x14ac:dyDescent="0.45">
      <c r="A219" s="169">
        <v>2713150108</v>
      </c>
      <c r="B219" s="169">
        <v>131</v>
      </c>
      <c r="C219" s="169" t="s">
        <v>1462</v>
      </c>
      <c r="D219" s="169">
        <v>130</v>
      </c>
      <c r="E219" s="169" t="s">
        <v>1402</v>
      </c>
      <c r="F219" s="169" t="s">
        <v>4804</v>
      </c>
      <c r="G219" s="169" t="s">
        <v>4805</v>
      </c>
      <c r="H219" s="169">
        <v>1</v>
      </c>
      <c r="I219" s="169" t="s">
        <v>4806</v>
      </c>
      <c r="J219" s="169" t="s">
        <v>1403</v>
      </c>
      <c r="K219" s="169">
        <v>2027</v>
      </c>
      <c r="L219" s="169">
        <v>2027</v>
      </c>
      <c r="M219" s="171">
        <v>46304</v>
      </c>
      <c r="N219" s="169" t="s">
        <v>36</v>
      </c>
      <c r="O219" s="169" t="s">
        <v>793</v>
      </c>
      <c r="P219" s="169">
        <v>427</v>
      </c>
      <c r="Q219" s="169" t="s">
        <v>1479</v>
      </c>
      <c r="R219" s="169">
        <v>1</v>
      </c>
      <c r="S219" s="169">
        <v>2</v>
      </c>
      <c r="T219" s="169" t="s">
        <v>1464</v>
      </c>
      <c r="U219" s="169">
        <v>1</v>
      </c>
      <c r="V219" s="169">
        <v>0</v>
      </c>
      <c r="W219" s="169">
        <v>0</v>
      </c>
      <c r="X219" s="169" t="s">
        <v>1406</v>
      </c>
      <c r="Z219" s="169" t="s">
        <v>32</v>
      </c>
      <c r="AA219" s="169"/>
      <c r="AB219" s="169">
        <v>0</v>
      </c>
      <c r="AC219" s="169">
        <v>0</v>
      </c>
      <c r="AD219" s="169">
        <v>0</v>
      </c>
      <c r="AE219" s="169" t="s">
        <v>1446</v>
      </c>
      <c r="AG219" s="169" t="s">
        <v>1446</v>
      </c>
      <c r="AJ219" s="169">
        <v>0</v>
      </c>
      <c r="AK219" s="169" t="s">
        <v>1473</v>
      </c>
      <c r="AL219" s="169">
        <v>28128</v>
      </c>
      <c r="AM219" s="169" t="s">
        <v>1418</v>
      </c>
      <c r="AN219" s="169" t="s">
        <v>4807</v>
      </c>
      <c r="AO219" s="169">
        <v>28</v>
      </c>
      <c r="AP219" s="169" t="s">
        <v>1416</v>
      </c>
      <c r="AQ219" s="169">
        <v>0</v>
      </c>
      <c r="AR219" s="169" t="s">
        <v>1410</v>
      </c>
      <c r="AT219" s="169" t="s">
        <v>1417</v>
      </c>
      <c r="AU219" s="169" t="s">
        <v>1412</v>
      </c>
    </row>
    <row r="220" spans="1:47" x14ac:dyDescent="0.45">
      <c r="A220" s="169">
        <v>2713150113</v>
      </c>
      <c r="B220" s="169">
        <v>131</v>
      </c>
      <c r="C220" s="169" t="s">
        <v>1462</v>
      </c>
      <c r="D220" s="169">
        <v>130</v>
      </c>
      <c r="E220" s="169" t="s">
        <v>1402</v>
      </c>
      <c r="F220" s="169" t="s">
        <v>4808</v>
      </c>
      <c r="G220" s="169" t="s">
        <v>4809</v>
      </c>
      <c r="H220" s="169">
        <v>1</v>
      </c>
      <c r="I220" s="169" t="s">
        <v>848</v>
      </c>
      <c r="J220" s="169" t="s">
        <v>1403</v>
      </c>
      <c r="K220" s="169">
        <v>2027</v>
      </c>
      <c r="L220" s="169">
        <v>2027</v>
      </c>
      <c r="M220" s="171">
        <v>46321</v>
      </c>
      <c r="N220" s="169" t="s">
        <v>36</v>
      </c>
      <c r="O220" s="169" t="s">
        <v>704</v>
      </c>
      <c r="P220" s="169">
        <v>428</v>
      </c>
      <c r="Q220" s="169" t="s">
        <v>1463</v>
      </c>
      <c r="R220" s="169">
        <v>2</v>
      </c>
      <c r="S220" s="169">
        <v>2</v>
      </c>
      <c r="T220" s="169" t="s">
        <v>1464</v>
      </c>
      <c r="U220" s="169">
        <v>1</v>
      </c>
      <c r="V220" s="169">
        <v>0</v>
      </c>
      <c r="W220" s="169">
        <v>0</v>
      </c>
      <c r="X220" s="169" t="s">
        <v>1406</v>
      </c>
      <c r="Z220" s="169" t="s">
        <v>32</v>
      </c>
      <c r="AA220" s="169"/>
      <c r="AB220" s="169">
        <v>0</v>
      </c>
      <c r="AC220" s="169">
        <v>0</v>
      </c>
      <c r="AD220" s="169">
        <v>0</v>
      </c>
      <c r="AE220" s="169" t="s">
        <v>1446</v>
      </c>
      <c r="AG220" s="169" t="s">
        <v>1446</v>
      </c>
      <c r="AJ220" s="169">
        <v>0</v>
      </c>
      <c r="AK220" s="169" t="s">
        <v>1473</v>
      </c>
      <c r="AL220" s="169">
        <v>28200</v>
      </c>
      <c r="AM220" s="169" t="s">
        <v>1418</v>
      </c>
      <c r="AN220" s="169" t="s">
        <v>1520</v>
      </c>
      <c r="AO220" s="169">
        <v>28</v>
      </c>
      <c r="AP220" s="169" t="s">
        <v>1416</v>
      </c>
      <c r="AQ220" s="169">
        <v>0</v>
      </c>
      <c r="AR220" s="169" t="s">
        <v>1410</v>
      </c>
      <c r="AT220" s="169" t="s">
        <v>1417</v>
      </c>
      <c r="AU220" s="169" t="s">
        <v>1412</v>
      </c>
    </row>
    <row r="221" spans="1:47" x14ac:dyDescent="0.45">
      <c r="A221" s="169">
        <v>2713150116</v>
      </c>
      <c r="B221" s="169">
        <v>131</v>
      </c>
      <c r="C221" s="169" t="s">
        <v>1462</v>
      </c>
      <c r="D221" s="169">
        <v>130</v>
      </c>
      <c r="E221" s="169" t="s">
        <v>1402</v>
      </c>
      <c r="F221" s="169" t="s">
        <v>4810</v>
      </c>
      <c r="G221" s="169" t="s">
        <v>4811</v>
      </c>
      <c r="H221" s="169">
        <v>2</v>
      </c>
      <c r="I221" s="169" t="s">
        <v>531</v>
      </c>
      <c r="J221" s="169" t="s">
        <v>1403</v>
      </c>
      <c r="K221" s="169">
        <v>2027</v>
      </c>
      <c r="L221" s="169">
        <v>2027</v>
      </c>
      <c r="M221" s="171">
        <v>46297</v>
      </c>
      <c r="N221" s="169" t="s">
        <v>36</v>
      </c>
      <c r="O221" s="169" t="s">
        <v>741</v>
      </c>
      <c r="P221" s="169">
        <v>581</v>
      </c>
      <c r="Q221" s="169" t="s">
        <v>1489</v>
      </c>
      <c r="R221" s="169">
        <v>2</v>
      </c>
      <c r="S221" s="169">
        <v>10</v>
      </c>
      <c r="T221" s="169" t="s">
        <v>1490</v>
      </c>
      <c r="U221" s="169">
        <v>9</v>
      </c>
      <c r="V221" s="169">
        <v>0</v>
      </c>
      <c r="W221" s="169">
        <v>0</v>
      </c>
      <c r="X221" s="169" t="s">
        <v>1406</v>
      </c>
      <c r="Z221" s="169" t="s">
        <v>32</v>
      </c>
      <c r="AA221" s="169"/>
      <c r="AB221" s="169">
        <v>0</v>
      </c>
      <c r="AC221" s="169">
        <v>0</v>
      </c>
      <c r="AD221" s="169">
        <v>0</v>
      </c>
      <c r="AE221" s="169" t="s">
        <v>1446</v>
      </c>
      <c r="AG221" s="169" t="s">
        <v>1446</v>
      </c>
      <c r="AJ221" s="169">
        <v>0</v>
      </c>
      <c r="AK221" s="169" t="s">
        <v>1410</v>
      </c>
      <c r="AL221" s="169">
        <v>28090</v>
      </c>
      <c r="AM221" s="169" t="s">
        <v>1414</v>
      </c>
      <c r="AN221" s="169" t="s">
        <v>1455</v>
      </c>
      <c r="AO221" s="169">
        <v>28</v>
      </c>
      <c r="AP221" s="169" t="s">
        <v>1416</v>
      </c>
      <c r="AQ221" s="169">
        <v>0</v>
      </c>
      <c r="AR221" s="169" t="s">
        <v>1410</v>
      </c>
      <c r="AT221" s="169" t="s">
        <v>1417</v>
      </c>
      <c r="AU221" s="169" t="s">
        <v>1412</v>
      </c>
    </row>
    <row r="222" spans="1:47" x14ac:dyDescent="0.45">
      <c r="A222" s="169">
        <v>2713150117</v>
      </c>
      <c r="B222" s="169">
        <v>131</v>
      </c>
      <c r="C222" s="169" t="s">
        <v>1462</v>
      </c>
      <c r="D222" s="169">
        <v>130</v>
      </c>
      <c r="E222" s="169" t="s">
        <v>1402</v>
      </c>
      <c r="F222" s="169" t="s">
        <v>4812</v>
      </c>
      <c r="G222" s="169" t="s">
        <v>4813</v>
      </c>
      <c r="H222" s="169">
        <v>2</v>
      </c>
      <c r="I222" s="169" t="s">
        <v>982</v>
      </c>
      <c r="J222" s="169" t="s">
        <v>1403</v>
      </c>
      <c r="K222" s="169">
        <v>2027</v>
      </c>
      <c r="L222" s="169">
        <v>2027</v>
      </c>
      <c r="M222" s="171">
        <v>46279</v>
      </c>
      <c r="N222" s="169" t="s">
        <v>36</v>
      </c>
      <c r="O222" s="169" t="s">
        <v>741</v>
      </c>
      <c r="P222" s="169">
        <v>581</v>
      </c>
      <c r="Q222" s="169" t="s">
        <v>1489</v>
      </c>
      <c r="R222" s="169">
        <v>2</v>
      </c>
      <c r="S222" s="169">
        <v>10</v>
      </c>
      <c r="T222" s="169" t="s">
        <v>1490</v>
      </c>
      <c r="U222" s="169">
        <v>9</v>
      </c>
      <c r="V222" s="169">
        <v>0</v>
      </c>
      <c r="W222" s="169">
        <v>0</v>
      </c>
      <c r="X222" s="169" t="s">
        <v>1406</v>
      </c>
      <c r="Z222" s="169" t="s">
        <v>32</v>
      </c>
      <c r="AA222" s="169"/>
      <c r="AB222" s="169">
        <v>0</v>
      </c>
      <c r="AC222" s="169">
        <v>0</v>
      </c>
      <c r="AD222" s="169">
        <v>0</v>
      </c>
      <c r="AE222" s="169" t="s">
        <v>1446</v>
      </c>
      <c r="AG222" s="169" t="s">
        <v>1446</v>
      </c>
      <c r="AJ222" s="169">
        <v>0</v>
      </c>
      <c r="AK222" s="169" t="s">
        <v>1407</v>
      </c>
      <c r="AL222" s="169">
        <v>33133</v>
      </c>
      <c r="AM222" s="169" t="s">
        <v>1421</v>
      </c>
      <c r="AN222" s="169" t="s">
        <v>1426</v>
      </c>
      <c r="AO222" s="169">
        <v>33</v>
      </c>
      <c r="AP222" s="169" t="s">
        <v>1427</v>
      </c>
      <c r="AQ222" s="169">
        <v>0</v>
      </c>
      <c r="AR222" s="169" t="s">
        <v>1410</v>
      </c>
      <c r="AT222" s="169" t="s">
        <v>1417</v>
      </c>
      <c r="AU222" s="169" t="s">
        <v>1412</v>
      </c>
    </row>
    <row r="223" spans="1:47" x14ac:dyDescent="0.45">
      <c r="A223" s="169">
        <v>2713150118</v>
      </c>
      <c r="B223" s="169">
        <v>131</v>
      </c>
      <c r="C223" s="169" t="s">
        <v>1462</v>
      </c>
      <c r="D223" s="169">
        <v>130</v>
      </c>
      <c r="E223" s="169" t="s">
        <v>1402</v>
      </c>
      <c r="F223" s="169" t="s">
        <v>4814</v>
      </c>
      <c r="G223" s="169" t="s">
        <v>4815</v>
      </c>
      <c r="H223" s="169">
        <v>2</v>
      </c>
      <c r="I223" s="169" t="s">
        <v>4816</v>
      </c>
      <c r="J223" s="169" t="s">
        <v>1403</v>
      </c>
      <c r="K223" s="169">
        <v>2027</v>
      </c>
      <c r="L223" s="169">
        <v>2027</v>
      </c>
      <c r="M223" s="171">
        <v>46293</v>
      </c>
      <c r="N223" s="169" t="s">
        <v>36</v>
      </c>
      <c r="O223" s="169" t="s">
        <v>704</v>
      </c>
      <c r="P223" s="169">
        <v>857</v>
      </c>
      <c r="Q223" s="169" t="s">
        <v>1481</v>
      </c>
      <c r="R223" s="169">
        <v>2</v>
      </c>
      <c r="S223" s="169">
        <v>2</v>
      </c>
      <c r="T223" s="169" t="s">
        <v>1464</v>
      </c>
      <c r="U223" s="169">
        <v>1</v>
      </c>
      <c r="V223" s="169">
        <v>0</v>
      </c>
      <c r="W223" s="169">
        <v>0</v>
      </c>
      <c r="X223" s="169" t="s">
        <v>1406</v>
      </c>
      <c r="Z223" s="169" t="s">
        <v>32</v>
      </c>
      <c r="AA223" s="169"/>
      <c r="AB223" s="169">
        <v>0</v>
      </c>
      <c r="AC223" s="169">
        <v>0</v>
      </c>
      <c r="AD223" s="169">
        <v>0</v>
      </c>
      <c r="AE223" s="169" t="s">
        <v>1446</v>
      </c>
      <c r="AG223" s="169" t="s">
        <v>1446</v>
      </c>
      <c r="AJ223" s="169">
        <v>0</v>
      </c>
      <c r="AK223" s="169" t="s">
        <v>1473</v>
      </c>
      <c r="AL223" s="169">
        <v>28174</v>
      </c>
      <c r="AM223" s="169" t="s">
        <v>1418</v>
      </c>
      <c r="AN223" s="169" t="s">
        <v>1543</v>
      </c>
      <c r="AO223" s="169">
        <v>28</v>
      </c>
      <c r="AP223" s="169" t="s">
        <v>1416</v>
      </c>
      <c r="AQ223" s="169">
        <v>0</v>
      </c>
      <c r="AR223" s="169" t="s">
        <v>1410</v>
      </c>
      <c r="AT223" s="169" t="s">
        <v>1417</v>
      </c>
      <c r="AU223" s="169" t="s">
        <v>1412</v>
      </c>
    </row>
    <row r="224" spans="1:47" x14ac:dyDescent="0.45">
      <c r="A224" s="169">
        <v>2713150119</v>
      </c>
      <c r="B224" s="169">
        <v>131</v>
      </c>
      <c r="C224" s="169" t="s">
        <v>1462</v>
      </c>
      <c r="D224" s="169">
        <v>130</v>
      </c>
      <c r="E224" s="169" t="s">
        <v>1402</v>
      </c>
      <c r="F224" s="169" t="s">
        <v>4817</v>
      </c>
      <c r="G224" s="169" t="s">
        <v>4818</v>
      </c>
      <c r="H224" s="169">
        <v>1</v>
      </c>
      <c r="I224" s="169" t="s">
        <v>3387</v>
      </c>
      <c r="J224" s="169" t="s">
        <v>1403</v>
      </c>
      <c r="K224" s="169">
        <v>2027</v>
      </c>
      <c r="L224" s="169">
        <v>2027</v>
      </c>
      <c r="M224" s="171">
        <v>46297</v>
      </c>
      <c r="N224" s="169" t="s">
        <v>36</v>
      </c>
      <c r="O224" s="169" t="s">
        <v>704</v>
      </c>
      <c r="P224" s="169">
        <v>428</v>
      </c>
      <c r="Q224" s="169" t="s">
        <v>1463</v>
      </c>
      <c r="R224" s="169">
        <v>2</v>
      </c>
      <c r="S224" s="169">
        <v>2</v>
      </c>
      <c r="T224" s="169" t="s">
        <v>1464</v>
      </c>
      <c r="U224" s="169">
        <v>1</v>
      </c>
      <c r="V224" s="169">
        <v>0</v>
      </c>
      <c r="W224" s="169">
        <v>0</v>
      </c>
      <c r="X224" s="169" t="s">
        <v>1406</v>
      </c>
      <c r="Z224" s="169" t="s">
        <v>32</v>
      </c>
      <c r="AA224" s="169"/>
      <c r="AB224" s="169">
        <v>0</v>
      </c>
      <c r="AC224" s="169">
        <v>0</v>
      </c>
      <c r="AD224" s="169">
        <v>0</v>
      </c>
      <c r="AE224" s="169" t="s">
        <v>1446</v>
      </c>
      <c r="AG224" s="169" t="s">
        <v>1446</v>
      </c>
      <c r="AJ224" s="169">
        <v>0</v>
      </c>
      <c r="AK224" s="169" t="s">
        <v>1473</v>
      </c>
      <c r="AL224" s="169">
        <v>28095</v>
      </c>
      <c r="AM224" s="169" t="s">
        <v>1421</v>
      </c>
      <c r="AN224" s="169" t="s">
        <v>1435</v>
      </c>
      <c r="AO224" s="169">
        <v>28</v>
      </c>
      <c r="AP224" s="169" t="s">
        <v>1416</v>
      </c>
      <c r="AQ224" s="169">
        <v>0</v>
      </c>
      <c r="AR224" s="169" t="s">
        <v>1410</v>
      </c>
      <c r="AT224" s="169" t="s">
        <v>1417</v>
      </c>
      <c r="AU224" s="169" t="s">
        <v>1412</v>
      </c>
    </row>
    <row r="225" spans="1:47" x14ac:dyDescent="0.45">
      <c r="A225" s="169">
        <v>2713150120</v>
      </c>
      <c r="B225" s="169">
        <v>131</v>
      </c>
      <c r="C225" s="169" t="s">
        <v>1462</v>
      </c>
      <c r="D225" s="169">
        <v>130</v>
      </c>
      <c r="E225" s="169" t="s">
        <v>1402</v>
      </c>
      <c r="F225" s="169" t="s">
        <v>4819</v>
      </c>
      <c r="G225" s="169" t="s">
        <v>4820</v>
      </c>
      <c r="H225" s="169">
        <v>1</v>
      </c>
      <c r="I225" s="169" t="s">
        <v>1713</v>
      </c>
      <c r="J225" s="169" t="s">
        <v>1403</v>
      </c>
      <c r="K225" s="169">
        <v>2027</v>
      </c>
      <c r="L225" s="169">
        <v>2027</v>
      </c>
      <c r="M225" s="171">
        <v>46313</v>
      </c>
      <c r="N225" s="169" t="s">
        <v>36</v>
      </c>
      <c r="O225" s="169" t="s">
        <v>704</v>
      </c>
      <c r="P225" s="169">
        <v>428</v>
      </c>
      <c r="Q225" s="169" t="s">
        <v>1463</v>
      </c>
      <c r="R225" s="169">
        <v>2</v>
      </c>
      <c r="S225" s="169">
        <v>2</v>
      </c>
      <c r="T225" s="169" t="s">
        <v>1464</v>
      </c>
      <c r="U225" s="169">
        <v>1</v>
      </c>
      <c r="V225" s="169">
        <v>0</v>
      </c>
      <c r="W225" s="169">
        <v>0</v>
      </c>
      <c r="X225" s="169" t="s">
        <v>1406</v>
      </c>
      <c r="Z225" s="169" t="s">
        <v>32</v>
      </c>
      <c r="AA225" s="169"/>
      <c r="AB225" s="169">
        <v>0</v>
      </c>
      <c r="AC225" s="169">
        <v>0</v>
      </c>
      <c r="AD225" s="169">
        <v>0</v>
      </c>
      <c r="AE225" s="169" t="s">
        <v>1446</v>
      </c>
      <c r="AG225" s="169" t="s">
        <v>1446</v>
      </c>
      <c r="AJ225" s="169">
        <v>0</v>
      </c>
      <c r="AK225" s="169" t="s">
        <v>1473</v>
      </c>
      <c r="AL225" s="169">
        <v>28024</v>
      </c>
      <c r="AM225" s="169" t="s">
        <v>1421</v>
      </c>
      <c r="AN225" s="169" t="s">
        <v>1535</v>
      </c>
      <c r="AO225" s="169">
        <v>28</v>
      </c>
      <c r="AP225" s="169" t="s">
        <v>1416</v>
      </c>
      <c r="AQ225" s="169">
        <v>0</v>
      </c>
      <c r="AR225" s="169" t="s">
        <v>1410</v>
      </c>
      <c r="AT225" s="169" t="s">
        <v>1417</v>
      </c>
      <c r="AU225" s="169" t="s">
        <v>1412</v>
      </c>
    </row>
    <row r="226" spans="1:47" x14ac:dyDescent="0.45">
      <c r="A226" s="169">
        <v>2713150122</v>
      </c>
      <c r="B226" s="169">
        <v>131</v>
      </c>
      <c r="C226" s="169" t="s">
        <v>1462</v>
      </c>
      <c r="D226" s="169">
        <v>130</v>
      </c>
      <c r="E226" s="169" t="s">
        <v>1402</v>
      </c>
      <c r="F226" s="169" t="s">
        <v>4821</v>
      </c>
      <c r="G226" s="169" t="s">
        <v>4822</v>
      </c>
      <c r="H226" s="169">
        <v>1</v>
      </c>
      <c r="I226" s="169" t="s">
        <v>2329</v>
      </c>
      <c r="J226" s="169" t="s">
        <v>1403</v>
      </c>
      <c r="K226" s="169">
        <v>2027</v>
      </c>
      <c r="L226" s="169">
        <v>2027</v>
      </c>
      <c r="M226" s="171">
        <v>46289</v>
      </c>
      <c r="N226" s="169" t="s">
        <v>36</v>
      </c>
      <c r="O226" s="169" t="s">
        <v>704</v>
      </c>
      <c r="P226" s="169">
        <v>856</v>
      </c>
      <c r="Q226" s="169" t="s">
        <v>1533</v>
      </c>
      <c r="R226" s="169">
        <v>2</v>
      </c>
      <c r="S226" s="169">
        <v>2</v>
      </c>
      <c r="T226" s="169" t="s">
        <v>1464</v>
      </c>
      <c r="U226" s="169">
        <v>1</v>
      </c>
      <c r="V226" s="169">
        <v>0</v>
      </c>
      <c r="W226" s="169">
        <v>0</v>
      </c>
      <c r="X226" s="169" t="s">
        <v>1406</v>
      </c>
      <c r="Z226" s="169" t="s">
        <v>32</v>
      </c>
      <c r="AA226" s="169"/>
      <c r="AB226" s="169">
        <v>0</v>
      </c>
      <c r="AC226" s="169">
        <v>0</v>
      </c>
      <c r="AD226" s="169">
        <v>0</v>
      </c>
      <c r="AE226" s="169" t="s">
        <v>1446</v>
      </c>
      <c r="AG226" s="169" t="s">
        <v>1446</v>
      </c>
      <c r="AJ226" s="169">
        <v>0</v>
      </c>
      <c r="AK226" s="169" t="s">
        <v>1410</v>
      </c>
      <c r="AL226" s="169">
        <v>28095</v>
      </c>
      <c r="AM226" s="169" t="s">
        <v>1421</v>
      </c>
      <c r="AN226" s="169" t="s">
        <v>1435</v>
      </c>
      <c r="AO226" s="169">
        <v>28</v>
      </c>
      <c r="AP226" s="169" t="s">
        <v>1416</v>
      </c>
      <c r="AQ226" s="169">
        <v>0</v>
      </c>
      <c r="AR226" s="169" t="s">
        <v>1410</v>
      </c>
      <c r="AT226" s="169" t="s">
        <v>1417</v>
      </c>
      <c r="AU226" s="169" t="s">
        <v>1412</v>
      </c>
    </row>
    <row r="227" spans="1:47" x14ac:dyDescent="0.45">
      <c r="A227" s="169">
        <v>2713150124</v>
      </c>
      <c r="B227" s="169">
        <v>131</v>
      </c>
      <c r="C227" s="169" t="s">
        <v>1462</v>
      </c>
      <c r="D227" s="169">
        <v>130</v>
      </c>
      <c r="E227" s="169" t="s">
        <v>1402</v>
      </c>
      <c r="F227" s="169" t="s">
        <v>4823</v>
      </c>
      <c r="G227" s="169" t="s">
        <v>4824</v>
      </c>
      <c r="H227" s="169">
        <v>2</v>
      </c>
      <c r="I227" s="169" t="s">
        <v>2671</v>
      </c>
      <c r="J227" s="169" t="s">
        <v>1403</v>
      </c>
      <c r="K227" s="169">
        <v>2027</v>
      </c>
      <c r="L227" s="169">
        <v>2027</v>
      </c>
      <c r="M227" s="171">
        <v>46301</v>
      </c>
      <c r="N227" s="169" t="s">
        <v>36</v>
      </c>
      <c r="O227" s="169" t="s">
        <v>708</v>
      </c>
      <c r="P227" s="169">
        <v>328</v>
      </c>
      <c r="Q227" s="169" t="s">
        <v>2835</v>
      </c>
      <c r="R227" s="169">
        <v>2</v>
      </c>
      <c r="S227" s="169">
        <v>8</v>
      </c>
      <c r="T227" s="169" t="s">
        <v>1503</v>
      </c>
      <c r="U227" s="169">
        <v>6</v>
      </c>
      <c r="V227" s="169">
        <v>0</v>
      </c>
      <c r="W227" s="169">
        <v>0</v>
      </c>
      <c r="X227" s="169" t="s">
        <v>1406</v>
      </c>
      <c r="Z227" s="169" t="s">
        <v>32</v>
      </c>
      <c r="AA227" s="169"/>
      <c r="AB227" s="169">
        <v>0</v>
      </c>
      <c r="AC227" s="169">
        <v>0</v>
      </c>
      <c r="AD227" s="169">
        <v>0</v>
      </c>
      <c r="AE227" s="169" t="s">
        <v>1446</v>
      </c>
      <c r="AG227" s="169" t="s">
        <v>1446</v>
      </c>
      <c r="AJ227" s="169">
        <v>0</v>
      </c>
      <c r="AK227" s="169" t="s">
        <v>1407</v>
      </c>
      <c r="AL227" s="169">
        <v>28167</v>
      </c>
      <c r="AM227" s="169" t="s">
        <v>1418</v>
      </c>
      <c r="AN227" s="169" t="s">
        <v>2810</v>
      </c>
      <c r="AO227" s="169">
        <v>28</v>
      </c>
      <c r="AP227" s="169" t="s">
        <v>1416</v>
      </c>
      <c r="AQ227" s="169">
        <v>0</v>
      </c>
      <c r="AR227" s="169" t="s">
        <v>1410</v>
      </c>
      <c r="AT227" s="169" t="s">
        <v>1417</v>
      </c>
      <c r="AU227" s="169" t="s">
        <v>1412</v>
      </c>
    </row>
    <row r="228" spans="1:47" x14ac:dyDescent="0.45">
      <c r="A228" s="169">
        <v>2713150127</v>
      </c>
      <c r="B228" s="169">
        <v>131</v>
      </c>
      <c r="C228" s="169" t="s">
        <v>1462</v>
      </c>
      <c r="D228" s="169">
        <v>130</v>
      </c>
      <c r="E228" s="169" t="s">
        <v>1402</v>
      </c>
      <c r="F228" s="169" t="s">
        <v>4825</v>
      </c>
      <c r="G228" s="169" t="s">
        <v>4826</v>
      </c>
      <c r="H228" s="169">
        <v>2</v>
      </c>
      <c r="I228" s="169" t="s">
        <v>733</v>
      </c>
      <c r="J228" s="169" t="s">
        <v>1403</v>
      </c>
      <c r="K228" s="169">
        <v>0</v>
      </c>
      <c r="L228" s="169">
        <v>2027</v>
      </c>
      <c r="M228" s="171">
        <v>46322</v>
      </c>
      <c r="N228" s="169" t="s">
        <v>36</v>
      </c>
      <c r="O228" s="169" t="s">
        <v>704</v>
      </c>
      <c r="P228" s="169">
        <v>968</v>
      </c>
      <c r="Q228" s="169" t="s">
        <v>1474</v>
      </c>
      <c r="R228" s="169">
        <v>2</v>
      </c>
      <c r="S228" s="169">
        <v>2</v>
      </c>
      <c r="T228" s="169" t="s">
        <v>1464</v>
      </c>
      <c r="U228" s="169">
        <v>1</v>
      </c>
      <c r="V228" s="169">
        <v>0</v>
      </c>
      <c r="W228" s="169">
        <v>0</v>
      </c>
      <c r="X228" s="169" t="s">
        <v>1406</v>
      </c>
      <c r="Z228" s="169" t="s">
        <v>32</v>
      </c>
      <c r="AA228" s="169"/>
      <c r="AB228" s="169">
        <v>0</v>
      </c>
      <c r="AC228" s="169">
        <v>0</v>
      </c>
      <c r="AD228" s="169">
        <v>0</v>
      </c>
      <c r="AE228" s="169" t="s">
        <v>1446</v>
      </c>
      <c r="AG228" s="169" t="s">
        <v>1446</v>
      </c>
      <c r="AJ228" s="169">
        <v>0</v>
      </c>
      <c r="AK228" s="169" t="s">
        <v>1410</v>
      </c>
      <c r="AL228" s="169">
        <v>28157</v>
      </c>
      <c r="AM228" s="169" t="s">
        <v>1414</v>
      </c>
      <c r="AN228" s="169" t="s">
        <v>1415</v>
      </c>
      <c r="AO228" s="169">
        <v>28</v>
      </c>
      <c r="AP228" s="169" t="s">
        <v>1416</v>
      </c>
      <c r="AQ228" s="169">
        <v>0</v>
      </c>
      <c r="AT228" s="169" t="s">
        <v>1411</v>
      </c>
      <c r="AU228" s="169" t="s">
        <v>1412</v>
      </c>
    </row>
    <row r="229" spans="1:47" x14ac:dyDescent="0.45">
      <c r="A229" s="169">
        <v>2713150129</v>
      </c>
      <c r="B229" s="169">
        <v>131</v>
      </c>
      <c r="C229" s="169" t="s">
        <v>1462</v>
      </c>
      <c r="D229" s="169">
        <v>130</v>
      </c>
      <c r="E229" s="169" t="s">
        <v>1402</v>
      </c>
      <c r="F229" s="169" t="s">
        <v>4827</v>
      </c>
      <c r="G229" s="169" t="s">
        <v>4828</v>
      </c>
      <c r="H229" s="169">
        <v>2</v>
      </c>
      <c r="I229" s="169" t="s">
        <v>4829</v>
      </c>
      <c r="J229" s="169" t="s">
        <v>1403</v>
      </c>
      <c r="K229" s="169">
        <v>2027</v>
      </c>
      <c r="L229" s="169">
        <v>2027</v>
      </c>
      <c r="M229" s="171">
        <v>46283</v>
      </c>
      <c r="N229" s="169" t="s">
        <v>36</v>
      </c>
      <c r="O229" s="169" t="s">
        <v>741</v>
      </c>
      <c r="P229" s="169">
        <v>581</v>
      </c>
      <c r="Q229" s="169" t="s">
        <v>1489</v>
      </c>
      <c r="R229" s="169">
        <v>2</v>
      </c>
      <c r="S229" s="169">
        <v>10</v>
      </c>
      <c r="T229" s="169" t="s">
        <v>1490</v>
      </c>
      <c r="U229" s="169">
        <v>9</v>
      </c>
      <c r="V229" s="169">
        <v>0</v>
      </c>
      <c r="W229" s="169">
        <v>0</v>
      </c>
      <c r="X229" s="169" t="s">
        <v>1406</v>
      </c>
      <c r="Z229" s="169" t="s">
        <v>32</v>
      </c>
      <c r="AA229" s="169"/>
      <c r="AB229" s="169">
        <v>0</v>
      </c>
      <c r="AC229" s="169">
        <v>0</v>
      </c>
      <c r="AD229" s="169">
        <v>0</v>
      </c>
      <c r="AE229" s="169" t="s">
        <v>1446</v>
      </c>
      <c r="AG229" s="169" t="s">
        <v>1446</v>
      </c>
      <c r="AJ229" s="169">
        <v>0</v>
      </c>
      <c r="AK229" s="169" t="s">
        <v>1407</v>
      </c>
      <c r="AL229" s="169">
        <v>28157</v>
      </c>
      <c r="AM229" s="169" t="s">
        <v>1414</v>
      </c>
      <c r="AN229" s="169" t="s">
        <v>1415</v>
      </c>
      <c r="AO229" s="169">
        <v>28</v>
      </c>
      <c r="AP229" s="169" t="s">
        <v>1416</v>
      </c>
      <c r="AQ229" s="169">
        <v>0</v>
      </c>
      <c r="AR229" s="169" t="s">
        <v>1410</v>
      </c>
      <c r="AT229" s="169" t="s">
        <v>1417</v>
      </c>
      <c r="AU229" s="169" t="s">
        <v>1412</v>
      </c>
    </row>
    <row r="230" spans="1:47" x14ac:dyDescent="0.45">
      <c r="A230" s="169">
        <v>2713150130</v>
      </c>
      <c r="B230" s="169">
        <v>131</v>
      </c>
      <c r="C230" s="169" t="s">
        <v>1462</v>
      </c>
      <c r="D230" s="169">
        <v>130</v>
      </c>
      <c r="E230" s="169" t="s">
        <v>1402</v>
      </c>
      <c r="F230" s="169" t="s">
        <v>4830</v>
      </c>
      <c r="G230" s="169" t="s">
        <v>4831</v>
      </c>
      <c r="H230" s="169">
        <v>2</v>
      </c>
      <c r="I230" s="169" t="s">
        <v>4832</v>
      </c>
      <c r="J230" s="169" t="s">
        <v>1560</v>
      </c>
      <c r="K230" s="169">
        <v>2027</v>
      </c>
      <c r="L230" s="169">
        <v>2027</v>
      </c>
      <c r="M230" s="171">
        <v>46282</v>
      </c>
      <c r="N230" s="169" t="s">
        <v>36</v>
      </c>
      <c r="O230" s="169" t="s">
        <v>741</v>
      </c>
      <c r="P230" s="169">
        <v>581</v>
      </c>
      <c r="Q230" s="169" t="s">
        <v>1489</v>
      </c>
      <c r="R230" s="169">
        <v>2</v>
      </c>
      <c r="S230" s="169">
        <v>10</v>
      </c>
      <c r="T230" s="169" t="s">
        <v>1490</v>
      </c>
      <c r="U230" s="169">
        <v>9</v>
      </c>
      <c r="V230" s="169">
        <v>2722520</v>
      </c>
      <c r="W230" s="169">
        <v>0</v>
      </c>
      <c r="X230" s="169" t="s">
        <v>1406</v>
      </c>
      <c r="Z230" s="169" t="s">
        <v>32</v>
      </c>
      <c r="AA230" s="171">
        <v>46308</v>
      </c>
      <c r="AB230" s="169">
        <v>27</v>
      </c>
      <c r="AC230" s="169">
        <v>22520</v>
      </c>
      <c r="AD230" s="169">
        <v>131</v>
      </c>
      <c r="AE230" s="169" t="s">
        <v>1462</v>
      </c>
      <c r="AF230" s="169">
        <v>130</v>
      </c>
      <c r="AG230" s="169" t="s">
        <v>1402</v>
      </c>
      <c r="AH230" s="169" t="s">
        <v>36</v>
      </c>
      <c r="AI230" s="169" t="s">
        <v>741</v>
      </c>
      <c r="AJ230" s="169">
        <v>581</v>
      </c>
      <c r="AK230" s="169" t="s">
        <v>1407</v>
      </c>
      <c r="AL230" s="169">
        <v>38037</v>
      </c>
      <c r="AM230" s="169" t="s">
        <v>1418</v>
      </c>
      <c r="AN230" s="169" t="s">
        <v>4480</v>
      </c>
      <c r="AO230" s="169">
        <v>38</v>
      </c>
      <c r="AP230" s="169" t="s">
        <v>1596</v>
      </c>
      <c r="AQ230" s="169">
        <v>0</v>
      </c>
      <c r="AR230" s="169" t="s">
        <v>1410</v>
      </c>
      <c r="AT230" s="169" t="s">
        <v>1417</v>
      </c>
      <c r="AU230" s="169" t="s">
        <v>1412</v>
      </c>
    </row>
    <row r="231" spans="1:47" x14ac:dyDescent="0.45">
      <c r="A231" s="169">
        <v>2713150131</v>
      </c>
      <c r="B231" s="169">
        <v>131</v>
      </c>
      <c r="C231" s="169" t="s">
        <v>1462</v>
      </c>
      <c r="D231" s="169">
        <v>130</v>
      </c>
      <c r="E231" s="169" t="s">
        <v>1402</v>
      </c>
      <c r="F231" s="169" t="s">
        <v>4833</v>
      </c>
      <c r="G231" s="169" t="s">
        <v>4834</v>
      </c>
      <c r="H231" s="169">
        <v>1</v>
      </c>
      <c r="I231" s="169" t="s">
        <v>651</v>
      </c>
      <c r="J231" s="169" t="s">
        <v>1403</v>
      </c>
      <c r="K231" s="169">
        <v>2027</v>
      </c>
      <c r="L231" s="169">
        <v>2027</v>
      </c>
      <c r="M231" s="171">
        <v>46303</v>
      </c>
      <c r="N231" s="169" t="s">
        <v>36</v>
      </c>
      <c r="O231" s="169" t="s">
        <v>708</v>
      </c>
      <c r="P231" s="169">
        <v>1044</v>
      </c>
      <c r="Q231" s="169" t="s">
        <v>1476</v>
      </c>
      <c r="R231" s="169">
        <v>2</v>
      </c>
      <c r="S231" s="169">
        <v>3</v>
      </c>
      <c r="T231" s="169" t="s">
        <v>1477</v>
      </c>
      <c r="U231" s="169">
        <v>4</v>
      </c>
      <c r="V231" s="169">
        <v>0</v>
      </c>
      <c r="W231" s="169">
        <v>0</v>
      </c>
      <c r="X231" s="169" t="s">
        <v>1406</v>
      </c>
      <c r="Z231" s="169" t="s">
        <v>32</v>
      </c>
      <c r="AA231" s="169"/>
      <c r="AB231" s="169">
        <v>0</v>
      </c>
      <c r="AC231" s="169">
        <v>0</v>
      </c>
      <c r="AD231" s="169">
        <v>0</v>
      </c>
      <c r="AE231" s="169" t="s">
        <v>1446</v>
      </c>
      <c r="AG231" s="169" t="s">
        <v>1446</v>
      </c>
      <c r="AJ231" s="169">
        <v>0</v>
      </c>
      <c r="AK231" s="169" t="s">
        <v>1407</v>
      </c>
      <c r="AL231" s="169">
        <v>28103</v>
      </c>
      <c r="AM231" s="169" t="s">
        <v>1418</v>
      </c>
      <c r="AN231" s="169" t="s">
        <v>1505</v>
      </c>
      <c r="AO231" s="169">
        <v>28</v>
      </c>
      <c r="AP231" s="169" t="s">
        <v>1416</v>
      </c>
      <c r="AQ231" s="169">
        <v>0</v>
      </c>
      <c r="AR231" s="169" t="s">
        <v>1410</v>
      </c>
      <c r="AT231" s="169" t="s">
        <v>1417</v>
      </c>
      <c r="AU231" s="169" t="s">
        <v>1412</v>
      </c>
    </row>
    <row r="232" spans="1:47" x14ac:dyDescent="0.45">
      <c r="A232" s="169">
        <v>2713150133</v>
      </c>
      <c r="B232" s="169">
        <v>131</v>
      </c>
      <c r="C232" s="169" t="s">
        <v>1462</v>
      </c>
      <c r="D232" s="169">
        <v>130</v>
      </c>
      <c r="E232" s="169" t="s">
        <v>1402</v>
      </c>
      <c r="F232" s="169" t="s">
        <v>4835</v>
      </c>
      <c r="G232" s="169" t="s">
        <v>4836</v>
      </c>
      <c r="H232" s="169">
        <v>2</v>
      </c>
      <c r="I232" s="169" t="s">
        <v>4837</v>
      </c>
      <c r="J232" s="169" t="s">
        <v>1403</v>
      </c>
      <c r="K232" s="169">
        <v>0</v>
      </c>
      <c r="L232" s="169">
        <v>2027</v>
      </c>
      <c r="M232" s="171">
        <v>46313</v>
      </c>
      <c r="N232" s="169" t="s">
        <v>36</v>
      </c>
      <c r="O232" s="169" t="s">
        <v>704</v>
      </c>
      <c r="P232" s="169">
        <v>968</v>
      </c>
      <c r="Q232" s="169" t="s">
        <v>1474</v>
      </c>
      <c r="R232" s="169">
        <v>2</v>
      </c>
      <c r="S232" s="169">
        <v>2</v>
      </c>
      <c r="T232" s="169" t="s">
        <v>1464</v>
      </c>
      <c r="U232" s="169">
        <v>1</v>
      </c>
      <c r="V232" s="169">
        <v>0</v>
      </c>
      <c r="W232" s="169">
        <v>0</v>
      </c>
      <c r="X232" s="169" t="s">
        <v>1406</v>
      </c>
      <c r="Z232" s="169" t="s">
        <v>32</v>
      </c>
      <c r="AA232" s="169"/>
      <c r="AB232" s="169">
        <v>0</v>
      </c>
      <c r="AC232" s="169">
        <v>0</v>
      </c>
      <c r="AD232" s="169">
        <v>0</v>
      </c>
      <c r="AE232" s="169" t="s">
        <v>1446</v>
      </c>
      <c r="AG232" s="169" t="s">
        <v>1446</v>
      </c>
      <c r="AJ232" s="169">
        <v>0</v>
      </c>
      <c r="AK232" s="169" t="s">
        <v>1407</v>
      </c>
      <c r="AL232" s="169">
        <v>28090</v>
      </c>
      <c r="AM232" s="169" t="s">
        <v>1414</v>
      </c>
      <c r="AN232" s="169" t="s">
        <v>1455</v>
      </c>
      <c r="AO232" s="169">
        <v>28</v>
      </c>
      <c r="AP232" s="169" t="s">
        <v>1416</v>
      </c>
      <c r="AQ232" s="169">
        <v>0</v>
      </c>
      <c r="AR232" s="169" t="s">
        <v>1410</v>
      </c>
      <c r="AT232" s="169" t="s">
        <v>1411</v>
      </c>
      <c r="AU232" s="169" t="s">
        <v>1412</v>
      </c>
    </row>
    <row r="233" spans="1:47" x14ac:dyDescent="0.45">
      <c r="A233" s="169">
        <v>2713150134</v>
      </c>
      <c r="B233" s="169">
        <v>131</v>
      </c>
      <c r="C233" s="169" t="s">
        <v>1462</v>
      </c>
      <c r="D233" s="169">
        <v>130</v>
      </c>
      <c r="E233" s="169" t="s">
        <v>1402</v>
      </c>
      <c r="F233" s="169" t="s">
        <v>4838</v>
      </c>
      <c r="G233" s="169" t="s">
        <v>4839</v>
      </c>
      <c r="H233" s="169">
        <v>2</v>
      </c>
      <c r="I233" s="169" t="s">
        <v>2631</v>
      </c>
      <c r="J233" s="169" t="s">
        <v>1403</v>
      </c>
      <c r="K233" s="169">
        <v>2027</v>
      </c>
      <c r="L233" s="169">
        <v>2027</v>
      </c>
      <c r="M233" s="171">
        <v>46289</v>
      </c>
      <c r="N233" s="169" t="s">
        <v>36</v>
      </c>
      <c r="O233" s="169" t="s">
        <v>708</v>
      </c>
      <c r="P233" s="169">
        <v>121</v>
      </c>
      <c r="Q233" s="169" t="s">
        <v>1502</v>
      </c>
      <c r="R233" s="169">
        <v>2</v>
      </c>
      <c r="S233" s="169">
        <v>8</v>
      </c>
      <c r="T233" s="169" t="s">
        <v>1503</v>
      </c>
      <c r="U233" s="169">
        <v>6</v>
      </c>
      <c r="V233" s="169">
        <v>0</v>
      </c>
      <c r="W233" s="169">
        <v>0</v>
      </c>
      <c r="X233" s="169" t="s">
        <v>1406</v>
      </c>
      <c r="Z233" s="169" t="s">
        <v>32</v>
      </c>
      <c r="AA233" s="169"/>
      <c r="AB233" s="169">
        <v>0</v>
      </c>
      <c r="AC233" s="169">
        <v>0</v>
      </c>
      <c r="AD233" s="169">
        <v>0</v>
      </c>
      <c r="AE233" s="169" t="s">
        <v>1446</v>
      </c>
      <c r="AG233" s="169" t="s">
        <v>1446</v>
      </c>
      <c r="AJ233" s="169">
        <v>0</v>
      </c>
      <c r="AK233" s="169" t="s">
        <v>1407</v>
      </c>
      <c r="AL233" s="169">
        <v>28099</v>
      </c>
      <c r="AM233" s="169" t="s">
        <v>1418</v>
      </c>
      <c r="AN233" s="169" t="s">
        <v>1447</v>
      </c>
      <c r="AO233" s="169">
        <v>28</v>
      </c>
      <c r="AP233" s="169" t="s">
        <v>1416</v>
      </c>
      <c r="AQ233" s="169">
        <v>0</v>
      </c>
      <c r="AR233" s="169" t="s">
        <v>1410</v>
      </c>
      <c r="AT233" s="169" t="s">
        <v>1417</v>
      </c>
      <c r="AU233" s="169" t="s">
        <v>1412</v>
      </c>
    </row>
    <row r="234" spans="1:47" x14ac:dyDescent="0.45">
      <c r="A234" s="169">
        <v>2713150135</v>
      </c>
      <c r="B234" s="169">
        <v>131</v>
      </c>
      <c r="C234" s="169" t="s">
        <v>1462</v>
      </c>
      <c r="D234" s="169">
        <v>130</v>
      </c>
      <c r="E234" s="169" t="s">
        <v>1402</v>
      </c>
      <c r="F234" s="169" t="s">
        <v>4840</v>
      </c>
      <c r="G234" s="169" t="s">
        <v>4841</v>
      </c>
      <c r="H234" s="169">
        <v>2</v>
      </c>
      <c r="I234" s="169" t="s">
        <v>1094</v>
      </c>
      <c r="J234" s="169" t="s">
        <v>1403</v>
      </c>
      <c r="K234" s="169">
        <v>2027</v>
      </c>
      <c r="L234" s="169">
        <v>2027</v>
      </c>
      <c r="M234" s="171">
        <v>46289</v>
      </c>
      <c r="N234" s="169" t="s">
        <v>36</v>
      </c>
      <c r="O234" s="169" t="s">
        <v>708</v>
      </c>
      <c r="P234" s="169">
        <v>1006</v>
      </c>
      <c r="Q234" s="169" t="s">
        <v>1612</v>
      </c>
      <c r="R234" s="169">
        <v>2</v>
      </c>
      <c r="S234" s="169">
        <v>8</v>
      </c>
      <c r="T234" s="169" t="s">
        <v>1503</v>
      </c>
      <c r="U234" s="169">
        <v>6</v>
      </c>
      <c r="V234" s="169">
        <v>2722522</v>
      </c>
      <c r="W234" s="169">
        <v>0</v>
      </c>
      <c r="X234" s="169" t="s">
        <v>1406</v>
      </c>
      <c r="Z234" s="169" t="s">
        <v>32</v>
      </c>
      <c r="AA234" s="171">
        <v>46310</v>
      </c>
      <c r="AB234" s="169">
        <v>27</v>
      </c>
      <c r="AC234" s="169">
        <v>22522</v>
      </c>
      <c r="AD234" s="169">
        <v>131</v>
      </c>
      <c r="AE234" s="169" t="s">
        <v>1462</v>
      </c>
      <c r="AF234" s="169">
        <v>130</v>
      </c>
      <c r="AG234" s="169" t="s">
        <v>1402</v>
      </c>
      <c r="AH234" s="169" t="s">
        <v>36</v>
      </c>
      <c r="AI234" s="169" t="s">
        <v>708</v>
      </c>
      <c r="AJ234" s="169">
        <v>1006</v>
      </c>
      <c r="AK234" s="169" t="s">
        <v>1407</v>
      </c>
      <c r="AL234" s="169">
        <v>33133</v>
      </c>
      <c r="AM234" s="169" t="s">
        <v>1421</v>
      </c>
      <c r="AN234" s="169" t="s">
        <v>1426</v>
      </c>
      <c r="AO234" s="169">
        <v>33</v>
      </c>
      <c r="AP234" s="169" t="s">
        <v>1427</v>
      </c>
      <c r="AQ234" s="169">
        <v>0</v>
      </c>
      <c r="AR234" s="169" t="s">
        <v>1410</v>
      </c>
      <c r="AT234" s="169" t="s">
        <v>1417</v>
      </c>
      <c r="AU234" s="169" t="s">
        <v>1412</v>
      </c>
    </row>
    <row r="235" spans="1:47" x14ac:dyDescent="0.45">
      <c r="A235" s="169">
        <v>2713150136</v>
      </c>
      <c r="B235" s="169">
        <v>131</v>
      </c>
      <c r="C235" s="169" t="s">
        <v>1462</v>
      </c>
      <c r="D235" s="169">
        <v>130</v>
      </c>
      <c r="E235" s="169" t="s">
        <v>1402</v>
      </c>
      <c r="F235" s="169" t="s">
        <v>4842</v>
      </c>
      <c r="G235" s="169" t="s">
        <v>4843</v>
      </c>
      <c r="H235" s="169">
        <v>1</v>
      </c>
      <c r="I235" s="169" t="s">
        <v>982</v>
      </c>
      <c r="J235" s="169" t="s">
        <v>1403</v>
      </c>
      <c r="K235" s="169">
        <v>2027</v>
      </c>
      <c r="L235" s="169">
        <v>2027</v>
      </c>
      <c r="M235" s="171">
        <v>46302</v>
      </c>
      <c r="N235" s="169" t="s">
        <v>36</v>
      </c>
      <c r="O235" s="169" t="s">
        <v>704</v>
      </c>
      <c r="P235" s="169">
        <v>968</v>
      </c>
      <c r="Q235" s="169" t="s">
        <v>1474</v>
      </c>
      <c r="R235" s="169">
        <v>2</v>
      </c>
      <c r="S235" s="169">
        <v>2</v>
      </c>
      <c r="T235" s="169" t="s">
        <v>1464</v>
      </c>
      <c r="U235" s="169">
        <v>1</v>
      </c>
      <c r="V235" s="169">
        <v>2722529</v>
      </c>
      <c r="W235" s="169">
        <v>0</v>
      </c>
      <c r="X235" s="169" t="s">
        <v>1406</v>
      </c>
      <c r="Z235" s="169" t="s">
        <v>32</v>
      </c>
      <c r="AA235" s="171">
        <v>46322</v>
      </c>
      <c r="AB235" s="169">
        <v>27</v>
      </c>
      <c r="AC235" s="169">
        <v>22529</v>
      </c>
      <c r="AD235" s="169">
        <v>131</v>
      </c>
      <c r="AE235" s="169" t="s">
        <v>1462</v>
      </c>
      <c r="AF235" s="169">
        <v>130</v>
      </c>
      <c r="AG235" s="169" t="s">
        <v>1402</v>
      </c>
      <c r="AH235" s="169" t="s">
        <v>36</v>
      </c>
      <c r="AI235" s="169" t="s">
        <v>704</v>
      </c>
      <c r="AJ235" s="169">
        <v>968</v>
      </c>
      <c r="AK235" s="169" t="s">
        <v>1407</v>
      </c>
      <c r="AL235" s="169">
        <v>28157</v>
      </c>
      <c r="AM235" s="169" t="s">
        <v>1414</v>
      </c>
      <c r="AN235" s="169" t="s">
        <v>1415</v>
      </c>
      <c r="AO235" s="169">
        <v>28</v>
      </c>
      <c r="AP235" s="169" t="s">
        <v>1416</v>
      </c>
      <c r="AQ235" s="169">
        <v>0</v>
      </c>
      <c r="AR235" s="169" t="s">
        <v>1410</v>
      </c>
      <c r="AT235" s="169" t="s">
        <v>1417</v>
      </c>
      <c r="AU235" s="169" t="s">
        <v>1412</v>
      </c>
    </row>
    <row r="236" spans="1:47" x14ac:dyDescent="0.45">
      <c r="A236" s="169">
        <v>2713150137</v>
      </c>
      <c r="B236" s="169">
        <v>131</v>
      </c>
      <c r="C236" s="169" t="s">
        <v>1462</v>
      </c>
      <c r="D236" s="169">
        <v>130</v>
      </c>
      <c r="E236" s="169" t="s">
        <v>1402</v>
      </c>
      <c r="F236" s="169" t="s">
        <v>4844</v>
      </c>
      <c r="G236" s="169" t="s">
        <v>4845</v>
      </c>
      <c r="H236" s="169">
        <v>1</v>
      </c>
      <c r="I236" s="169" t="s">
        <v>1094</v>
      </c>
      <c r="J236" s="169" t="s">
        <v>1403</v>
      </c>
      <c r="K236" s="169">
        <v>2027</v>
      </c>
      <c r="L236" s="169">
        <v>2027</v>
      </c>
      <c r="M236" s="171">
        <v>46304</v>
      </c>
      <c r="N236" s="169" t="s">
        <v>36</v>
      </c>
      <c r="O236" s="169" t="s">
        <v>708</v>
      </c>
      <c r="P236" s="169">
        <v>1044</v>
      </c>
      <c r="Q236" s="169" t="s">
        <v>1476</v>
      </c>
      <c r="R236" s="169">
        <v>2</v>
      </c>
      <c r="S236" s="169">
        <v>3</v>
      </c>
      <c r="T236" s="169" t="s">
        <v>1477</v>
      </c>
      <c r="U236" s="169">
        <v>4</v>
      </c>
      <c r="V236" s="169">
        <v>0</v>
      </c>
      <c r="W236" s="169">
        <v>0</v>
      </c>
      <c r="X236" s="169" t="s">
        <v>1406</v>
      </c>
      <c r="Z236" s="169" t="s">
        <v>32</v>
      </c>
      <c r="AA236" s="169"/>
      <c r="AB236" s="169">
        <v>0</v>
      </c>
      <c r="AC236" s="169">
        <v>0</v>
      </c>
      <c r="AD236" s="169">
        <v>0</v>
      </c>
      <c r="AE236" s="169" t="s">
        <v>1446</v>
      </c>
      <c r="AG236" s="169" t="s">
        <v>1446</v>
      </c>
      <c r="AJ236" s="169">
        <v>0</v>
      </c>
      <c r="AK236" s="169" t="s">
        <v>1407</v>
      </c>
      <c r="AL236" s="169">
        <v>28168</v>
      </c>
      <c r="AM236" s="169" t="s">
        <v>1418</v>
      </c>
      <c r="AN236" s="169" t="s">
        <v>1475</v>
      </c>
      <c r="AO236" s="169">
        <v>28</v>
      </c>
      <c r="AP236" s="169" t="s">
        <v>1416</v>
      </c>
      <c r="AQ236" s="169">
        <v>0</v>
      </c>
      <c r="AR236" s="169" t="s">
        <v>1410</v>
      </c>
      <c r="AT236" s="169" t="s">
        <v>1417</v>
      </c>
      <c r="AU236" s="169" t="s">
        <v>1412</v>
      </c>
    </row>
    <row r="237" spans="1:47" x14ac:dyDescent="0.45">
      <c r="M237" s="43"/>
      <c r="AA237" s="45"/>
    </row>
    <row r="238" spans="1:47" x14ac:dyDescent="0.45">
      <c r="M238" s="43"/>
      <c r="AA238" s="45"/>
    </row>
    <row r="239" spans="1:47" x14ac:dyDescent="0.45">
      <c r="M239" s="43"/>
      <c r="AA239" s="45"/>
    </row>
    <row r="240" spans="1:47" x14ac:dyDescent="0.45">
      <c r="M240" s="43"/>
      <c r="AA240" s="45"/>
    </row>
    <row r="241" spans="13:27" x14ac:dyDescent="0.45">
      <c r="M241" s="43"/>
      <c r="AA241" s="45"/>
    </row>
    <row r="242" spans="13:27" x14ac:dyDescent="0.45">
      <c r="M242" s="43"/>
      <c r="AA242" s="45"/>
    </row>
    <row r="243" spans="13:27" x14ac:dyDescent="0.45">
      <c r="M243" s="43"/>
      <c r="AA243" s="45"/>
    </row>
    <row r="244" spans="13:27" x14ac:dyDescent="0.45">
      <c r="M244" s="43"/>
      <c r="AA244" s="45"/>
    </row>
    <row r="245" spans="13:27" x14ac:dyDescent="0.45">
      <c r="M245" s="43"/>
      <c r="AA245" s="45"/>
    </row>
    <row r="246" spans="13:27" x14ac:dyDescent="0.45">
      <c r="M246" s="43"/>
      <c r="AA246" s="45"/>
    </row>
    <row r="247" spans="13:27" x14ac:dyDescent="0.45">
      <c r="M247" s="43"/>
      <c r="AA247" s="45"/>
    </row>
    <row r="248" spans="13:27" x14ac:dyDescent="0.45">
      <c r="M248" s="43"/>
      <c r="AA248" s="45"/>
    </row>
    <row r="249" spans="13:27" x14ac:dyDescent="0.45">
      <c r="M249" s="43"/>
      <c r="AA249" s="45"/>
    </row>
    <row r="250" spans="13:27" x14ac:dyDescent="0.45">
      <c r="M250" s="43"/>
      <c r="AA250" s="45"/>
    </row>
    <row r="251" spans="13:27" x14ac:dyDescent="0.45">
      <c r="M251" s="43"/>
      <c r="AA251" s="45"/>
    </row>
    <row r="252" spans="13:27" x14ac:dyDescent="0.45">
      <c r="M252" s="43"/>
      <c r="AA252" s="45"/>
    </row>
    <row r="253" spans="13:27" x14ac:dyDescent="0.45">
      <c r="M253" s="43"/>
      <c r="AA253" s="45"/>
    </row>
    <row r="254" spans="13:27" x14ac:dyDescent="0.45">
      <c r="M254" s="43"/>
      <c r="AA254" s="45"/>
    </row>
    <row r="255" spans="13:27" x14ac:dyDescent="0.45">
      <c r="M255" s="43"/>
      <c r="AA255" s="45"/>
    </row>
    <row r="256" spans="13:27" x14ac:dyDescent="0.45">
      <c r="M256" s="43"/>
      <c r="AA256" s="45"/>
    </row>
    <row r="257" spans="13:27" x14ac:dyDescent="0.45">
      <c r="M257" s="43"/>
      <c r="AA257" s="45"/>
    </row>
    <row r="258" spans="13:27" x14ac:dyDescent="0.45">
      <c r="M258" s="43"/>
      <c r="AA258" s="45"/>
    </row>
    <row r="259" spans="13:27" x14ac:dyDescent="0.45">
      <c r="M259" s="43"/>
      <c r="AA259" s="45"/>
    </row>
    <row r="260" spans="13:27" x14ac:dyDescent="0.45">
      <c r="M260" s="43"/>
      <c r="AA260" s="45"/>
    </row>
    <row r="261" spans="13:27" x14ac:dyDescent="0.45">
      <c r="M261" s="43"/>
    </row>
    <row r="262" spans="13:27" x14ac:dyDescent="0.45">
      <c r="M262" s="43"/>
      <c r="AA262" s="45"/>
    </row>
    <row r="263" spans="13:27" x14ac:dyDescent="0.45">
      <c r="M263" s="43"/>
      <c r="AA263" s="45"/>
    </row>
    <row r="264" spans="13:27" x14ac:dyDescent="0.45">
      <c r="M264" s="43"/>
      <c r="AA264" s="45"/>
    </row>
    <row r="265" spans="13:27" x14ac:dyDescent="0.45">
      <c r="M265" s="43"/>
      <c r="AA265" s="45"/>
    </row>
    <row r="266" spans="13:27" x14ac:dyDescent="0.45">
      <c r="M266" s="43"/>
    </row>
    <row r="267" spans="13:27" x14ac:dyDescent="0.45">
      <c r="M267" s="43"/>
      <c r="AA267" s="45"/>
    </row>
    <row r="268" spans="13:27" x14ac:dyDescent="0.45">
      <c r="M268" s="43"/>
      <c r="Y268" s="171"/>
    </row>
    <row r="269" spans="13:27" x14ac:dyDescent="0.45">
      <c r="M269" s="43"/>
      <c r="AA269" s="45"/>
    </row>
    <row r="270" spans="13:27" x14ac:dyDescent="0.45">
      <c r="M270" s="43"/>
      <c r="AA270" s="45"/>
    </row>
    <row r="271" spans="13:27" x14ac:dyDescent="0.45">
      <c r="M271" s="43"/>
      <c r="AA271" s="45"/>
    </row>
    <row r="272" spans="13:27" x14ac:dyDescent="0.45">
      <c r="M272" s="43"/>
      <c r="AA272" s="45"/>
    </row>
    <row r="273" spans="13:27" x14ac:dyDescent="0.45">
      <c r="M273" s="43"/>
      <c r="AA273" s="45"/>
    </row>
    <row r="274" spans="13:27" x14ac:dyDescent="0.45">
      <c r="M274" s="43"/>
    </row>
    <row r="275" spans="13:27" x14ac:dyDescent="0.45">
      <c r="M275" s="43"/>
      <c r="AA275" s="45"/>
    </row>
    <row r="276" spans="13:27" x14ac:dyDescent="0.45">
      <c r="M276" s="43"/>
      <c r="AA276" s="45"/>
    </row>
    <row r="277" spans="13:27" x14ac:dyDescent="0.45">
      <c r="M277" s="43"/>
      <c r="AA277" s="45"/>
    </row>
    <row r="278" spans="13:27" x14ac:dyDescent="0.45">
      <c r="M278" s="43"/>
    </row>
    <row r="279" spans="13:27" x14ac:dyDescent="0.45">
      <c r="M279" s="43"/>
    </row>
    <row r="280" spans="13:27" x14ac:dyDescent="0.45">
      <c r="M280" s="43"/>
      <c r="Y280" s="171"/>
    </row>
    <row r="281" spans="13:27" x14ac:dyDescent="0.45">
      <c r="M281" s="43"/>
    </row>
    <row r="282" spans="13:27" x14ac:dyDescent="0.45">
      <c r="M282" s="43"/>
      <c r="AA282" s="45"/>
    </row>
    <row r="283" spans="13:27" x14ac:dyDescent="0.45">
      <c r="M283" s="43"/>
    </row>
    <row r="284" spans="13:27" x14ac:dyDescent="0.45">
      <c r="M284" s="43"/>
      <c r="Y284" s="171"/>
    </row>
    <row r="285" spans="13:27" x14ac:dyDescent="0.45">
      <c r="M285" s="43"/>
    </row>
    <row r="286" spans="13:27" x14ac:dyDescent="0.45">
      <c r="M286" s="43"/>
      <c r="AA286" s="45"/>
    </row>
    <row r="287" spans="13:27" x14ac:dyDescent="0.45">
      <c r="M287" s="43"/>
      <c r="AA287" s="45"/>
    </row>
    <row r="288" spans="13:27" x14ac:dyDescent="0.45">
      <c r="M288" s="43"/>
      <c r="Y288" s="171"/>
    </row>
    <row r="289" spans="13:27" x14ac:dyDescent="0.45">
      <c r="M289" s="43"/>
      <c r="AA289" s="45"/>
    </row>
    <row r="290" spans="13:27" x14ac:dyDescent="0.45">
      <c r="M290" s="43"/>
    </row>
    <row r="291" spans="13:27" x14ac:dyDescent="0.45">
      <c r="M291" s="43"/>
    </row>
    <row r="292" spans="13:27" x14ac:dyDescent="0.45">
      <c r="M292" s="43"/>
      <c r="AA292" s="45"/>
    </row>
    <row r="293" spans="13:27" x14ac:dyDescent="0.45">
      <c r="M293" s="43"/>
    </row>
    <row r="294" spans="13:27" x14ac:dyDescent="0.45">
      <c r="M294" s="43"/>
    </row>
    <row r="295" spans="13:27" x14ac:dyDescent="0.45">
      <c r="M295" s="43"/>
    </row>
    <row r="296" spans="13:27" x14ac:dyDescent="0.45">
      <c r="M296" s="43"/>
    </row>
    <row r="297" spans="13:27" x14ac:dyDescent="0.45">
      <c r="M297" s="43"/>
    </row>
    <row r="298" spans="13:27" x14ac:dyDescent="0.45">
      <c r="M298" s="43"/>
    </row>
    <row r="299" spans="13:27" x14ac:dyDescent="0.45">
      <c r="M299" s="43"/>
      <c r="AA299" s="45"/>
    </row>
    <row r="300" spans="13:27" x14ac:dyDescent="0.45">
      <c r="M300" s="43"/>
      <c r="AA300" s="45"/>
    </row>
    <row r="301" spans="13:27" x14ac:dyDescent="0.45">
      <c r="M301" s="43"/>
    </row>
    <row r="302" spans="13:27" x14ac:dyDescent="0.45">
      <c r="M302" s="43"/>
    </row>
    <row r="303" spans="13:27" x14ac:dyDescent="0.45">
      <c r="M303" s="43"/>
    </row>
    <row r="304" spans="13:27" x14ac:dyDescent="0.45">
      <c r="M304" s="43"/>
      <c r="AA304" s="45"/>
    </row>
    <row r="305" spans="13:27" x14ac:dyDescent="0.45">
      <c r="M305" s="43"/>
    </row>
    <row r="306" spans="13:27" x14ac:dyDescent="0.45">
      <c r="M306" s="43"/>
    </row>
    <row r="307" spans="13:27" x14ac:dyDescent="0.45">
      <c r="M307" s="43"/>
      <c r="AA307" s="45"/>
    </row>
    <row r="308" spans="13:27" x14ac:dyDescent="0.45">
      <c r="M308" s="43"/>
      <c r="AA308" s="45"/>
    </row>
    <row r="309" spans="13:27" x14ac:dyDescent="0.45">
      <c r="M309" s="43"/>
      <c r="AA309" s="45"/>
    </row>
    <row r="310" spans="13:27" x14ac:dyDescent="0.45">
      <c r="M310" s="43"/>
    </row>
    <row r="311" spans="13:27" x14ac:dyDescent="0.45">
      <c r="M311" s="43"/>
    </row>
    <row r="312" spans="13:27" x14ac:dyDescent="0.45">
      <c r="M312" s="43"/>
      <c r="AA312" s="45"/>
    </row>
    <row r="313" spans="13:27" x14ac:dyDescent="0.45">
      <c r="M313" s="43"/>
      <c r="Y313" s="171"/>
    </row>
    <row r="314" spans="13:27" x14ac:dyDescent="0.45">
      <c r="M314" s="43"/>
    </row>
    <row r="315" spans="13:27" x14ac:dyDescent="0.45">
      <c r="M315" s="43"/>
    </row>
    <row r="316" spans="13:27" x14ac:dyDescent="0.45">
      <c r="M316" s="43"/>
    </row>
    <row r="317" spans="13:27" x14ac:dyDescent="0.45">
      <c r="M317" s="43"/>
    </row>
    <row r="318" spans="13:27" x14ac:dyDescent="0.45">
      <c r="M318" s="43"/>
    </row>
    <row r="319" spans="13:27" x14ac:dyDescent="0.45">
      <c r="M319" s="43"/>
      <c r="AA319" s="45"/>
    </row>
    <row r="320" spans="13:27" x14ac:dyDescent="0.45">
      <c r="M320" s="43"/>
    </row>
    <row r="321" spans="13:27" x14ac:dyDescent="0.45">
      <c r="M321" s="43"/>
      <c r="AA321" s="45"/>
    </row>
    <row r="322" spans="13:27" x14ac:dyDescent="0.45">
      <c r="M322" s="43"/>
    </row>
    <row r="323" spans="13:27" x14ac:dyDescent="0.45">
      <c r="M323" s="43"/>
    </row>
    <row r="324" spans="13:27" x14ac:dyDescent="0.45">
      <c r="M324" s="43"/>
    </row>
    <row r="325" spans="13:27" x14ac:dyDescent="0.45">
      <c r="M325" s="43"/>
      <c r="AA325" s="45"/>
    </row>
    <row r="326" spans="13:27" x14ac:dyDescent="0.45">
      <c r="M326" s="43"/>
    </row>
    <row r="327" spans="13:27" x14ac:dyDescent="0.45">
      <c r="M327" s="43"/>
    </row>
    <row r="328" spans="13:27" x14ac:dyDescent="0.45">
      <c r="M328" s="43"/>
    </row>
    <row r="329" spans="13:27" x14ac:dyDescent="0.45">
      <c r="M329" s="43"/>
      <c r="Y329" s="171"/>
    </row>
    <row r="330" spans="13:27" x14ac:dyDescent="0.45">
      <c r="M330" s="43"/>
    </row>
    <row r="331" spans="13:27" x14ac:dyDescent="0.45">
      <c r="M331" s="43"/>
    </row>
    <row r="332" spans="13:27" x14ac:dyDescent="0.45">
      <c r="M332" s="43"/>
    </row>
    <row r="333" spans="13:27" x14ac:dyDescent="0.45">
      <c r="M333" s="43"/>
      <c r="AA333" s="45"/>
    </row>
    <row r="334" spans="13:27" x14ac:dyDescent="0.45">
      <c r="M334" s="43"/>
      <c r="AA334" s="45"/>
    </row>
    <row r="335" spans="13:27" x14ac:dyDescent="0.45">
      <c r="M335" s="43"/>
      <c r="AA335" s="45"/>
    </row>
    <row r="336" spans="13:27" x14ac:dyDescent="0.45">
      <c r="M336" s="43"/>
    </row>
    <row r="337" spans="13:13" x14ac:dyDescent="0.45">
      <c r="M337" s="43"/>
    </row>
    <row r="338" spans="13:13" x14ac:dyDescent="0.45">
      <c r="M338" s="43"/>
    </row>
    <row r="339" spans="13:13" x14ac:dyDescent="0.45">
      <c r="M339" s="43"/>
    </row>
    <row r="340" spans="13:13" x14ac:dyDescent="0.45">
      <c r="M340" s="43"/>
    </row>
    <row r="341" spans="13:13" x14ac:dyDescent="0.45">
      <c r="M341" s="43"/>
    </row>
    <row r="342" spans="13:13" x14ac:dyDescent="0.45">
      <c r="M342" s="43"/>
    </row>
    <row r="343" spans="13:13" x14ac:dyDescent="0.45">
      <c r="M343" s="43"/>
    </row>
    <row r="344" spans="13:13" x14ac:dyDescent="0.45">
      <c r="M344" s="43"/>
    </row>
    <row r="345" spans="13:13" x14ac:dyDescent="0.45">
      <c r="M345" s="43"/>
    </row>
    <row r="346" spans="13:13" x14ac:dyDescent="0.45">
      <c r="M346" s="43"/>
    </row>
    <row r="347" spans="13:13" x14ac:dyDescent="0.45">
      <c r="M347" s="43"/>
    </row>
    <row r="348" spans="13:13" x14ac:dyDescent="0.45">
      <c r="M348" s="43"/>
    </row>
    <row r="349" spans="13:13" x14ac:dyDescent="0.45">
      <c r="M349" s="43"/>
    </row>
    <row r="350" spans="13:13" x14ac:dyDescent="0.45">
      <c r="M350" s="43"/>
    </row>
    <row r="351" spans="13:13" x14ac:dyDescent="0.45">
      <c r="M351" s="43"/>
    </row>
    <row r="352" spans="13:13" x14ac:dyDescent="0.45">
      <c r="M352" s="43"/>
    </row>
    <row r="353" spans="13:27" x14ac:dyDescent="0.45">
      <c r="M353" s="43"/>
    </row>
    <row r="354" spans="13:27" x14ac:dyDescent="0.45">
      <c r="M354" s="43"/>
    </row>
    <row r="355" spans="13:27" x14ac:dyDescent="0.45">
      <c r="M355" s="43"/>
    </row>
    <row r="356" spans="13:27" x14ac:dyDescent="0.45">
      <c r="M356" s="43"/>
    </row>
    <row r="357" spans="13:27" x14ac:dyDescent="0.45">
      <c r="M357" s="43"/>
      <c r="AA357" s="45"/>
    </row>
    <row r="358" spans="13:27" x14ac:dyDescent="0.45">
      <c r="M358" s="43"/>
    </row>
    <row r="359" spans="13:27" x14ac:dyDescent="0.45">
      <c r="M359" s="43"/>
      <c r="Y359" s="171"/>
    </row>
    <row r="360" spans="13:27" x14ac:dyDescent="0.45">
      <c r="M360" s="43"/>
      <c r="AA360" s="45"/>
    </row>
    <row r="361" spans="13:27" x14ac:dyDescent="0.45">
      <c r="M361" s="43"/>
    </row>
    <row r="362" spans="13:27" x14ac:dyDescent="0.45">
      <c r="M362" s="43"/>
      <c r="AA362" s="45"/>
    </row>
    <row r="363" spans="13:27" x14ac:dyDescent="0.45">
      <c r="M363" s="43"/>
      <c r="AA363" s="45"/>
    </row>
    <row r="364" spans="13:27" x14ac:dyDescent="0.45">
      <c r="M364" s="43"/>
      <c r="AA364" s="45"/>
    </row>
    <row r="365" spans="13:27" x14ac:dyDescent="0.45">
      <c r="M365" s="43"/>
      <c r="AA365" s="45"/>
    </row>
    <row r="366" spans="13:27" x14ac:dyDescent="0.45">
      <c r="M366" s="43"/>
      <c r="AA366" s="45"/>
    </row>
    <row r="367" spans="13:27" x14ac:dyDescent="0.45">
      <c r="M367" s="43"/>
      <c r="AA367" s="45"/>
    </row>
    <row r="368" spans="13:27" x14ac:dyDescent="0.45">
      <c r="M368" s="43"/>
      <c r="AA368" s="45"/>
    </row>
    <row r="369" spans="13:27" x14ac:dyDescent="0.45">
      <c r="M369" s="43"/>
      <c r="AA369" s="45"/>
    </row>
    <row r="370" spans="13:27" x14ac:dyDescent="0.45">
      <c r="M370" s="43"/>
      <c r="AA370" s="45"/>
    </row>
    <row r="371" spans="13:27" x14ac:dyDescent="0.45">
      <c r="M371" s="43"/>
      <c r="AA371" s="45"/>
    </row>
    <row r="372" spans="13:27" x14ac:dyDescent="0.45">
      <c r="M372" s="43"/>
      <c r="AA372" s="45"/>
    </row>
    <row r="373" spans="13:27" x14ac:dyDescent="0.45">
      <c r="M373" s="43"/>
      <c r="AA373" s="45"/>
    </row>
    <row r="374" spans="13:27" x14ac:dyDescent="0.45">
      <c r="M374" s="43"/>
      <c r="AA374" s="45"/>
    </row>
    <row r="375" spans="13:27" x14ac:dyDescent="0.45">
      <c r="M375" s="43"/>
      <c r="AA375" s="45"/>
    </row>
    <row r="376" spans="13:27" x14ac:dyDescent="0.45">
      <c r="M376" s="43"/>
      <c r="AA376" s="45"/>
    </row>
    <row r="377" spans="13:27" x14ac:dyDescent="0.45">
      <c r="M377" s="43"/>
      <c r="AA377" s="45"/>
    </row>
    <row r="378" spans="13:27" x14ac:dyDescent="0.45">
      <c r="M378" s="43"/>
      <c r="AA378" s="45"/>
    </row>
    <row r="379" spans="13:27" x14ac:dyDescent="0.45">
      <c r="M379" s="43"/>
      <c r="AA379" s="45"/>
    </row>
    <row r="380" spans="13:27" x14ac:dyDescent="0.45">
      <c r="M380" s="43"/>
      <c r="AA380" s="45"/>
    </row>
    <row r="381" spans="13:27" x14ac:dyDescent="0.45">
      <c r="M381" s="43"/>
      <c r="AA381" s="45"/>
    </row>
    <row r="382" spans="13:27" x14ac:dyDescent="0.45">
      <c r="M382" s="43"/>
      <c r="AA382" s="45"/>
    </row>
    <row r="383" spans="13:27" x14ac:dyDescent="0.45">
      <c r="M383" s="43"/>
      <c r="AA383" s="45"/>
    </row>
    <row r="384" spans="13:27" x14ac:dyDescent="0.45">
      <c r="M384" s="43"/>
      <c r="AA384" s="45"/>
    </row>
    <row r="385" spans="13:27" x14ac:dyDescent="0.45">
      <c r="M385" s="43"/>
      <c r="AA385" s="45"/>
    </row>
    <row r="386" spans="13:27" x14ac:dyDescent="0.45">
      <c r="M386" s="43"/>
      <c r="AA386" s="45"/>
    </row>
    <row r="387" spans="13:27" x14ac:dyDescent="0.45">
      <c r="M387" s="43"/>
      <c r="AA387" s="45"/>
    </row>
    <row r="388" spans="13:27" x14ac:dyDescent="0.45">
      <c r="M388" s="43"/>
      <c r="AA388" s="45"/>
    </row>
    <row r="389" spans="13:27" x14ac:dyDescent="0.45">
      <c r="M389" s="43"/>
      <c r="AA389" s="45"/>
    </row>
    <row r="390" spans="13:27" x14ac:dyDescent="0.45">
      <c r="M390" s="43"/>
      <c r="AA390" s="45"/>
    </row>
    <row r="391" spans="13:27" x14ac:dyDescent="0.45">
      <c r="M391" s="43"/>
      <c r="AA391" s="45"/>
    </row>
    <row r="392" spans="13:27" x14ac:dyDescent="0.45">
      <c r="M392" s="43"/>
      <c r="AA392" s="45"/>
    </row>
    <row r="393" spans="13:27" x14ac:dyDescent="0.45">
      <c r="M393" s="43"/>
      <c r="AA393" s="45"/>
    </row>
    <row r="394" spans="13:27" x14ac:dyDescent="0.45">
      <c r="M394" s="43"/>
      <c r="AA394" s="45"/>
    </row>
    <row r="395" spans="13:27" x14ac:dyDescent="0.45">
      <c r="M395" s="43"/>
      <c r="AA395" s="45"/>
    </row>
    <row r="396" spans="13:27" x14ac:dyDescent="0.45">
      <c r="M396" s="43"/>
      <c r="AA396" s="45"/>
    </row>
    <row r="397" spans="13:27" x14ac:dyDescent="0.45">
      <c r="M397" s="43"/>
      <c r="AA397" s="45"/>
    </row>
    <row r="398" spans="13:27" x14ac:dyDescent="0.45">
      <c r="M398" s="43"/>
      <c r="AA398" s="45"/>
    </row>
    <row r="399" spans="13:27" x14ac:dyDescent="0.45">
      <c r="M399" s="43"/>
      <c r="AA399" s="45"/>
    </row>
    <row r="400" spans="13:27" x14ac:dyDescent="0.45">
      <c r="M400" s="43"/>
      <c r="AA400" s="45"/>
    </row>
    <row r="401" spans="13:27" x14ac:dyDescent="0.45">
      <c r="M401" s="43"/>
      <c r="AA401" s="45"/>
    </row>
    <row r="402" spans="13:27" x14ac:dyDescent="0.45">
      <c r="M402" s="43"/>
      <c r="AA402" s="45"/>
    </row>
    <row r="403" spans="13:27" x14ac:dyDescent="0.45">
      <c r="M403" s="43"/>
      <c r="AA403" s="45"/>
    </row>
    <row r="404" spans="13:27" x14ac:dyDescent="0.45">
      <c r="M404" s="43"/>
      <c r="AA404" s="45"/>
    </row>
    <row r="405" spans="13:27" x14ac:dyDescent="0.45">
      <c r="M405" s="43"/>
      <c r="Y405" s="171"/>
    </row>
    <row r="406" spans="13:27" x14ac:dyDescent="0.45">
      <c r="M406" s="43"/>
      <c r="Y406" s="171"/>
    </row>
    <row r="407" spans="13:27" x14ac:dyDescent="0.45">
      <c r="M407" s="43"/>
      <c r="AA407" s="45"/>
    </row>
    <row r="408" spans="13:27" x14ac:dyDescent="0.45">
      <c r="M408" s="43"/>
      <c r="AA408" s="45"/>
    </row>
    <row r="409" spans="13:27" x14ac:dyDescent="0.45">
      <c r="M409" s="43"/>
      <c r="AA409" s="45"/>
    </row>
    <row r="410" spans="13:27" x14ac:dyDescent="0.45">
      <c r="M410" s="43"/>
      <c r="AA410" s="45"/>
    </row>
    <row r="411" spans="13:27" x14ac:dyDescent="0.45">
      <c r="M411" s="43"/>
      <c r="AA411" s="45"/>
    </row>
    <row r="412" spans="13:27" x14ac:dyDescent="0.45">
      <c r="M412" s="43"/>
      <c r="AA412" s="45"/>
    </row>
    <row r="413" spans="13:27" x14ac:dyDescent="0.45">
      <c r="M413" s="43"/>
      <c r="AA413" s="45"/>
    </row>
    <row r="414" spans="13:27" x14ac:dyDescent="0.45">
      <c r="M414" s="43"/>
      <c r="AA414" s="45"/>
    </row>
    <row r="415" spans="13:27" x14ac:dyDescent="0.45">
      <c r="M415" s="43"/>
      <c r="AA415" s="45"/>
    </row>
    <row r="416" spans="13:27" x14ac:dyDescent="0.45">
      <c r="M416" s="43"/>
      <c r="Y416" s="171"/>
    </row>
    <row r="417" spans="13:27" x14ac:dyDescent="0.45">
      <c r="M417" s="43"/>
      <c r="AA417" s="45"/>
    </row>
    <row r="418" spans="13:27" x14ac:dyDescent="0.45">
      <c r="M418" s="43"/>
      <c r="AA418" s="45"/>
    </row>
    <row r="419" spans="13:27" x14ac:dyDescent="0.45">
      <c r="M419" s="43"/>
      <c r="AA419" s="45"/>
    </row>
    <row r="420" spans="13:27" x14ac:dyDescent="0.45">
      <c r="M420" s="43"/>
      <c r="Y420" s="171"/>
    </row>
    <row r="421" spans="13:27" x14ac:dyDescent="0.45">
      <c r="M421" s="43"/>
      <c r="AA421" s="45"/>
    </row>
    <row r="422" spans="13:27" x14ac:dyDescent="0.45">
      <c r="M422" s="43"/>
      <c r="AA422" s="45"/>
    </row>
    <row r="423" spans="13:27" x14ac:dyDescent="0.45">
      <c r="M423" s="43"/>
      <c r="AA423" s="45"/>
    </row>
    <row r="424" spans="13:27" x14ac:dyDescent="0.45">
      <c r="M424" s="43"/>
      <c r="Y424" s="171"/>
    </row>
    <row r="425" spans="13:27" x14ac:dyDescent="0.45">
      <c r="M425" s="43"/>
      <c r="Y425" s="171"/>
    </row>
    <row r="426" spans="13:27" x14ac:dyDescent="0.45">
      <c r="M426" s="43"/>
      <c r="Y426" s="171"/>
    </row>
    <row r="427" spans="13:27" x14ac:dyDescent="0.45">
      <c r="M427" s="43"/>
      <c r="AA427" s="45"/>
    </row>
    <row r="428" spans="13:27" x14ac:dyDescent="0.45">
      <c r="M428" s="43"/>
      <c r="AA428" s="45"/>
    </row>
    <row r="429" spans="13:27" x14ac:dyDescent="0.45">
      <c r="M429" s="43"/>
      <c r="AA429" s="45"/>
    </row>
    <row r="430" spans="13:27" x14ac:dyDescent="0.45">
      <c r="M430" s="43"/>
      <c r="Y430" s="171"/>
    </row>
    <row r="431" spans="13:27" x14ac:dyDescent="0.45">
      <c r="M431" s="43"/>
      <c r="Y431" s="171"/>
    </row>
    <row r="432" spans="13:27" x14ac:dyDescent="0.45">
      <c r="M432" s="43"/>
      <c r="AA432" s="45"/>
    </row>
    <row r="433" spans="13:27" x14ac:dyDescent="0.45">
      <c r="M433" s="43"/>
      <c r="Y433" s="171"/>
    </row>
    <row r="434" spans="13:27" x14ac:dyDescent="0.45">
      <c r="M434" s="43"/>
      <c r="AA434" s="45"/>
    </row>
    <row r="435" spans="13:27" x14ac:dyDescent="0.45">
      <c r="M435" s="43"/>
      <c r="AA435" s="45"/>
    </row>
    <row r="436" spans="13:27" x14ac:dyDescent="0.45">
      <c r="M436" s="43"/>
      <c r="AA436" s="45"/>
    </row>
    <row r="437" spans="13:27" x14ac:dyDescent="0.45">
      <c r="M437" s="43"/>
      <c r="AA437" s="45"/>
    </row>
    <row r="438" spans="13:27" x14ac:dyDescent="0.45">
      <c r="M438" s="43"/>
      <c r="AA438" s="45"/>
    </row>
    <row r="439" spans="13:27" x14ac:dyDescent="0.45">
      <c r="M439" s="43"/>
      <c r="AA439" s="45"/>
    </row>
    <row r="440" spans="13:27" x14ac:dyDescent="0.45">
      <c r="M440" s="43"/>
      <c r="AA440" s="45"/>
    </row>
    <row r="441" spans="13:27" x14ac:dyDescent="0.45">
      <c r="M441" s="43"/>
      <c r="AA441" s="45"/>
    </row>
    <row r="442" spans="13:27" x14ac:dyDescent="0.45">
      <c r="M442" s="43"/>
      <c r="AA442" s="45"/>
    </row>
    <row r="443" spans="13:27" x14ac:dyDescent="0.45">
      <c r="M443" s="43"/>
      <c r="AA443" s="45"/>
    </row>
    <row r="444" spans="13:27" x14ac:dyDescent="0.45">
      <c r="M444" s="43"/>
      <c r="AA444" s="45"/>
    </row>
    <row r="445" spans="13:27" x14ac:dyDescent="0.45">
      <c r="M445" s="43"/>
      <c r="Y445" s="171"/>
    </row>
    <row r="446" spans="13:27" x14ac:dyDescent="0.45">
      <c r="M446" s="43"/>
      <c r="AA446" s="45"/>
    </row>
    <row r="447" spans="13:27" x14ac:dyDescent="0.45">
      <c r="M447" s="43"/>
      <c r="AA447" s="45"/>
    </row>
    <row r="448" spans="13:27" x14ac:dyDescent="0.45">
      <c r="M448" s="43"/>
      <c r="Y448" s="171"/>
    </row>
    <row r="449" spans="13:27" x14ac:dyDescent="0.45">
      <c r="M449" s="43"/>
      <c r="AA449" s="45"/>
    </row>
    <row r="450" spans="13:27" x14ac:dyDescent="0.45">
      <c r="M450" s="43"/>
      <c r="AA450" s="45"/>
    </row>
    <row r="451" spans="13:27" x14ac:dyDescent="0.45">
      <c r="M451" s="43"/>
      <c r="AA451" s="45"/>
    </row>
    <row r="452" spans="13:27" x14ac:dyDescent="0.45">
      <c r="M452" s="43"/>
      <c r="Y452" s="171"/>
    </row>
    <row r="453" spans="13:27" x14ac:dyDescent="0.45">
      <c r="M453" s="43"/>
      <c r="Y453" s="171"/>
    </row>
    <row r="454" spans="13:27" x14ac:dyDescent="0.45">
      <c r="M454" s="43"/>
      <c r="AA454" s="45"/>
    </row>
    <row r="455" spans="13:27" x14ac:dyDescent="0.45">
      <c r="M455" s="43"/>
      <c r="AA455" s="45"/>
    </row>
    <row r="456" spans="13:27" x14ac:dyDescent="0.45">
      <c r="M456" s="43"/>
      <c r="AA456" s="45"/>
    </row>
    <row r="457" spans="13:27" x14ac:dyDescent="0.45">
      <c r="M457" s="43"/>
      <c r="Y457" s="171"/>
    </row>
    <row r="458" spans="13:27" x14ac:dyDescent="0.45">
      <c r="M458" s="43"/>
      <c r="AA458" s="45"/>
    </row>
    <row r="459" spans="13:27" x14ac:dyDescent="0.45">
      <c r="M459" s="43"/>
      <c r="AA459" s="45"/>
    </row>
    <row r="460" spans="13:27" x14ac:dyDescent="0.45">
      <c r="M460" s="43"/>
      <c r="Y460" s="171"/>
    </row>
    <row r="461" spans="13:27" x14ac:dyDescent="0.45">
      <c r="M461" s="43"/>
    </row>
    <row r="462" spans="13:27" x14ac:dyDescent="0.45">
      <c r="M462" s="43"/>
      <c r="Y462" s="171"/>
    </row>
    <row r="463" spans="13:27" x14ac:dyDescent="0.45">
      <c r="M463" s="43"/>
      <c r="AA463" s="45"/>
    </row>
    <row r="464" spans="13:27" x14ac:dyDescent="0.45">
      <c r="M464" s="43"/>
      <c r="AA464" s="45"/>
    </row>
    <row r="465" spans="13:27" x14ac:dyDescent="0.45">
      <c r="M465" s="43"/>
      <c r="AA465" s="45"/>
    </row>
    <row r="466" spans="13:27" x14ac:dyDescent="0.45">
      <c r="M466" s="43"/>
      <c r="Y466" s="171"/>
    </row>
    <row r="467" spans="13:27" x14ac:dyDescent="0.45">
      <c r="M467" s="43"/>
      <c r="AA467" s="45"/>
    </row>
    <row r="468" spans="13:27" x14ac:dyDescent="0.45">
      <c r="M468" s="43"/>
      <c r="AA468" s="45"/>
    </row>
    <row r="469" spans="13:27" x14ac:dyDescent="0.45">
      <c r="M469" s="43"/>
      <c r="Y469" s="171"/>
    </row>
    <row r="470" spans="13:27" x14ac:dyDescent="0.45">
      <c r="M470" s="43"/>
      <c r="AA470" s="45"/>
    </row>
    <row r="471" spans="13:27" x14ac:dyDescent="0.45">
      <c r="M471" s="43"/>
      <c r="AA471" s="45"/>
    </row>
    <row r="472" spans="13:27" x14ac:dyDescent="0.45">
      <c r="M472" s="43"/>
      <c r="AA472" s="45"/>
    </row>
    <row r="473" spans="13:27" x14ac:dyDescent="0.45">
      <c r="M473" s="43"/>
      <c r="Y473" s="171"/>
    </row>
    <row r="474" spans="13:27" x14ac:dyDescent="0.45">
      <c r="M474" s="43"/>
      <c r="AA474" s="45"/>
    </row>
    <row r="475" spans="13:27" x14ac:dyDescent="0.45">
      <c r="M475" s="43"/>
      <c r="AA475" s="45"/>
    </row>
    <row r="476" spans="13:27" x14ac:dyDescent="0.45">
      <c r="M476" s="43"/>
      <c r="AA476" s="45"/>
    </row>
    <row r="477" spans="13:27" x14ac:dyDescent="0.45">
      <c r="M477" s="43"/>
      <c r="AA477" s="45"/>
    </row>
    <row r="478" spans="13:27" x14ac:dyDescent="0.45">
      <c r="M478" s="43"/>
      <c r="Y478" s="171"/>
    </row>
    <row r="479" spans="13:27" x14ac:dyDescent="0.45">
      <c r="M479" s="43"/>
      <c r="AA479" s="45"/>
    </row>
    <row r="480" spans="13:27" x14ac:dyDescent="0.45">
      <c r="M480" s="43"/>
      <c r="AA480" s="45"/>
    </row>
    <row r="481" spans="13:27" x14ac:dyDescent="0.45">
      <c r="M481" s="43"/>
      <c r="AA481" s="45"/>
    </row>
    <row r="482" spans="13:27" x14ac:dyDescent="0.45">
      <c r="M482" s="43"/>
      <c r="AA482" s="45"/>
    </row>
    <row r="483" spans="13:27" x14ac:dyDescent="0.45">
      <c r="M483" s="43"/>
      <c r="AA483" s="45"/>
    </row>
    <row r="484" spans="13:27" x14ac:dyDescent="0.45">
      <c r="M484" s="43"/>
      <c r="AA484" s="45"/>
    </row>
    <row r="485" spans="13:27" x14ac:dyDescent="0.45">
      <c r="M485" s="43"/>
    </row>
    <row r="486" spans="13:27" x14ac:dyDescent="0.45">
      <c r="M486" s="43"/>
      <c r="AA486" s="45"/>
    </row>
    <row r="487" spans="13:27" x14ac:dyDescent="0.45">
      <c r="M487" s="43"/>
      <c r="AA487" s="45"/>
    </row>
    <row r="488" spans="13:27" x14ac:dyDescent="0.45">
      <c r="M488" s="43"/>
      <c r="Y488" s="171"/>
    </row>
    <row r="489" spans="13:27" x14ac:dyDescent="0.45">
      <c r="M489" s="43"/>
      <c r="AA489" s="45"/>
    </row>
    <row r="490" spans="13:27" x14ac:dyDescent="0.45">
      <c r="M490" s="43"/>
      <c r="AA490" s="45"/>
    </row>
    <row r="491" spans="13:27" x14ac:dyDescent="0.45">
      <c r="M491" s="43"/>
      <c r="Y491" s="171"/>
    </row>
    <row r="492" spans="13:27" x14ac:dyDescent="0.45">
      <c r="M492" s="43"/>
      <c r="AA492" s="45"/>
    </row>
    <row r="493" spans="13:27" x14ac:dyDescent="0.45">
      <c r="M493" s="43"/>
      <c r="AA493" s="45"/>
    </row>
    <row r="494" spans="13:27" x14ac:dyDescent="0.45">
      <c r="M494" s="43"/>
      <c r="AA494" s="45"/>
    </row>
    <row r="495" spans="13:27" x14ac:dyDescent="0.45">
      <c r="M495" s="43"/>
      <c r="AA495" s="45"/>
    </row>
    <row r="496" spans="13:27" x14ac:dyDescent="0.45">
      <c r="M496" s="43"/>
      <c r="AA496" s="45"/>
    </row>
    <row r="497" spans="13:27" x14ac:dyDescent="0.45">
      <c r="M497" s="43"/>
      <c r="AA497" s="45"/>
    </row>
    <row r="498" spans="13:27" x14ac:dyDescent="0.45">
      <c r="M498" s="43"/>
      <c r="AA498" s="45"/>
    </row>
  </sheetData>
  <autoFilter ref="A1:AU179" xr:uid="{00000000-0009-0000-0000-000001000000}">
    <sortState xmlns:xlrd2="http://schemas.microsoft.com/office/spreadsheetml/2017/richdata2" ref="A2:AU134">
      <sortCondition descending="1" ref="M1"/>
    </sortState>
  </autoFilter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DK39"/>
  <sheetViews>
    <sheetView tabSelected="1" topLeftCell="A26" zoomScale="40" zoomScaleNormal="40" workbookViewId="0">
      <selection activeCell="Y32" sqref="Y32"/>
    </sheetView>
  </sheetViews>
  <sheetFormatPr defaultColWidth="8.69921875" defaultRowHeight="18" x14ac:dyDescent="0.45"/>
  <cols>
    <col min="1" max="8" width="10.59765625" style="111" customWidth="1"/>
    <col min="9" max="9" width="11.59765625" style="111" customWidth="1"/>
    <col min="10" max="26" width="10.59765625" style="111" customWidth="1"/>
    <col min="27" max="28" width="9.19921875" style="111" bestFit="1" customWidth="1"/>
    <col min="29" max="29" width="8.69921875" style="111"/>
    <col min="30" max="31" width="9.19921875" style="111" bestFit="1" customWidth="1"/>
    <col min="32" max="32" width="8.69921875" style="111"/>
    <col min="33" max="34" width="9.8984375" style="111" bestFit="1" customWidth="1"/>
    <col min="35" max="38" width="9.8984375" style="111" customWidth="1"/>
    <col min="39" max="39" width="8.69921875" style="111"/>
    <col min="40" max="72" width="2.59765625" style="111" customWidth="1"/>
    <col min="73" max="74" width="1.09765625" style="111" customWidth="1"/>
    <col min="75" max="107" width="4.5" style="111" customWidth="1"/>
    <col min="108" max="16384" width="8.69921875" style="111"/>
  </cols>
  <sheetData>
    <row r="1" spans="1:115" ht="42.75" customHeight="1" x14ac:dyDescent="0.45">
      <c r="A1" s="180" t="s">
        <v>2873</v>
      </c>
      <c r="B1" s="180"/>
      <c r="C1" s="180"/>
      <c r="D1" s="180"/>
      <c r="E1" s="180"/>
      <c r="G1" s="172">
        <f>日付設定!$B$1</f>
        <v>46534</v>
      </c>
      <c r="H1" s="172"/>
    </row>
    <row r="3" spans="1:115" ht="22.8" thickBot="1" x14ac:dyDescent="0.5">
      <c r="A3" s="109" t="s">
        <v>1353</v>
      </c>
    </row>
    <row r="4" spans="1:115" ht="51" customHeight="1" x14ac:dyDescent="0.45">
      <c r="A4" s="157"/>
      <c r="B4" s="173" t="s">
        <v>1336</v>
      </c>
      <c r="C4" s="174"/>
      <c r="D4" s="175"/>
      <c r="E4" s="176" t="s">
        <v>1334</v>
      </c>
      <c r="F4" s="174"/>
      <c r="G4" s="175"/>
    </row>
    <row r="5" spans="1:115" ht="51" customHeight="1" thickBot="1" x14ac:dyDescent="0.5">
      <c r="A5" s="49"/>
      <c r="B5" s="165" t="s">
        <v>1365</v>
      </c>
      <c r="C5" s="83" t="s">
        <v>2870</v>
      </c>
      <c r="D5" s="80" t="s">
        <v>2851</v>
      </c>
      <c r="E5" s="165" t="s">
        <v>1365</v>
      </c>
      <c r="F5" s="83" t="s">
        <v>2870</v>
      </c>
      <c r="G5" s="80" t="s">
        <v>2851</v>
      </c>
    </row>
    <row r="6" spans="1:115" ht="51" customHeight="1" thickTop="1" x14ac:dyDescent="0.45">
      <c r="A6" s="221">
        <v>2027</v>
      </c>
      <c r="B6" s="222">
        <f ca="1">COUNTIFS(INDIRECT($A6&amp;"年度出願!$M:$M"),"&lt;="&amp;日付設定!$B1,INDIRECT($A6&amp;"年度出願!$E:$E"),日付設定!$E$2,INDIRECT($A6&amp;"年度出願!$T:$T"),"&lt;&gt;"&amp;日付設定!$F$8&amp;"*")</f>
        <v>119</v>
      </c>
      <c r="C6" s="223">
        <f ca="1">COUNTIFS(INDIRECT($A6&amp;"年度出願!$Y:$Y"),"&lt;="&amp;日付設定!$B1,INDIRECT($A6&amp;"年度出願!$E:$E"),日付設定!$E$2,INDIRECT($A6&amp;"年度出願!$T:$T"),"&lt;&gt;"&amp;日付設定!$F$8&amp;"*",INDIRECT($A6&amp;"年度出願!$Y:$Y"),"&lt;&gt;"&amp;"")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N"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S",INDIRECT($A6&amp;"年度出願!$AS:$AS"),"N")
+COUNTIFS(INDIRECT($A6&amp;"年度出願!$AA:$AA"),"&lt;="&amp;日付設定!$B1,INDIRECT($A6&amp;"年度出願!$E:$E"),日付設定!$E$2,INDIRECT($A6&amp;"年度出願!$T:$T"),"&lt;&gt;"&amp;日付設定!$F$8&amp;"*",INDIRECT($A6&amp;"年度出願!$AG:$AG"),"&lt;&gt;"&amp;日付設定!$E$2)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",INDIRECT($A6&amp;"年度出願!$A:$A"),日付設定!$M$2)</f>
        <v>1</v>
      </c>
      <c r="D6" s="224">
        <f ca="1">COUNTIFS(INDIRECT($A6&amp;"年度出願!$AA:$AA"),"&lt;="&amp;日付設定!$B1,INDIRECT($A6&amp;"年度出願!$AG:$AG"),日付設定!$E$2,INDIRECT($A6&amp;"年度出願!$T:$T"),"&lt;&gt;"&amp;日付設定!$F$8&amp;"*")</f>
        <v>40</v>
      </c>
      <c r="E6" s="222">
        <f ca="1">COUNTIFS(INDIRECT($A6&amp;"年度出願!$M:$M"),"&lt;="&amp;日付設定!$B1,INDIRECT($A6&amp;"年度出願!$E:$E"),日付設定!$E$3,INDIRECT($A6&amp;"年度出願!$T:$T"),"&lt;&gt;"&amp;日付設定!$F$8&amp;"*")</f>
        <v>116</v>
      </c>
      <c r="F6" s="223">
        <f ca="1">COUNTIFS(INDIRECT($A6&amp;"年度出願!$Y:$Y"),"&lt;="&amp;日付設定!$B1,INDIRECT($A6&amp;"年度出願!$E:$E"),日付設定!$E$3,INDIRECT($A6&amp;"年度出願!$T:$T"),"&lt;&gt;"&amp;日付設定!$F$8&amp;"*",INDIRECT($A6&amp;"年度出願!$Y:$Y"),"&lt;&gt;"&amp;"")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N"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S",INDIRECT($A6&amp;"年度出願!$AS:$AS"),"N")
+COUNTIFS(INDIRECT($A6&amp;"年度出願!$AA:$AA"),"&lt;="&amp;日付設定!$B1,INDIRECT($A6&amp;"年度出願!$E:$E"),日付設定!$E$3,INDIRECT($A6&amp;"年度出願!$T:$T"),"&lt;&gt;"&amp;日付設定!$F$8&amp;"*",INDIRECT($A6&amp;"年度出願!$AG:$AG"),"&lt;&gt;"&amp;日付設定!$E$3)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",INDIRECT($A6&amp;"年度出願!$A:$A"),日付設定!$M$2)</f>
        <v>0</v>
      </c>
      <c r="G6" s="224">
        <f ca="1">COUNTIFS(INDIRECT($A6&amp;"年度出願!$AA:$AA"),"&lt;="&amp;日付設定!$B1,INDIRECT($A6&amp;"年度出願!$AG:$AG"),日付設定!$E$3,INDIRECT($A6&amp;"年度出願!$T:$T"),"&lt;&gt;"&amp;日付設定!$F$8&amp;"*")</f>
        <v>38</v>
      </c>
    </row>
    <row r="7" spans="1:115" s="169" customFormat="1" ht="51" customHeight="1" x14ac:dyDescent="0.45">
      <c r="A7" s="161">
        <v>2026</v>
      </c>
      <c r="B7" s="166">
        <f ca="1">COUNTIFS(INDIRECT($A7&amp;"年度出願!$M:$M"),"&lt;="&amp;日付設定!$B2,INDIRECT($A7&amp;"年度出願!$E:$E"),日付設定!$E$2,INDIRECT($A7&amp;"年度出願!$T:$T"),"&lt;&gt;"&amp;日付設定!$F$8&amp;"*")</f>
        <v>240</v>
      </c>
      <c r="C7" s="159">
        <f ca="1">COUNTIFS(INDIRECT($A7&amp;"年度出願!$Y:$Y"),"&lt;="&amp;日付設定!$B2,INDIRECT($A7&amp;"年度出願!$E:$E"),日付設定!$E$2,INDIRECT($A7&amp;"年度出願!$T:$T"),"&lt;&gt;"&amp;日付設定!$F$8&amp;"*",INDIRECT($A7&amp;"年度出願!$Y:$Y"),"&lt;&gt;"&amp;"")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N"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S",INDIRECT($A7&amp;"年度出願!$AS:$AS"),"N")
+COUNTIFS(INDIRECT($A7&amp;"年度出願!$AA:$AA"),"&lt;="&amp;日付設定!$B2,INDIRECT($A7&amp;"年度出願!$E:$E"),日付設定!$E$2,INDIRECT($A7&amp;"年度出願!$T:$T"),"&lt;&gt;"&amp;日付設定!$F$8&amp;"*",INDIRECT($A7&amp;"年度出願!$AG:$AG"),"&lt;&gt;"&amp;日付設定!$E$2)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",INDIRECT($A7&amp;"年度出願!$A:$A"),日付設定!$M$2)</f>
        <v>64</v>
      </c>
      <c r="D7" s="160">
        <f ca="1">COUNTIFS(INDIRECT($A7&amp;"年度出願!$AA:$AA"),"&lt;="&amp;日付設定!$B2,INDIRECT($A7&amp;"年度出願!$AG:$AG"),日付設定!$E$2,INDIRECT($A7&amp;"年度出願!$T:$T"),"&lt;&gt;"&amp;日付設定!$F$8&amp;"*")</f>
        <v>139</v>
      </c>
      <c r="E7" s="166">
        <f ca="1">COUNTIFS(INDIRECT($A7&amp;"年度出願!$M:$M"),"&lt;="&amp;日付設定!$B2,INDIRECT($A7&amp;"年度出願!$E:$E"),日付設定!$E$3,INDIRECT($A7&amp;"年度出願!$T:$T"),"&lt;&gt;"&amp;日付設定!$F$8&amp;"*")</f>
        <v>135</v>
      </c>
      <c r="F7" s="159">
        <f ca="1">COUNTIFS(INDIRECT($A7&amp;"年度出願!$Y:$Y"),"&lt;="&amp;日付設定!$B2,INDIRECT($A7&amp;"年度出願!$E:$E"),日付設定!$E$3,INDIRECT($A7&amp;"年度出願!$T:$T"),"&lt;&gt;"&amp;日付設定!$F$8&amp;"*",INDIRECT($A7&amp;"年度出願!$Y:$Y"),"&lt;&gt;"&amp;"")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N"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S",INDIRECT($A7&amp;"年度出願!$AS:$AS"),"N")
+COUNTIFS(INDIRECT($A7&amp;"年度出願!$AA:$AA"),"&lt;="&amp;日付設定!$B2,INDIRECT($A7&amp;"年度出願!$E:$E"),日付設定!$E$3,INDIRECT($A7&amp;"年度出願!$T:$T"),"&lt;&gt;"&amp;日付設定!$F$8&amp;"*",INDIRECT($A7&amp;"年度出願!$AG:$AG"),"&lt;&gt;"&amp;日付設定!$E$3)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",INDIRECT($A7&amp;"年度出願!$A:$A"),日付設定!$M$2)</f>
        <v>23</v>
      </c>
      <c r="G7" s="160">
        <f ca="1">COUNTIFS(INDIRECT($A7&amp;"年度出願!$AA:$AA"),"&lt;="&amp;日付設定!$B2,INDIRECT($A7&amp;"年度出願!$AG:$AG"),日付設定!$E$3,INDIRECT($A7&amp;"年度出願!$T:$T"),"&lt;&gt;"&amp;日付設定!$F$8&amp;"*")</f>
        <v>93</v>
      </c>
      <c r="K7" s="153"/>
      <c r="L7" s="151"/>
      <c r="M7" s="151"/>
    </row>
    <row r="8" spans="1:115" ht="51" customHeight="1" thickBot="1" x14ac:dyDescent="0.5">
      <c r="A8" s="225">
        <v>2025</v>
      </c>
      <c r="B8" s="214">
        <f ca="1">COUNTIFS(INDIRECT($A8&amp;"年度出願!$M:$M"),"&lt;="&amp;日付設定!$B3,INDIRECT($A8&amp;"年度出願!$E:$E"),日付設定!$E$2,INDIRECT($A8&amp;"年度出願!$T:$T"),"&lt;&gt;"&amp;日付設定!$F$8&amp;"*")</f>
        <v>205</v>
      </c>
      <c r="C8" s="215">
        <f ca="1">COUNTIFS(INDIRECT($A8&amp;"年度出願!$Y:$Y"),"&lt;="&amp;日付設定!$B3,INDIRECT($A8&amp;"年度出願!$E:$E"),日付設定!$E$2,INDIRECT($A8&amp;"年度出願!$T:$T"),"&lt;&gt;"&amp;日付設定!$F$8&amp;"*",INDIRECT($A8&amp;"年度出願!$Y:$Y"),"&lt;&gt;"&amp;"")
+COUNTIFS(INDIRECT($A8&amp;"年度出願!$M:$M"),"&lt;="&amp;日付設定!$B3,INDIRECT($A8&amp;"年度出願!$E:$E"),日付設定!$E$2,INDIRECT($A8&amp;"年度出願!$T:$T"),"&lt;&gt;"&amp;日付設定!$F$8&amp;"*",INDIRECT($A8&amp;"年度出願!$Y:$Y"),"",INDIRECT($A8&amp;"年度出願!$AR:$AR"),"N")
+COUNTIFS(INDIRECT($A8&amp;"年度出願!$M:$M"),"&lt;="&amp;日付設定!$B3,INDIRECT($A8&amp;"年度出願!$E:$E"),日付設定!$E$2,INDIRECT($A8&amp;"年度出願!$T:$T"),"&lt;&gt;"&amp;日付設定!$F$8&amp;"*",INDIRECT($A8&amp;"年度出願!$Y:$Y"),"",INDIRECT($A8&amp;"年度出願!$AR:$AR"),"S",INDIRECT($A8&amp;"年度出願!$AS:$AS"),"N")
+COUNTIFS(INDIRECT($A8&amp;"年度出願!$AA:$AA"),"&lt;="&amp;日付設定!$B3,INDIRECT($A8&amp;"年度出願!$E:$E"),日付設定!$E$2,INDIRECT($A8&amp;"年度出願!$T:$T"),"&lt;&gt;"&amp;日付設定!$F$8&amp;"*",INDIRECT($A8&amp;"年度出願!$AG:$AG"),"&lt;&gt;"&amp;日付設定!$E$2)
+COUNTIFS(INDIRECT($A8&amp;"年度出願!$M:$M"),"&lt;="&amp;日付設定!$B3,INDIRECT($A8&amp;"年度出願!$E:$E"),日付設定!$E$2,INDIRECT($A8&amp;"年度出願!$T:$T"),"&lt;&gt;"&amp;日付設定!$F$8&amp;"*",INDIRECT($A8&amp;"年度出願!$Y:$Y"),"",INDIRECT($A8&amp;"年度出願!$AR:$AR"),"",INDIRECT($A8&amp;"年度出願!$A:$A"),日付設定!$M$2)</f>
        <v>30</v>
      </c>
      <c r="D8" s="216">
        <f ca="1">COUNTIFS(INDIRECT($A8&amp;"年度出願!$AA:$AA"),"&lt;="&amp;日付設定!$B3,INDIRECT($A8&amp;"年度出願!$AG:$AG"),日付設定!$E$2,INDIRECT($A8&amp;"年度出願!$T:$T"),"&lt;&gt;"&amp;日付設定!$F$8&amp;"*")</f>
        <v>175</v>
      </c>
      <c r="E8" s="214">
        <f ca="1">COUNTIFS(INDIRECT($A8&amp;"年度出願!$M:$M"),"&lt;="&amp;日付設定!$B3,INDIRECT($A8&amp;"年度出願!$E:$E"),日付設定!$E$3,INDIRECT($A8&amp;"年度出願!$T:$T"),"&lt;&gt;"&amp;日付設定!$F$8&amp;"*")</f>
        <v>204</v>
      </c>
      <c r="F8" s="215">
        <f ca="1">COUNTIFS(INDIRECT($A8&amp;"年度出願!$Y:$Y"),"&lt;="&amp;日付設定!$B3,INDIRECT($A8&amp;"年度出願!$E:$E"),日付設定!$E$3,INDIRECT($A8&amp;"年度出願!$T:$T"),"&lt;&gt;"&amp;日付設定!$F$8&amp;"*",INDIRECT($A8&amp;"年度出願!$Y:$Y"),"&lt;&gt;"&amp;"")
+COUNTIFS(INDIRECT($A8&amp;"年度出願!$M:$M"),"&lt;="&amp;日付設定!$B3,INDIRECT($A8&amp;"年度出願!$E:$E"),日付設定!$E$3,INDIRECT($A8&amp;"年度出願!$T:$T"),"&lt;&gt;"&amp;日付設定!$F$8&amp;"*",INDIRECT($A8&amp;"年度出願!$Y:$Y"),"",INDIRECT($A8&amp;"年度出願!$AR:$AR"),"N")
+COUNTIFS(INDIRECT($A8&amp;"年度出願!$M:$M"),"&lt;="&amp;日付設定!$B3,INDIRECT($A8&amp;"年度出願!$E:$E"),日付設定!$E$3,INDIRECT($A8&amp;"年度出願!$T:$T"),"&lt;&gt;"&amp;日付設定!$F$8&amp;"*",INDIRECT($A8&amp;"年度出願!$Y:$Y"),"",INDIRECT($A8&amp;"年度出願!$AR:$AR"),"S",INDIRECT($A8&amp;"年度出願!$AS:$AS"),"N")
+COUNTIFS(INDIRECT($A8&amp;"年度出願!$AA:$AA"),"&lt;="&amp;日付設定!$B3,INDIRECT($A8&amp;"年度出願!$E:$E"),日付設定!$E$3,INDIRECT($A8&amp;"年度出願!$T:$T"),"&lt;&gt;"&amp;日付設定!$F$8&amp;"*",INDIRECT($A8&amp;"年度出願!$AG:$AG"),"&lt;&gt;"&amp;日付設定!$E$3)
+COUNTIFS(INDIRECT($A8&amp;"年度出願!$M:$M"),"&lt;="&amp;日付設定!$B3,INDIRECT($A8&amp;"年度出願!$E:$E"),日付設定!$E$3,INDIRECT($A8&amp;"年度出願!$T:$T"),"&lt;&gt;"&amp;日付設定!$F$8&amp;"*",INDIRECT($A8&amp;"年度出願!$Y:$Y"),"",INDIRECT($A8&amp;"年度出願!$AR:$AR"),"",INDIRECT($A8&amp;"年度出願!$A:$A"),日付設定!$M$2)</f>
        <v>26</v>
      </c>
      <c r="G8" s="216">
        <f ca="1">COUNTIFS(INDIRECT($A8&amp;"年度出願!$AA:$AA"),"&lt;="&amp;日付設定!$B3,INDIRECT($A8&amp;"年度出願!$AG:$AG"),日付設定!$E$3,INDIRECT($A8&amp;"年度出願!$T:$T"),"&lt;&gt;"&amp;日付設定!$F$8&amp;"*")</f>
        <v>178</v>
      </c>
      <c r="K8" s="153"/>
      <c r="L8" s="151"/>
      <c r="M8" s="151"/>
    </row>
    <row r="9" spans="1:115" s="169" customFormat="1" ht="51" customHeight="1" thickTop="1" x14ac:dyDescent="0.45">
      <c r="A9" s="226" t="s">
        <v>1335</v>
      </c>
      <c r="B9" s="166">
        <f ca="1">B6-B7</f>
        <v>-121</v>
      </c>
      <c r="C9" s="159">
        <f t="shared" ref="C9:G9" ca="1" si="0">C6-C7</f>
        <v>-63</v>
      </c>
      <c r="D9" s="160">
        <f t="shared" ca="1" si="0"/>
        <v>-99</v>
      </c>
      <c r="E9" s="166">
        <f t="shared" ca="1" si="0"/>
        <v>-19</v>
      </c>
      <c r="F9" s="159">
        <f t="shared" ca="1" si="0"/>
        <v>-23</v>
      </c>
      <c r="G9" s="160">
        <f t="shared" ca="1" si="0"/>
        <v>-55</v>
      </c>
    </row>
    <row r="10" spans="1:115" ht="51" customHeight="1" thickBot="1" x14ac:dyDescent="0.5">
      <c r="A10" s="220" t="s">
        <v>1335</v>
      </c>
      <c r="B10" s="209">
        <f ca="1">B6-B8</f>
        <v>-86</v>
      </c>
      <c r="C10" s="210">
        <f t="shared" ref="C10:G10" ca="1" si="1">C6-C8</f>
        <v>-29</v>
      </c>
      <c r="D10" s="211">
        <f t="shared" ca="1" si="1"/>
        <v>-135</v>
      </c>
      <c r="E10" s="209">
        <f t="shared" ca="1" si="1"/>
        <v>-88</v>
      </c>
      <c r="F10" s="210">
        <f t="shared" ca="1" si="1"/>
        <v>-26</v>
      </c>
      <c r="G10" s="211">
        <f t="shared" ca="1" si="1"/>
        <v>-140</v>
      </c>
    </row>
    <row r="11" spans="1:115" x14ac:dyDescent="0.45">
      <c r="R11" s="65"/>
    </row>
    <row r="13" spans="1:115" ht="22.8" thickBot="1" x14ac:dyDescent="0.5">
      <c r="A13" s="109" t="s">
        <v>1352</v>
      </c>
    </row>
    <row r="14" spans="1:115" ht="53.25" customHeight="1" x14ac:dyDescent="0.45">
      <c r="A14" s="113"/>
      <c r="B14" s="85"/>
      <c r="C14" s="177" t="s">
        <v>1643</v>
      </c>
      <c r="D14" s="178"/>
      <c r="E14" s="179"/>
      <c r="F14" s="177" t="s">
        <v>1644</v>
      </c>
      <c r="G14" s="178"/>
      <c r="H14" s="179"/>
      <c r="I14" s="177" t="s">
        <v>1342</v>
      </c>
      <c r="J14" s="178"/>
      <c r="K14" s="179"/>
      <c r="L14" s="177" t="s">
        <v>1347</v>
      </c>
      <c r="M14" s="178"/>
      <c r="N14" s="179"/>
      <c r="O14" s="177" t="s">
        <v>1357</v>
      </c>
      <c r="P14" s="178"/>
      <c r="Q14" s="179"/>
      <c r="R14" s="177" t="s">
        <v>1356</v>
      </c>
      <c r="S14" s="178"/>
      <c r="T14" s="179"/>
      <c r="U14" s="177" t="s">
        <v>1345</v>
      </c>
      <c r="V14" s="178"/>
      <c r="W14" s="179"/>
      <c r="X14" s="177" t="s">
        <v>1341</v>
      </c>
      <c r="Y14" s="178"/>
      <c r="Z14" s="179"/>
      <c r="AA14" s="177" t="s">
        <v>1346</v>
      </c>
      <c r="AB14" s="178"/>
      <c r="AC14" s="179"/>
      <c r="AD14" s="177" t="s">
        <v>1344</v>
      </c>
      <c r="AE14" s="178"/>
      <c r="AF14" s="179"/>
      <c r="AG14" s="177" t="s">
        <v>4847</v>
      </c>
      <c r="AH14" s="178"/>
      <c r="AI14" s="179"/>
      <c r="AJ14" s="177" t="s">
        <v>1333</v>
      </c>
      <c r="AK14" s="178"/>
      <c r="AL14" s="17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</row>
    <row r="15" spans="1:115" ht="53.25" customHeight="1" thickBot="1" x14ac:dyDescent="0.5">
      <c r="A15" s="114"/>
      <c r="B15" s="84"/>
      <c r="C15" s="83" t="s">
        <v>1365</v>
      </c>
      <c r="D15" s="83" t="s">
        <v>2870</v>
      </c>
      <c r="E15" s="80" t="s">
        <v>2851</v>
      </c>
      <c r="F15" s="83" t="s">
        <v>1365</v>
      </c>
      <c r="G15" s="83" t="s">
        <v>2870</v>
      </c>
      <c r="H15" s="80" t="s">
        <v>2851</v>
      </c>
      <c r="I15" s="83" t="s">
        <v>1365</v>
      </c>
      <c r="J15" s="83" t="s">
        <v>2870</v>
      </c>
      <c r="K15" s="80" t="s">
        <v>2851</v>
      </c>
      <c r="L15" s="83" t="s">
        <v>1365</v>
      </c>
      <c r="M15" s="83" t="s">
        <v>2870</v>
      </c>
      <c r="N15" s="80" t="s">
        <v>2851</v>
      </c>
      <c r="O15" s="83" t="s">
        <v>1365</v>
      </c>
      <c r="P15" s="83" t="s">
        <v>2870</v>
      </c>
      <c r="Q15" s="80" t="s">
        <v>2851</v>
      </c>
      <c r="R15" s="83" t="s">
        <v>1365</v>
      </c>
      <c r="S15" s="83" t="s">
        <v>2870</v>
      </c>
      <c r="T15" s="80" t="s">
        <v>2851</v>
      </c>
      <c r="U15" s="83" t="s">
        <v>1365</v>
      </c>
      <c r="V15" s="83" t="s">
        <v>2870</v>
      </c>
      <c r="W15" s="80" t="s">
        <v>2851</v>
      </c>
      <c r="X15" s="83" t="s">
        <v>1365</v>
      </c>
      <c r="Y15" s="83" t="s">
        <v>2870</v>
      </c>
      <c r="Z15" s="80" t="s">
        <v>2851</v>
      </c>
      <c r="AA15" s="83" t="s">
        <v>1365</v>
      </c>
      <c r="AB15" s="83" t="s">
        <v>2870</v>
      </c>
      <c r="AC15" s="80" t="s">
        <v>2851</v>
      </c>
      <c r="AD15" s="83" t="s">
        <v>1365</v>
      </c>
      <c r="AE15" s="83" t="s">
        <v>2870</v>
      </c>
      <c r="AF15" s="80" t="s">
        <v>2851</v>
      </c>
      <c r="AG15" s="83" t="s">
        <v>1365</v>
      </c>
      <c r="AH15" s="83" t="s">
        <v>2870</v>
      </c>
      <c r="AI15" s="80" t="s">
        <v>2851</v>
      </c>
      <c r="AJ15" s="83" t="s">
        <v>1365</v>
      </c>
      <c r="AK15" s="83" t="s">
        <v>2870</v>
      </c>
      <c r="AL15" s="80" t="s">
        <v>2851</v>
      </c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</row>
    <row r="16" spans="1:115" ht="53.25" customHeight="1" thickTop="1" x14ac:dyDescent="0.45">
      <c r="A16" s="181" t="s">
        <v>1340</v>
      </c>
      <c r="B16" s="150">
        <v>2027</v>
      </c>
      <c r="C16" s="166">
        <f ca="1">COUNTIFS(INDIRECT($B16&amp;"年度出願!$M:$M"),"&lt;="&amp;日付設定!$B1,INDIRECT($B16&amp;"年度出願!$E:$E"),日付設定!$E$2,INDIRECT($B16&amp;"年度出願!$T:$T"),日付設定!$F$4,INDIRECT($B16&amp;"年度出願!$R:$R"),2)</f>
        <v>53</v>
      </c>
      <c r="D16" s="159">
        <f ca="1">COUNTIFS(INDIRECT($B16&amp;"年度出願!$Y:$Y"),"&lt;="&amp;日付設定!$B1,INDIRECT($B16&amp;"年度出願!$E:$E"),日付設定!$E$2,INDIRECT($B16&amp;"年度出願!$T:$T"),日付設定!$F$4,INDIRECT($B16&amp;"年度出願!$R:$R"),2,INDIRECT($B16&amp;"年度出願!$Y:$Y"),"&lt;&gt;"&amp;""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$4,INDIRECT($B16&amp;"年度出願!$R:$R"),2,INDIRECT($B16&amp;"年度出願!$AG:$AG"),"&lt;&gt;"&amp;日付設定!$E$2)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",INDIRECT($B16&amp;"年度出願!$A:$A"),日付設定!$M$2)</f>
        <v>0</v>
      </c>
      <c r="E16" s="160">
        <f ca="1">COUNTIFS(INDIRECT($B16&amp;"年度出願!$AA:$AA"),"&lt;="&amp;日付設定!$B1,INDIRECT($B16&amp;"年度出願!$AG:$AG"),日付設定!$E$2,INDIRECT($B16&amp;"年度出願!$T:$T"),日付設定!$F$4,INDIRECT($B16&amp;"年度出願!$R:$R"),2)</f>
        <v>12</v>
      </c>
      <c r="F16" s="166">
        <f ca="1">COUNTIFS(INDIRECT($B16&amp;"年度出願!$M:$M"),"&lt;="&amp;日付設定!$B1,INDIRECT($B16&amp;"年度出願!$E:$E"),日付設定!$E$2,INDIRECT($B16&amp;"年度出願!$T:$T"),日付設定!$F$4,INDIRECT($B16&amp;"年度出願!$R:$R"),1)</f>
        <v>7</v>
      </c>
      <c r="G16" s="159">
        <f ca="1">COUNTIFS(INDIRECT($B16&amp;"年度出願!$Y:$Y"),"&lt;="&amp;日付設定!$B1,INDIRECT($B16&amp;"年度出願!$E:$E"),日付設定!$E$2,INDIRECT($B16&amp;"年度出願!$T:$T"),日付設定!$F$4,INDIRECT($B16&amp;"年度出願!$R:$R"),1,INDIRECT($B16&amp;"年度出願!$Y:$Y"),"&lt;&gt;"&amp;""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$4,INDIRECT($B16&amp;"年度出願!$R:$R"),1,INDIRECT($B16&amp;"年度出願!$AG:$AG"),"&lt;&gt;"&amp;日付設定!$E$2)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",INDIRECT($B16&amp;"年度出願!$A:$A"),日付設定!$M$2)</f>
        <v>0</v>
      </c>
      <c r="H16" s="160">
        <f ca="1">COUNTIFS(INDIRECT($B16&amp;"年度出願!$AA:$AA"),"&lt;="&amp;日付設定!$B1,INDIRECT($B16&amp;"年度出願!$AG:$AG"),日付設定!$E$2,INDIRECT($B16&amp;"年度出願!$T:$T"),日付設定!$F$4,INDIRECT($B16&amp;"年度出願!$R:$R"),1)</f>
        <v>0</v>
      </c>
      <c r="I16" s="166">
        <f ca="1">COUNTIFS(INDIRECT($B16&amp;"年度出願!$M:$M"),"&lt;="&amp;日付設定!$B1,INDIRECT($B16&amp;"年度出願!$E:$E"),日付設定!$E$2,INDIRECT($B16&amp;"年度出願!$T:$T"),日付設定!$F$6)</f>
        <v>18</v>
      </c>
      <c r="J16" s="159">
        <f ca="1">COUNTIFS(INDIRECT($B16&amp;"年度出願!$Y:$Y"),"&lt;="&amp;日付設定!$B1,INDIRECT($B16&amp;"年度出願!$E:$E"),日付設定!$E$2,INDIRECT($B16&amp;"年度出願!$T:$T"),日付設定!$F$6,INDIRECT($B16&amp;"年度出願!$Y:$Y"),"&lt;&gt;"&amp;"")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+COUNTIFS(INDIRECT($B16&amp;"年度出願!$AA:$AA"),"&lt;="&amp;日付設定!$B1,INDIRECT($B16&amp;"年度出願!$E:$E"),日付設定!$E$2,INDIRECT($B16&amp;"年度出願!$T:$T"),日付設定!$F$6,INDIRECT($B16&amp;"年度出願!$AG:$AG"),"&lt;&gt;"&amp;日付設定!$E$2)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",INDIRECT($B16&amp;"年度出願!$A:$A"),日付設定!$M$2)</f>
        <v>1</v>
      </c>
      <c r="K16" s="160">
        <f ca="1">COUNTIFS(INDIRECT($B16&amp;"年度出願!$AA:$AA"),"&lt;="&amp;日付設定!$B1,INDIRECT($B16&amp;"年度出願!$AG:$AG"),日付設定!$E$2,INDIRECT($B16&amp;"年度出願!$T:$T"),日付設定!$F$6)</f>
        <v>10</v>
      </c>
      <c r="L16" s="166">
        <f ca="1">COUNTIFS(INDIRECT($B16&amp;"年度出願!$M:$M"),"&lt;="&amp;日付設定!$B1,INDIRECT($B16&amp;"年度出願!$E:$E"),日付設定!$E$2,INDIRECT($B16&amp;"年度出願!$T:$T"),日付設定!$F$10)</f>
        <v>20</v>
      </c>
      <c r="M16" s="159">
        <f ca="1">COUNTIFS(INDIRECT($B16&amp;"年度出願!$Y:$Y"),"&lt;="&amp;日付設定!$B1,INDIRECT($B16&amp;"年度出願!$E:$E"),日付設定!$E$2,INDIRECT($B16&amp;"年度出願!$T:$T"),日付設定!$F$10,INDIRECT($B16&amp;"年度出願!$Y:$Y"),"&lt;&gt;"&amp;"")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+COUNTIFS(INDIRECT($B16&amp;"年度出願!$AA:$AA"),"&lt;="&amp;日付設定!$B1,INDIRECT($B16&amp;"年度出願!$E:$E"),日付設定!$E$2,INDIRECT($B16&amp;"年度出願!$T:$T"),日付設定!$F$10,INDIRECT($B16&amp;"年度出願!$AG:$AG"),"&lt;&gt;"&amp;日付設定!$E$2)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",INDIRECT($B16&amp;"年度出願!$A:$A"),日付設定!$M$2)</f>
        <v>0</v>
      </c>
      <c r="N16" s="160">
        <f ca="1">COUNTIFS(INDIRECT($B16&amp;"年度出願!$AA:$AA"),"&lt;="&amp;日付設定!$B1,INDIRECT($B16&amp;"年度出願!$AG:$AG"),日付設定!$E$2,INDIRECT($B16&amp;"年度出願!$T:$T"),日付設定!$F$10)</f>
        <v>10</v>
      </c>
      <c r="O16" s="166">
        <f ca="1">COUNTIFS(INDIRECT($B16&amp;"年度出願!$M:$M"),"&lt;="&amp;日付設定!$B1,INDIRECT($B16&amp;"年度出願!$E:$E"),日付設定!$E$2,INDIRECT($B16&amp;"年度出願!$Q:$Q"),日付設定!$H$2)</f>
        <v>0</v>
      </c>
      <c r="P16" s="159">
        <f ca="1">COUNTIFS(INDIRECT($B16&amp;"年度出願!$Y:$Y"),"&lt;="&amp;日付設定!$B1,INDIRECT($B16&amp;"年度出願!$E:$E"),日付設定!$E$2,INDIRECT($B16&amp;"年度出願!$Q:$Q"),日付設定!$H$2,INDIRECT($B16&amp;"年度出願!$Y:$Y"),"&lt;&gt;"&amp;"")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N"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+COUNTIFS(INDIRECT($B16&amp;"年度出願!$AA:$AA"),"&lt;="&amp;日付設定!$B1,INDIRECT($B16&amp;"年度出願!$E:$E"),日付設定!$E$2,INDIRECT($B16&amp;"年度出願!$Q:$Q"),日付設定!$H$2,INDIRECT($B16&amp;"年度出願!$AG:$AG"),"&lt;&gt;"&amp;日付設定!$E$2)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",INDIRECT($B16&amp;"年度出願!$A:$A"),日付設定!$M$2)</f>
        <v>0</v>
      </c>
      <c r="Q16" s="160">
        <f ca="1">COUNTIFS(INDIRECT($B16&amp;"年度出願!$AA:$AA"),"&lt;="&amp;日付設定!$B1,INDIRECT($B16&amp;"年度出願!$AG:$AG"),日付設定!$E$2,INDIRECT($B16&amp;"年度出願!$Q:$Q"),日付設定!$H$2)</f>
        <v>0</v>
      </c>
      <c r="R16" s="166">
        <f ca="1">COUNTIFS(INDIRECT($B16&amp;"年度出願!$M:$M"),"&lt;="&amp;日付設定!$B1,INDIRECT($B16&amp;"年度出願!$E:$E"),日付設定!$E$2,INDIRECT($B16&amp;"年度出願!$Q:$Q"),日付設定!$G$2)</f>
        <v>0</v>
      </c>
      <c r="S16" s="159">
        <f ca="1">COUNTIFS(INDIRECT($B16&amp;"年度出願!$Y:$Y"),"&lt;="&amp;日付設定!$B1,INDIRECT($B16&amp;"年度出願!$E:$E"),日付設定!$E$2,INDIRECT($B16&amp;"年度出願!$Q:$Q"),日付設定!$G$2,INDIRECT($B16&amp;"年度出願!$Y:$Y"),"&lt;&gt;"&amp;"")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N"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+COUNTIFS(INDIRECT($B16&amp;"年度出願!$AA:$AA"),"&lt;="&amp;日付設定!$B1,INDIRECT($B16&amp;"年度出願!$E:$E"),日付設定!$E$2,INDIRECT($B16&amp;"年度出願!$Q:$Q"),日付設定!$G$2,INDIRECT($B16&amp;"年度出願!$AG:$AG"),"&lt;&gt;"&amp;日付設定!$E$2)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",INDIRECT($B16&amp;"年度出願!$A:$A"),日付設定!$M$2)</f>
        <v>0</v>
      </c>
      <c r="T16" s="160">
        <f ca="1">COUNTIFS(INDIRECT($B16&amp;"年度出願!$AA:$AA"),"&lt;="&amp;日付設定!$B1,INDIRECT($B16&amp;"年度出願!$AG:$AG"),日付設定!$E$2,INDIRECT($B16&amp;"年度出願!$Q:$Q"),日付設定!$G$2)</f>
        <v>0</v>
      </c>
      <c r="U16" s="166">
        <f ca="1">COUNTIFS(INDIRECT($B16&amp;"年度出願!$M:$M"),"&lt;="&amp;日付設定!$B1,INDIRECT($B16&amp;"年度出願!$E:$E"),日付設定!$E$2,INDIRECT($B16&amp;"年度出願!$T:$T"),日付設定!$F$3)</f>
        <v>0</v>
      </c>
      <c r="V16" s="159">
        <f ca="1">COUNTIFS(INDIRECT($B16&amp;"年度出願!$Y:$Y"),"&lt;="&amp;日付設定!$B1,INDIRECT($B16&amp;"年度出願!$E:$E"),日付設定!$E$2,INDIRECT($B16&amp;"年度出願!$T:$T"),日付設定!$F$3,INDIRECT($B16&amp;"年度出願!$Y:$Y"),"&lt;&gt;"&amp;"")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+COUNTIFS(INDIRECT($B16&amp;"年度出願!$AA:$AA"),"&lt;="&amp;日付設定!$B1,INDIRECT($B16&amp;"年度出願!$E:$E"),日付設定!$E$2,INDIRECT($B16&amp;"年度出願!$T:$T"),日付設定!$F$3,INDIRECT($B16&amp;"年度出願!$AG:$AG"),"&lt;&gt;"&amp;日付設定!$E$2)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",INDIRECT($B16&amp;"年度出願!$A:$A"),日付設定!$M$2)</f>
        <v>0</v>
      </c>
      <c r="W16" s="160">
        <f ca="1">COUNTIFS(INDIRECT($B16&amp;"年度出願!$AA:$AA"),"&lt;="&amp;日付設定!$B1,INDIRECT($B16&amp;"年度出願!$AG:$AG"),日付設定!$E$2,INDIRECT($B16&amp;"年度出願!$T:$T"),日付設定!$F$3)</f>
        <v>0</v>
      </c>
      <c r="X16" s="166">
        <f ca="1">COUNTIFS(INDIRECT($B16&amp;"年度出願!$M:$M"),"&lt;="&amp;日付設定!$B1,INDIRECT($B16&amp;"年度出願!$E:$E"),日付設定!$E$2,INDIRECT($B16&amp;"年度出願!$T:$T"),日付設定!$F$5)</f>
        <v>15</v>
      </c>
      <c r="Y16" s="159">
        <f ca="1">COUNTIFS(INDIRECT($B16&amp;"年度出願!$Y:$Y"),"&lt;="&amp;日付設定!$B1,INDIRECT($B16&amp;"年度出願!$E:$E"),日付設定!$E$2,INDIRECT($B16&amp;"年度出願!$T:$T"),日付設定!$F$5,INDIRECT($B16&amp;"年度出願!$Y:$Y"),"&lt;&gt;"&amp;"")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+COUNTIFS(INDIRECT($B16&amp;"年度出願!$AA:$AA"),"&lt;="&amp;日付設定!$B1,INDIRECT($B16&amp;"年度出願!$E:$E"),日付設定!$E$2,INDIRECT($B16&amp;"年度出願!$T:$T"),日付設定!$F$5,INDIRECT($B16&amp;"年度出願!$AG:$AG"),"&lt;&gt;"&amp;日付設定!$E$2)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",INDIRECT($B16&amp;"年度出願!$A:$A"),日付設定!$M$2)</f>
        <v>0</v>
      </c>
      <c r="Z16" s="160">
        <f ca="1">COUNTIFS(INDIRECT($B16&amp;"年度出願!$AA:$AA"),"&lt;="&amp;日付設定!$B1,INDIRECT($B16&amp;"年度出願!$AG:$AG"),日付設定!$E$2,INDIRECT($B16&amp;"年度出願!$T:$T"),日付設定!$F$5)</f>
        <v>6</v>
      </c>
      <c r="AA16" s="166">
        <f ca="1">COUNTIFS(INDIRECT($B16&amp;"年度出願!$M:$M"),"&lt;="&amp;日付設定!$B1,INDIRECT($B16&amp;"年度出願!$E:$E"),日付設定!$E$2,INDIRECT($B16&amp;"年度出願!$T:$T"),日付設定!$F$9)</f>
        <v>6</v>
      </c>
      <c r="AB16" s="159">
        <f ca="1">COUNTIFS(INDIRECT($B16&amp;"年度出願!$Y:$Y"),"&lt;="&amp;日付設定!$B1,INDIRECT($B16&amp;"年度出願!$E:$E"),日付設定!$E$2,INDIRECT($B16&amp;"年度出願!$T:$T"),日付設定!$F$9,INDIRECT($B16&amp;"年度出願!$Y:$Y"),"&lt;&gt;"&amp;"")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+COUNTIFS(INDIRECT($B16&amp;"年度出願!$AA:$AA"),"&lt;="&amp;日付設定!$B1,INDIRECT($B16&amp;"年度出願!$E:$E"),日付設定!$E$2,INDIRECT($B16&amp;"年度出願!$T:$T"),日付設定!$F$9,INDIRECT($B16&amp;"年度出願!$AG:$AG"),"&lt;&gt;"&amp;日付設定!$E$2)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",INDIRECT($B16&amp;"年度出願!$A:$A"),日付設定!$M$2)</f>
        <v>0</v>
      </c>
      <c r="AC16" s="160">
        <f ca="1">COUNTIFS(INDIRECT($B16&amp;"年度出願!$AA:$AA"),"&lt;="&amp;日付設定!$B1,INDIRECT($B16&amp;"年度出願!$AG:$AG"),日付設定!$E$2,INDIRECT($B16&amp;"年度出願!$T:$T"),日付設定!$F$9)</f>
        <v>2</v>
      </c>
      <c r="AD16" s="166">
        <f ca="1">COUNTIFS(INDIRECT($B16&amp;"年度出願!$M:$M"),"&lt;="&amp;日付設定!$B1,INDIRECT($B16&amp;"年度出願!$E:$E"),日付設定!$E$2,INDIRECT($B16&amp;"年度出願!$T:$T"),日付設定!$F$7)</f>
        <v>0</v>
      </c>
      <c r="AE16" s="159">
        <f ca="1">COUNTIFS(INDIRECT($B16&amp;"年度出願!$Y:$Y"),"&lt;="&amp;日付設定!$B1,INDIRECT($B16&amp;"年度出願!$E:$E"),日付設定!$E$2,INDIRECT($B16&amp;"年度出願!$T:$T"),日付設定!$F$7,INDIRECT($B16&amp;"年度出願!$Y:$Y"),"&lt;&gt;"&amp;"")
+COUNTIFS(INDIRECT($B16&amp;"年度出願!$M:$M"),"&lt;="&amp;日付設定!$B1,INDIRECT($B16&amp;"年度出願!$E:$E"),日付設定!$E$2,INDIRECT($B16&amp;"年度出願!$T:$T"),日付設定!$F$7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$7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+COUNTIFS(INDIRECT($B16&amp;"年度出願!$AA:$AA"),"&lt;="&amp;日付設定!$B1,INDIRECT($B16&amp;"年度出願!$E:$E"),日付設定!$E$2,INDIRECT($B16&amp;"年度出願!$T:$T"),日付設定!$F$7,INDIRECT($B16&amp;"年度出願!$AG:$AG"),"&lt;&gt;"&amp;日付設定!$E$2)</f>
        <v>0</v>
      </c>
      <c r="AF16" s="160">
        <f ca="1">COUNTIFS(INDIRECT($B16&amp;"年度出願!$AA:$AA"),"&lt;="&amp;日付設定!$B1,INDIRECT($B16&amp;"年度出願!$AG:$AG"),日付設定!$E$2,INDIRECT($B16&amp;"年度出願!$T:$T"),日付設定!$F$7)</f>
        <v>0</v>
      </c>
      <c r="AG16" s="166">
        <f ca="1">COUNTIFS(INDIRECT($B16&amp;"年度出願!$M:$M"),"&lt;="&amp;日付設定!$B1,INDIRECT($B16&amp;"年度出願!$E:$E"),日付設定!$E$2,INDIRECT($B16&amp;"年度出願!$T:$T"),日付設定!$F$11)</f>
        <v>0</v>
      </c>
      <c r="AH16" s="159">
        <f ca="1">COUNTIFS(INDIRECT($B16&amp;"年度出願!$Y:$Y"),"&lt;="&amp;日付設定!$B1,INDIRECT($B16&amp;"年度出願!$E:$E"),日付設定!$E$2,INDIRECT($B16&amp;"年度出願!$T:$T"),日付設定!$F$11,INDIRECT($B16&amp;"年度出願!$Y:$Y"),"&lt;&gt;"&amp;"")
+COUNTIFS(INDIRECT($B16&amp;"年度出願!$M:$M"),"&lt;="&amp;日付設定!$B1,INDIRECT($B16&amp;"年度出願!$E:$E"),日付設定!$E$2,INDIRECT($B16&amp;"年度出願!$T:$T"),日付設定!$F$11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$11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+COUNTIFS(INDIRECT($B16&amp;"年度出願!$AA:$AA"),"&lt;="&amp;日付設定!$B1,INDIRECT($B16&amp;"年度出願!$E:$E"),日付設定!$E$2,INDIRECT($B16&amp;"年度出願!$T:$T"),日付設定!$F$11,INDIRECT($B16&amp;"年度出願!$AG:$AG"),"&lt;&gt;"&amp;日付設定!$E$2)</f>
        <v>0</v>
      </c>
      <c r="AI16" s="160">
        <f ca="1">COUNTIFS(INDIRECT($B16&amp;"年度出願!$AA:$AA"),"&lt;="&amp;日付設定!$B1,INDIRECT($B16&amp;"年度出願!$AG:$AG"),日付設定!$E$2,INDIRECT($B16&amp;"年度出願!$T:$T"),日付設定!$F$11)</f>
        <v>0</v>
      </c>
      <c r="AJ16" s="166">
        <f ca="1">SUM(C16,F16,I16,L16,O16,R16,U16,X16,AA16,AD16,AG16)</f>
        <v>119</v>
      </c>
      <c r="AK16" s="159">
        <f ca="1">SUM(D16,G16,J16,M16,P16,S16,V16,Y16,AB16,AE16,AH16)</f>
        <v>1</v>
      </c>
      <c r="AL16" s="160">
        <f ca="1">SUM(E16,H16,K16,N16,Q16,T16,W16,Z16,AC16,AF16,AI16)</f>
        <v>40</v>
      </c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</row>
    <row r="17" spans="1:115" ht="53.25" customHeight="1" x14ac:dyDescent="0.45">
      <c r="A17" s="182"/>
      <c r="B17" s="149">
        <v>2026</v>
      </c>
      <c r="C17" s="166">
        <f ca="1">COUNTIFS(INDIRECT($B17&amp;"年度出願!$M:$M"),"&lt;="&amp;日付設定!$B2,INDIRECT($B17&amp;"年度出願!$E:$E"),日付設定!$E$2,INDIRECT($B17&amp;"年度出願!$T:$T"),日付設定!$F$4,INDIRECT($B17&amp;"年度出願!$R:$R"),2)</f>
        <v>72</v>
      </c>
      <c r="D17" s="159">
        <f ca="1">COUNTIFS(INDIRECT($B17&amp;"年度出願!$Y:$Y"),"&lt;="&amp;日付設定!$B2,INDIRECT($B17&amp;"年度出願!$E:$E"),日付設定!$E$2,INDIRECT($B17&amp;"年度出願!$T:$T"),日付設定!$F$4,INDIRECT($B17&amp;"年度出願!$R:$R"),2,INDIRECT($B17&amp;"年度出願!$Y:$Y"),"&lt;&gt;"&amp;""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$4,INDIRECT($B17&amp;"年度出願!$R:$R"),2,INDIRECT($B17&amp;"年度出願!$AG:$AG"),"&lt;&gt;"&amp;日付設定!$E$2)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",INDIRECT($B17&amp;"年度出願!$A:$A"),日付設定!$M$2)</f>
        <v>12</v>
      </c>
      <c r="E17" s="160">
        <f ca="1">COUNTIFS(INDIRECT($B17&amp;"年度出願!$AA:$AA"),"&lt;="&amp;日付設定!$B2,INDIRECT($B17&amp;"年度出願!$AG:$AG"),日付設定!$E$2,INDIRECT($B17&amp;"年度出願!$T:$T"),日付設定!$F$4,INDIRECT($B17&amp;"年度出願!$R:$R"),2)</f>
        <v>52</v>
      </c>
      <c r="F17" s="166">
        <f ca="1">COUNTIFS(INDIRECT($B17&amp;"年度出願!$M:$M"),"&lt;="&amp;日付設定!$B2,INDIRECT($B17&amp;"年度出願!$E:$E"),日付設定!$E$2,INDIRECT($B17&amp;"年度出願!$T:$T"),日付設定!$F$4,INDIRECT($B17&amp;"年度出願!$R:$R"),1)</f>
        <v>22</v>
      </c>
      <c r="G17" s="159">
        <f ca="1">COUNTIFS(INDIRECT($B17&amp;"年度出願!$Y:$Y"),"&lt;="&amp;日付設定!$B2,INDIRECT($B17&amp;"年度出願!$E:$E"),日付設定!$E$2,INDIRECT($B17&amp;"年度出願!$T:$T"),日付設定!$F$4,INDIRECT($B17&amp;"年度出願!$R:$R"),1,INDIRECT($B17&amp;"年度出願!$Y:$Y"),"&lt;&gt;"&amp;""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$4,INDIRECT($B17&amp;"年度出願!$R:$R"),1,INDIRECT($B17&amp;"年度出願!$AG:$AG"),"&lt;&gt;"&amp;日付設定!$E$2)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",INDIRECT($B17&amp;"年度出願!$A:$A"),日付設定!$M$2)</f>
        <v>10</v>
      </c>
      <c r="H17" s="160">
        <f ca="1">COUNTIFS(INDIRECT($B17&amp;"年度出願!$AA:$AA"),"&lt;="&amp;日付設定!$B2,INDIRECT($B17&amp;"年度出願!$AG:$AG"),日付設定!$E$2,INDIRECT($B17&amp;"年度出願!$T:$T"),日付設定!$F$4,INDIRECT($B17&amp;"年度出願!$R:$R"),1)</f>
        <v>7</v>
      </c>
      <c r="I17" s="166">
        <f ca="1">COUNTIFS(INDIRECT($B17&amp;"年度出願!$M:$M"),"&lt;="&amp;日付設定!$B2,INDIRECT($B17&amp;"年度出願!$E:$E"),日付設定!$E$2,INDIRECT($B17&amp;"年度出願!$T:$T"),日付設定!$F$6)</f>
        <v>41</v>
      </c>
      <c r="J17" s="159">
        <f ca="1">COUNTIFS(INDIRECT($B17&amp;"年度出願!$Y:$Y"),"&lt;="&amp;日付設定!$B2,INDIRECT($B17&amp;"年度出願!$E:$E"),日付設定!$E$2,INDIRECT($B17&amp;"年度出願!$T:$T"),日付設定!$F$6,INDIRECT($B17&amp;"年度出願!$Y:$Y"),"&lt;&gt;"&amp;"")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+COUNTIFS(INDIRECT($B17&amp;"年度出願!$AA:$AA"),"&lt;="&amp;日付設定!$B2,INDIRECT($B17&amp;"年度出願!$E:$E"),日付設定!$E$2,INDIRECT($B17&amp;"年度出願!$T:$T"),日付設定!$F$6,INDIRECT($B17&amp;"年度出願!$AG:$AG"),"&lt;&gt;"&amp;日付設定!$E$2)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",INDIRECT($B17&amp;"年度出願!$A:$A"),日付設定!$M$2)</f>
        <v>11</v>
      </c>
      <c r="K17" s="160">
        <f ca="1">COUNTIFS(INDIRECT($B17&amp;"年度出願!$AA:$AA"),"&lt;="&amp;日付設定!$B2,INDIRECT($B17&amp;"年度出願!$AG:$AG"),日付設定!$E$2,INDIRECT($B17&amp;"年度出願!$T:$T"),日付設定!$F$6)</f>
        <v>22</v>
      </c>
      <c r="L17" s="166">
        <f ca="1">COUNTIFS(INDIRECT($B17&amp;"年度出願!$M:$M"),"&lt;="&amp;日付設定!$B2,INDIRECT($B17&amp;"年度出願!$E:$E"),日付設定!$E$2,INDIRECT($B17&amp;"年度出願!$T:$T"),日付設定!$F$10)</f>
        <v>23</v>
      </c>
      <c r="M17" s="159">
        <f ca="1">COUNTIFS(INDIRECT($B17&amp;"年度出願!$Y:$Y"),"&lt;="&amp;日付設定!$B2,INDIRECT($B17&amp;"年度出願!$E:$E"),日付設定!$E$2,INDIRECT($B17&amp;"年度出願!$T:$T"),日付設定!$F$10,INDIRECT($B17&amp;"年度出願!$Y:$Y"),"&lt;&gt;"&amp;"")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+COUNTIFS(INDIRECT($B17&amp;"年度出願!$AA:$AA"),"&lt;="&amp;日付設定!$B2,INDIRECT($B17&amp;"年度出願!$E:$E"),日付設定!$E$2,INDIRECT($B17&amp;"年度出願!$T:$T"),日付設定!$F$10,INDIRECT($B17&amp;"年度出願!$AG:$AG"),"&lt;&gt;"&amp;日付設定!$E$2)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",INDIRECT($B17&amp;"年度出願!$A:$A"),日付設定!$M$2)</f>
        <v>0</v>
      </c>
      <c r="N17" s="160">
        <f ca="1">COUNTIFS(INDIRECT($B17&amp;"年度出願!$AA:$AA"),"&lt;="&amp;日付設定!$B2,INDIRECT($B17&amp;"年度出願!$AG:$AG"),日付設定!$E$2,INDIRECT($B17&amp;"年度出願!$T:$T"),日付設定!$F$10)</f>
        <v>16</v>
      </c>
      <c r="O17" s="166">
        <f ca="1">COUNTIFS(INDIRECT($B17&amp;"年度出願!$M:$M"),"&lt;="&amp;日付設定!$B2,INDIRECT($B17&amp;"年度出願!$E:$E"),日付設定!$E$2,INDIRECT($B17&amp;"年度出願!$Q:$Q"),日付設定!$H$2)</f>
        <v>0</v>
      </c>
      <c r="P17" s="159">
        <f ca="1">COUNTIFS(INDIRECT($B17&amp;"年度出願!$Y:$Y"),"&lt;="&amp;日付設定!$B2,INDIRECT($B17&amp;"年度出願!$E:$E"),日付設定!$E$2,INDIRECT($B17&amp;"年度出願!$Q:$Q"),日付設定!$H$2,INDIRECT($B17&amp;"年度出願!$Y:$Y"),"&lt;&gt;"&amp;"")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N"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+COUNTIFS(INDIRECT($B17&amp;"年度出願!$AA:$AA"),"&lt;="&amp;日付設定!$B2,INDIRECT($B17&amp;"年度出願!$E:$E"),日付設定!$E$2,INDIRECT($B17&amp;"年度出願!$Q:$Q"),日付設定!$H$2,INDIRECT($B17&amp;"年度出願!$AG:$AG"),"&lt;&gt;"&amp;日付設定!$E$2)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",INDIRECT($B17&amp;"年度出願!$A:$A"),日付設定!$M$2)</f>
        <v>0</v>
      </c>
      <c r="Q17" s="160">
        <f ca="1">COUNTIFS(INDIRECT($B17&amp;"年度出願!$AA:$AA"),"&lt;="&amp;日付設定!$B2,INDIRECT($B17&amp;"年度出願!$AG:$AG"),日付設定!$E$2,INDIRECT($B17&amp;"年度出願!$Q:$Q"),日付設定!$H$2)</f>
        <v>0</v>
      </c>
      <c r="R17" s="166">
        <f ca="1">COUNTIFS(INDIRECT($B17&amp;"年度出願!$M:$M"),"&lt;="&amp;日付設定!$B2,INDIRECT($B17&amp;"年度出願!$E:$E"),日付設定!$E$2,INDIRECT($B17&amp;"年度出願!$Q:$Q"),日付設定!$G$2)</f>
        <v>0</v>
      </c>
      <c r="S17" s="159">
        <f ca="1">COUNTIFS(INDIRECT($B17&amp;"年度出願!$Y:$Y"),"&lt;="&amp;日付設定!$B2,INDIRECT($B17&amp;"年度出願!$E:$E"),日付設定!$E$2,INDIRECT($B17&amp;"年度出願!$Q:$Q"),日付設定!$G$2,INDIRECT($B17&amp;"年度出願!$Y:$Y"),"&lt;&gt;"&amp;"")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N"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+COUNTIFS(INDIRECT($B17&amp;"年度出願!$AA:$AA"),"&lt;="&amp;日付設定!$B2,INDIRECT($B17&amp;"年度出願!$E:$E"),日付設定!$E$2,INDIRECT($B17&amp;"年度出願!$Q:$Q"),日付設定!$G$2,INDIRECT($B17&amp;"年度出願!$AG:$AG"),"&lt;&gt;"&amp;日付設定!$E$2)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",INDIRECT($B17&amp;"年度出願!$A:$A"),日付設定!$M$2)</f>
        <v>0</v>
      </c>
      <c r="T17" s="160">
        <f ca="1">COUNTIFS(INDIRECT($B17&amp;"年度出願!$AA:$AA"),"&lt;="&amp;日付設定!$B2,INDIRECT($B17&amp;"年度出願!$AG:$AG"),日付設定!$E$2,INDIRECT($B17&amp;"年度出願!$Q:$Q"),日付設定!$G$2)</f>
        <v>0</v>
      </c>
      <c r="U17" s="166">
        <f ca="1">COUNTIFS(INDIRECT($B17&amp;"年度出願!$M:$M"),"&lt;="&amp;日付設定!$B2,INDIRECT($B17&amp;"年度出願!$E:$E"),日付設定!$E$2,INDIRECT($B17&amp;"年度出願!$T:$T"),日付設定!$F$3)</f>
        <v>0</v>
      </c>
      <c r="V17" s="159">
        <f ca="1">COUNTIFS(INDIRECT($B17&amp;"年度出願!$Y:$Y"),"&lt;="&amp;日付設定!$B2,INDIRECT($B17&amp;"年度出願!$E:$E"),日付設定!$E$2,INDIRECT($B17&amp;"年度出願!$T:$T"),日付設定!$F$3,INDIRECT($B17&amp;"年度出願!$Y:$Y"),"&lt;&gt;"&amp;"")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+COUNTIFS(INDIRECT($B17&amp;"年度出願!$AA:$AA"),"&lt;="&amp;日付設定!$B2,INDIRECT($B17&amp;"年度出願!$E:$E"),日付設定!$E$2,INDIRECT($B17&amp;"年度出願!$T:$T"),日付設定!$F$3,INDIRECT($B17&amp;"年度出願!$AG:$AG"),"&lt;&gt;"&amp;日付設定!$E$2)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",INDIRECT($B17&amp;"年度出願!$A:$A"),日付設定!$M$2)</f>
        <v>0</v>
      </c>
      <c r="W17" s="160">
        <f ca="1">COUNTIFS(INDIRECT($B17&amp;"年度出願!$AA:$AA"),"&lt;="&amp;日付設定!$B2,INDIRECT($B17&amp;"年度出願!$AG:$AG"),日付設定!$E$2,INDIRECT($B17&amp;"年度出願!$T:$T"),日付設定!$F$3)</f>
        <v>0</v>
      </c>
      <c r="X17" s="166">
        <f ca="1">COUNTIFS(INDIRECT($B17&amp;"年度出願!$M:$M"),"&lt;="&amp;日付設定!$B2,INDIRECT($B17&amp;"年度出願!$E:$E"),日付設定!$E$2,INDIRECT($B17&amp;"年度出願!$T:$T"),日付設定!$F$5)</f>
        <v>12</v>
      </c>
      <c r="Y17" s="159">
        <f ca="1">COUNTIFS(INDIRECT($B17&amp;"年度出願!$Y:$Y"),"&lt;="&amp;日付設定!$B2,INDIRECT($B17&amp;"年度出願!$E:$E"),日付設定!$E$2,INDIRECT($B17&amp;"年度出願!$T:$T"),日付設定!$F$5,INDIRECT($B17&amp;"年度出願!$Y:$Y"),"&lt;&gt;"&amp;"")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+COUNTIFS(INDIRECT($B17&amp;"年度出願!$AA:$AA"),"&lt;="&amp;日付設定!$B2,INDIRECT($B17&amp;"年度出願!$E:$E"),日付設定!$E$2,INDIRECT($B17&amp;"年度出願!$T:$T"),日付設定!$F$5,INDIRECT($B17&amp;"年度出願!$AG:$AG"),"&lt;&gt;"&amp;日付設定!$E$2)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",INDIRECT($B17&amp;"年度出願!$A:$A"),日付設定!$M$2)</f>
        <v>0</v>
      </c>
      <c r="Z17" s="160">
        <f ca="1">COUNTIFS(INDIRECT($B17&amp;"年度出願!$AA:$AA"),"&lt;="&amp;日付設定!$B2,INDIRECT($B17&amp;"年度出願!$AG:$AG"),日付設定!$E$2,INDIRECT($B17&amp;"年度出願!$T:$T"),日付設定!$F$5)</f>
        <v>8</v>
      </c>
      <c r="AA17" s="166">
        <f ca="1">COUNTIFS(INDIRECT($B17&amp;"年度出願!$M:$M"),"&lt;="&amp;日付設定!$B2,INDIRECT($B17&amp;"年度出願!$E:$E"),日付設定!$E$2,INDIRECT($B17&amp;"年度出願!$T:$T"),日付設定!$F$9)</f>
        <v>7</v>
      </c>
      <c r="AB17" s="159">
        <f ca="1">COUNTIFS(INDIRECT($B17&amp;"年度出願!$Y:$Y"),"&lt;="&amp;日付設定!$B2,INDIRECT($B17&amp;"年度出願!$E:$E"),日付設定!$E$2,INDIRECT($B17&amp;"年度出願!$T:$T"),日付設定!$F$9,INDIRECT($B17&amp;"年度出願!$Y:$Y"),"&lt;&gt;"&amp;"")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+COUNTIFS(INDIRECT($B17&amp;"年度出願!$AA:$AA"),"&lt;="&amp;日付設定!$B2,INDIRECT($B17&amp;"年度出願!$E:$E"),日付設定!$E$2,INDIRECT($B17&amp;"年度出願!$T:$T"),日付設定!$F$9,INDIRECT($B17&amp;"年度出願!$AG:$AG"),"&lt;&gt;"&amp;日付設定!$E$2)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",INDIRECT($B17&amp;"年度出願!$A:$A"),日付設定!$M$2)</f>
        <v>0</v>
      </c>
      <c r="AC17" s="160">
        <f ca="1">COUNTIFS(INDIRECT($B17&amp;"年度出願!$AA:$AA"),"&lt;="&amp;日付設定!$B2,INDIRECT($B17&amp;"年度出願!$AG:$AG"),日付設定!$E$2,INDIRECT($B17&amp;"年度出願!$T:$T"),日付設定!$F$9)</f>
        <v>7</v>
      </c>
      <c r="AD17" s="166">
        <f ca="1">COUNTIFS(INDIRECT($B17&amp;"年度出願!$M:$M"),"&lt;="&amp;日付設定!$B2,INDIRECT($B17&amp;"年度出願!$E:$E"),日付設定!$E$2,INDIRECT($B17&amp;"年度出願!$T:$T"),日付設定!$F$7)</f>
        <v>0</v>
      </c>
      <c r="AE17" s="159">
        <f ca="1">COUNTIFS(INDIRECT($B17&amp;"年度出願!$Y:$Y"),"&lt;="&amp;日付設定!$B2,INDIRECT($B17&amp;"年度出願!$E:$E"),日付設定!$E$2,INDIRECT($B17&amp;"年度出願!$T:$T"),日付設定!$F$7,INDIRECT($B17&amp;"年度出願!$Y:$Y"),"&lt;&gt;"&amp;"")
+COUNTIFS(INDIRECT($B17&amp;"年度出願!$M:$M"),"&lt;="&amp;日付設定!$B2,INDIRECT($B17&amp;"年度出願!$E:$E"),日付設定!$E$2,INDIRECT($B17&amp;"年度出願!$T:$T"),日付設定!$F$7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$7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+COUNTIFS(INDIRECT($B17&amp;"年度出願!$AA:$AA"),"&lt;="&amp;日付設定!$B2,INDIRECT($B17&amp;"年度出願!$E:$E"),日付設定!$E$2,INDIRECT($B17&amp;"年度出願!$T:$T"),日付設定!$F$7,INDIRECT($B17&amp;"年度出願!$AG:$AG"),"&lt;&gt;"&amp;日付設定!$E$2)</f>
        <v>0</v>
      </c>
      <c r="AF17" s="160">
        <f ca="1">COUNTIFS(INDIRECT($B17&amp;"年度出願!$AA:$AA"),"&lt;="&amp;日付設定!$B2,INDIRECT($B17&amp;"年度出願!$AG:$AG"),日付設定!$E$2,INDIRECT($B17&amp;"年度出願!$T:$T"),日付設定!$F$7)</f>
        <v>0</v>
      </c>
      <c r="AG17" s="166">
        <f ca="1">COUNTIFS(INDIRECT($B17&amp;"年度出願!$M:$M"),"&lt;="&amp;日付設定!$B2,INDIRECT($B17&amp;"年度出願!$E:$E"),日付設定!$E$2,INDIRECT($B17&amp;"年度出願!$T:$T"),日付設定!$F$11)</f>
        <v>63</v>
      </c>
      <c r="AH17" s="159">
        <f ca="1">COUNTIFS(INDIRECT($B17&amp;"年度出願!$Y:$Y"),"&lt;="&amp;日付設定!$B2,INDIRECT($B17&amp;"年度出願!$E:$E"),日付設定!$E$2,INDIRECT($B17&amp;"年度出願!$T:$T"),日付設定!$F$11,INDIRECT($B17&amp;"年度出願!$Y:$Y"),"&lt;&gt;"&amp;"")
+COUNTIFS(INDIRECT($B17&amp;"年度出願!$M:$M"),"&lt;="&amp;日付設定!$B2,INDIRECT($B17&amp;"年度出願!$E:$E"),日付設定!$E$2,INDIRECT($B17&amp;"年度出願!$T:$T"),日付設定!$F$11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$11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+COUNTIFS(INDIRECT($B17&amp;"年度出願!$AA:$AA"),"&lt;="&amp;日付設定!$B2,INDIRECT($B17&amp;"年度出願!$E:$E"),日付設定!$E$2,INDIRECT($B17&amp;"年度出願!$T:$T"),日付設定!$F$11,INDIRECT($B17&amp;"年度出願!$AG:$AG"),"&lt;&gt;"&amp;日付設定!$E$2)</f>
        <v>31</v>
      </c>
      <c r="AI17" s="160">
        <f ca="1">COUNTIFS(INDIRECT($B17&amp;"年度出願!$AA:$AA"),"&lt;="&amp;日付設定!$B2,INDIRECT($B17&amp;"年度出願!$AG:$AG"),日付設定!$E$2,INDIRECT($B17&amp;"年度出願!$T:$T"),日付設定!$F$11)</f>
        <v>27</v>
      </c>
      <c r="AJ17" s="167">
        <f ca="1">SUM(C17,F17,I17,L17,O17,R17,U17,X17,AA17,AD17,AG17)</f>
        <v>240</v>
      </c>
      <c r="AK17" s="158">
        <f ca="1">SUM(D17,G17,J17,M17,P17,S17,V17,Y17,AB17,AE17,AH17)</f>
        <v>64</v>
      </c>
      <c r="AL17" s="162">
        <f ca="1">SUM(E17,H17,K17,N17,Q17,T17,W17,Z17,AC17,AF17,AI17)</f>
        <v>139</v>
      </c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</row>
    <row r="18" spans="1:115" s="169" customFormat="1" ht="53.25" customHeight="1" thickBot="1" x14ac:dyDescent="0.5">
      <c r="A18" s="207"/>
      <c r="B18" s="213">
        <v>2025</v>
      </c>
      <c r="C18" s="214">
        <f ca="1">COUNTIFS(INDIRECT($B18&amp;"年度出願!$M:$M"),"&lt;="&amp;日付設定!$B3,INDIRECT($B18&amp;"年度出願!$E:$E"),日付設定!$E$2,INDIRECT($B18&amp;"年度出願!$T:$T"),日付設定!$F$4,INDIRECT($B18&amp;"年度出願!$R:$R"),2)</f>
        <v>68</v>
      </c>
      <c r="D18" s="215">
        <f ca="1">COUNTIFS(INDIRECT($B18&amp;"年度出願!$Y:$Y"),"&lt;="&amp;日付設定!$B3,INDIRECT($B18&amp;"年度出願!$E:$E"),日付設定!$E$2,INDIRECT($B18&amp;"年度出願!$T:$T"),日付設定!$F$4,INDIRECT($B18&amp;"年度出願!$R:$R"),2,INDIRECT($B18&amp;"年度出願!$Y:$Y"),"&lt;&gt;"&amp;""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$4,INDIRECT($B18&amp;"年度出願!$R:$R"),2,INDIRECT($B18&amp;"年度出願!$AG:$AG"),"&lt;&gt;"&amp;日付設定!$E$2)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",INDIRECT($B18&amp;"年度出願!$A:$A"),日付設定!$M$2)</f>
        <v>8</v>
      </c>
      <c r="E18" s="216">
        <f ca="1">COUNTIFS(INDIRECT($B18&amp;"年度出願!$AA:$AA"),"&lt;="&amp;日付設定!$B3,INDIRECT($B18&amp;"年度出願!$AG:$AG"),日付設定!$E$2,INDIRECT($B18&amp;"年度出願!$T:$T"),日付設定!$F$4,INDIRECT($B18&amp;"年度出願!$R:$R"),2)</f>
        <v>60</v>
      </c>
      <c r="F18" s="214">
        <f ca="1">COUNTIFS(INDIRECT($B18&amp;"年度出願!$M:$M"),"&lt;="&amp;日付設定!$B3,INDIRECT($B18&amp;"年度出願!$E:$E"),日付設定!$E$2,INDIRECT($B18&amp;"年度出願!$T:$T"),日付設定!$F$4,INDIRECT($B18&amp;"年度出願!$R:$R"),1)</f>
        <v>22</v>
      </c>
      <c r="G18" s="215">
        <f ca="1">COUNTIFS(INDIRECT($B18&amp;"年度出願!$Y:$Y"),"&lt;="&amp;日付設定!$B3,INDIRECT($B18&amp;"年度出願!$E:$E"),日付設定!$E$2,INDIRECT($B18&amp;"年度出願!$T:$T"),日付設定!$F$4,INDIRECT($B18&amp;"年度出願!$R:$R"),1,INDIRECT($B18&amp;"年度出願!$Y:$Y"),"&lt;&gt;"&amp;""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$4,INDIRECT($B18&amp;"年度出願!$R:$R"),1,INDIRECT($B18&amp;"年度出願!$AG:$AG"),"&lt;&gt;"&amp;日付設定!$E$2)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",INDIRECT($B18&amp;"年度出願!$A:$A"),日付設定!$M$2)</f>
        <v>10</v>
      </c>
      <c r="H18" s="216">
        <f ca="1">COUNTIFS(INDIRECT($B18&amp;"年度出願!$AA:$AA"),"&lt;="&amp;日付設定!$B3,INDIRECT($B18&amp;"年度出願!$AG:$AG"),日付設定!$E$2,INDIRECT($B18&amp;"年度出願!$T:$T"),日付設定!$F$4,INDIRECT($B18&amp;"年度出願!$R:$R"),1)</f>
        <v>12</v>
      </c>
      <c r="I18" s="214">
        <f ca="1">COUNTIFS(INDIRECT($B18&amp;"年度出願!$M:$M"),"&lt;="&amp;日付設定!$B3,INDIRECT($B18&amp;"年度出願!$E:$E"),日付設定!$E$2,INDIRECT($B18&amp;"年度出願!$T:$T"),日付設定!$F$6)</f>
        <v>33</v>
      </c>
      <c r="J18" s="215">
        <f ca="1">COUNTIFS(INDIRECT($B18&amp;"年度出願!$Y:$Y"),"&lt;="&amp;日付設定!$B3,INDIRECT($B18&amp;"年度出願!$E:$E"),日付設定!$E$2,INDIRECT($B18&amp;"年度出願!$T:$T"),日付設定!$F$6,INDIRECT($B18&amp;"年度出願!$Y:$Y"),"&lt;&gt;"&amp;"")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+COUNTIFS(INDIRECT($B18&amp;"年度出願!$AA:$AA"),"&lt;="&amp;日付設定!$B3,INDIRECT($B18&amp;"年度出願!$E:$E"),日付設定!$E$2,INDIRECT($B18&amp;"年度出願!$T:$T"),日付設定!$F$6,INDIRECT($B18&amp;"年度出願!$AG:$AG"),"&lt;&gt;"&amp;日付設定!$E$2)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",INDIRECT($B18&amp;"年度出願!$A:$A"),日付設定!$M$2)</f>
        <v>3</v>
      </c>
      <c r="K18" s="216">
        <f ca="1">COUNTIFS(INDIRECT($B18&amp;"年度出願!$AA:$AA"),"&lt;="&amp;日付設定!$B3,INDIRECT($B18&amp;"年度出願!$AG:$AG"),日付設定!$E$2,INDIRECT($B18&amp;"年度出願!$T:$T"),日付設定!$F$6)</f>
        <v>30</v>
      </c>
      <c r="L18" s="214">
        <f ca="1">COUNTIFS(INDIRECT($B18&amp;"年度出願!$M:$M"),"&lt;="&amp;日付設定!$B3,INDIRECT($B18&amp;"年度出願!$E:$E"),日付設定!$E$2,INDIRECT($B18&amp;"年度出願!$T:$T"),日付設定!$F$10)</f>
        <v>50</v>
      </c>
      <c r="M18" s="215">
        <f ca="1">COUNTIFS(INDIRECT($B18&amp;"年度出願!$Y:$Y"),"&lt;="&amp;日付設定!$B3,INDIRECT($B18&amp;"年度出願!$E:$E"),日付設定!$E$2,INDIRECT($B18&amp;"年度出願!$T:$T"),日付設定!$F$10,INDIRECT($B18&amp;"年度出願!$Y:$Y"),"&lt;&gt;"&amp;"")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+COUNTIFS(INDIRECT($B18&amp;"年度出願!$AA:$AA"),"&lt;="&amp;日付設定!$B3,INDIRECT($B18&amp;"年度出願!$E:$E"),日付設定!$E$2,INDIRECT($B18&amp;"年度出願!$T:$T"),日付設定!$F$10,INDIRECT($B18&amp;"年度出願!$AG:$AG"),"&lt;&gt;"&amp;日付設定!$E$2)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",INDIRECT($B18&amp;"年度出願!$A:$A"),日付設定!$M$2)</f>
        <v>5</v>
      </c>
      <c r="N18" s="216">
        <f ca="1">COUNTIFS(INDIRECT($B18&amp;"年度出願!$AA:$AA"),"&lt;="&amp;日付設定!$B3,INDIRECT($B18&amp;"年度出願!$AG:$AG"),日付設定!$E$2,INDIRECT($B18&amp;"年度出願!$T:$T"),日付設定!$F$10)</f>
        <v>45</v>
      </c>
      <c r="O18" s="214">
        <f ca="1">COUNTIFS(INDIRECT($B18&amp;"年度出願!$M:$M"),"&lt;="&amp;日付設定!$B3,INDIRECT($B18&amp;"年度出願!$E:$E"),日付設定!$E$2,INDIRECT($B18&amp;"年度出願!$Q:$Q"),日付設定!$H$2)</f>
        <v>0</v>
      </c>
      <c r="P18" s="215">
        <f ca="1">COUNTIFS(INDIRECT($B18&amp;"年度出願!$Y:$Y"),"&lt;="&amp;日付設定!$B3,INDIRECT($B18&amp;"年度出願!$E:$E"),日付設定!$E$2,INDIRECT($B18&amp;"年度出願!$Q:$Q"),日付設定!$H$2,INDIRECT($B18&amp;"年度出願!$Y:$Y"),"&lt;&gt;"&amp;"")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N"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+COUNTIFS(INDIRECT($B18&amp;"年度出願!$AA:$AA"),"&lt;="&amp;日付設定!$B3,INDIRECT($B18&amp;"年度出願!$E:$E"),日付設定!$E$2,INDIRECT($B18&amp;"年度出願!$Q:$Q"),日付設定!$H$2,INDIRECT($B18&amp;"年度出願!$AG:$AG"),"&lt;&gt;"&amp;日付設定!$E$2)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",INDIRECT($B18&amp;"年度出願!$A:$A"),日付設定!$M$2)</f>
        <v>0</v>
      </c>
      <c r="Q18" s="216">
        <f ca="1">COUNTIFS(INDIRECT($B18&amp;"年度出願!$AA:$AA"),"&lt;="&amp;日付設定!$B3,INDIRECT($B18&amp;"年度出願!$AG:$AG"),日付設定!$E$2,INDIRECT($B18&amp;"年度出願!$Q:$Q"),日付設定!$H$2)</f>
        <v>0</v>
      </c>
      <c r="R18" s="214">
        <f ca="1">COUNTIFS(INDIRECT($B18&amp;"年度出願!$M:$M"),"&lt;="&amp;日付設定!$B3,INDIRECT($B18&amp;"年度出願!$E:$E"),日付設定!$E$2,INDIRECT($B18&amp;"年度出願!$Q:$Q"),日付設定!$G$2)</f>
        <v>0</v>
      </c>
      <c r="S18" s="215">
        <f ca="1">COUNTIFS(INDIRECT($B18&amp;"年度出願!$Y:$Y"),"&lt;="&amp;日付設定!$B3,INDIRECT($B18&amp;"年度出願!$E:$E"),日付設定!$E$2,INDIRECT($B18&amp;"年度出願!$Q:$Q"),日付設定!$G$2,INDIRECT($B18&amp;"年度出願!$Y:$Y"),"&lt;&gt;"&amp;"")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N"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+COUNTIFS(INDIRECT($B18&amp;"年度出願!$AA:$AA"),"&lt;="&amp;日付設定!$B3,INDIRECT($B18&amp;"年度出願!$E:$E"),日付設定!$E$2,INDIRECT($B18&amp;"年度出願!$Q:$Q"),日付設定!$G$2,INDIRECT($B18&amp;"年度出願!$AG:$AG"),"&lt;&gt;"&amp;日付設定!$E$2)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",INDIRECT($B18&amp;"年度出願!$A:$A"),日付設定!$M$2)</f>
        <v>0</v>
      </c>
      <c r="T18" s="216">
        <f ca="1">COUNTIFS(INDIRECT($B18&amp;"年度出願!$AA:$AA"),"&lt;="&amp;日付設定!$B3,INDIRECT($B18&amp;"年度出願!$AG:$AG"),日付設定!$E$2,INDIRECT($B18&amp;"年度出願!$Q:$Q"),日付設定!$G$2)</f>
        <v>0</v>
      </c>
      <c r="U18" s="214">
        <f ca="1">COUNTIFS(INDIRECT($B18&amp;"年度出願!$M:$M"),"&lt;="&amp;日付設定!$B3,INDIRECT($B18&amp;"年度出願!$E:$E"),日付設定!$E$2,INDIRECT($B18&amp;"年度出願!$T:$T"),日付設定!$F$3)</f>
        <v>0</v>
      </c>
      <c r="V18" s="215">
        <f ca="1">COUNTIFS(INDIRECT($B18&amp;"年度出願!$Y:$Y"),"&lt;="&amp;日付設定!$B3,INDIRECT($B18&amp;"年度出願!$E:$E"),日付設定!$E$2,INDIRECT($B18&amp;"年度出願!$T:$T"),日付設定!$F$3,INDIRECT($B18&amp;"年度出願!$Y:$Y"),"&lt;&gt;"&amp;"")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+COUNTIFS(INDIRECT($B18&amp;"年度出願!$AA:$AA"),"&lt;="&amp;日付設定!$B3,INDIRECT($B18&amp;"年度出願!$E:$E"),日付設定!$E$2,INDIRECT($B18&amp;"年度出願!$T:$T"),日付設定!$F$3,INDIRECT($B18&amp;"年度出願!$AG:$AG"),"&lt;&gt;"&amp;日付設定!$E$2)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",INDIRECT($B18&amp;"年度出願!$A:$A"),日付設定!$M$2)</f>
        <v>0</v>
      </c>
      <c r="W18" s="216">
        <f ca="1">COUNTIFS(INDIRECT($B18&amp;"年度出願!$AA:$AA"),"&lt;="&amp;日付設定!$B3,INDIRECT($B18&amp;"年度出願!$AG:$AG"),日付設定!$E$2,INDIRECT($B18&amp;"年度出願!$T:$T"),日付設定!$F$3)</f>
        <v>0</v>
      </c>
      <c r="X18" s="214">
        <f ca="1">COUNTIFS(INDIRECT($B18&amp;"年度出願!$M:$M"),"&lt;="&amp;日付設定!$B3,INDIRECT($B18&amp;"年度出願!$E:$E"),日付設定!$E$2,INDIRECT($B18&amp;"年度出願!$T:$T"),日付設定!$F$5)</f>
        <v>24</v>
      </c>
      <c r="Y18" s="215">
        <f ca="1">COUNTIFS(INDIRECT($B18&amp;"年度出願!$Y:$Y"),"&lt;="&amp;日付設定!$B3,INDIRECT($B18&amp;"年度出願!$E:$E"),日付設定!$E$2,INDIRECT($B18&amp;"年度出願!$T:$T"),日付設定!$F$5,INDIRECT($B18&amp;"年度出願!$Y:$Y"),"&lt;&gt;"&amp;"")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+COUNTIFS(INDIRECT($B18&amp;"年度出願!$AA:$AA"),"&lt;="&amp;日付設定!$B3,INDIRECT($B18&amp;"年度出願!$E:$E"),日付設定!$E$2,INDIRECT($B18&amp;"年度出願!$T:$T"),日付設定!$F$5,INDIRECT($B18&amp;"年度出願!$AG:$AG"),"&lt;&gt;"&amp;日付設定!$E$2)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",INDIRECT($B18&amp;"年度出願!$A:$A"),日付設定!$M$2)</f>
        <v>4</v>
      </c>
      <c r="Z18" s="216">
        <f ca="1">COUNTIFS(INDIRECT($B18&amp;"年度出願!$AA:$AA"),"&lt;="&amp;日付設定!$B3,INDIRECT($B18&amp;"年度出願!$AG:$AG"),日付設定!$E$2,INDIRECT($B18&amp;"年度出願!$T:$T"),日付設定!$F$5)</f>
        <v>20</v>
      </c>
      <c r="AA18" s="214">
        <f ca="1">COUNTIFS(INDIRECT($B18&amp;"年度出願!$M:$M"),"&lt;="&amp;日付設定!$B3,INDIRECT($B18&amp;"年度出願!$E:$E"),日付設定!$E$2,INDIRECT($B18&amp;"年度出願!$T:$T"),日付設定!$F$9)</f>
        <v>8</v>
      </c>
      <c r="AB18" s="215">
        <f ca="1">COUNTIFS(INDIRECT($B18&amp;"年度出願!$Y:$Y"),"&lt;="&amp;日付設定!$B3,INDIRECT($B18&amp;"年度出願!$E:$E"),日付設定!$E$2,INDIRECT($B18&amp;"年度出願!$T:$T"),日付設定!$F$9,INDIRECT($B18&amp;"年度出願!$Y:$Y"),"&lt;&gt;"&amp;"")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+COUNTIFS(INDIRECT($B18&amp;"年度出願!$AA:$AA"),"&lt;="&amp;日付設定!$B3,INDIRECT($B18&amp;"年度出願!$E:$E"),日付設定!$E$2,INDIRECT($B18&amp;"年度出願!$T:$T"),日付設定!$F$9,INDIRECT($B18&amp;"年度出願!$AG:$AG"),"&lt;&gt;"&amp;日付設定!$E$2)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",INDIRECT($B18&amp;"年度出願!$A:$A"),日付設定!$M$2)</f>
        <v>0</v>
      </c>
      <c r="AC18" s="216">
        <f ca="1">COUNTIFS(INDIRECT($B18&amp;"年度出願!$AA:$AA"),"&lt;="&amp;日付設定!$B3,INDIRECT($B18&amp;"年度出願!$AG:$AG"),日付設定!$E$2,INDIRECT($B18&amp;"年度出願!$T:$T"),日付設定!$F$9)</f>
        <v>8</v>
      </c>
      <c r="AD18" s="214">
        <f ca="1">COUNTIFS(INDIRECT($B18&amp;"年度出願!$M:$M"),"&lt;="&amp;日付設定!$B3,INDIRECT($B18&amp;"年度出願!$E:$E"),日付設定!$E$2,INDIRECT($B18&amp;"年度出願!$T:$T"),日付設定!$F$7)</f>
        <v>0</v>
      </c>
      <c r="AE18" s="215">
        <f ca="1">COUNTIFS(INDIRECT($B18&amp;"年度出願!$Y:$Y"),"&lt;="&amp;日付設定!$B3,INDIRECT($B18&amp;"年度出願!$E:$E"),日付設定!$E$2,INDIRECT($B18&amp;"年度出願!$T:$T"),日付設定!$F$7,INDIRECT($B18&amp;"年度出願!$Y:$Y"),"&lt;&gt;"&amp;"")
+COUNTIFS(INDIRECT($B18&amp;"年度出願!$M:$M"),"&lt;="&amp;日付設定!$B3,INDIRECT($B18&amp;"年度出願!$E:$E"),日付設定!$E$2,INDIRECT($B18&amp;"年度出願!$T:$T"),日付設定!$F$7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$7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+COUNTIFS(INDIRECT($B18&amp;"年度出願!$AA:$AA"),"&lt;="&amp;日付設定!$B3,INDIRECT($B18&amp;"年度出願!$E:$E"),日付設定!$E$2,INDIRECT($B18&amp;"年度出願!$T:$T"),日付設定!$F$7,INDIRECT($B18&amp;"年度出願!$AG:$AG"),"&lt;&gt;"&amp;日付設定!$E$2)</f>
        <v>0</v>
      </c>
      <c r="AF18" s="216">
        <f ca="1">COUNTIFS(INDIRECT($B18&amp;"年度出願!$AA:$AA"),"&lt;="&amp;日付設定!$B3,INDIRECT($B18&amp;"年度出願!$AG:$AG"),日付設定!$E$2,INDIRECT($B18&amp;"年度出願!$T:$T"),日付設定!$F$7)</f>
        <v>0</v>
      </c>
      <c r="AG18" s="214">
        <f ca="1">COUNTIFS(INDIRECT($B18&amp;"年度出願!$M:$M"),"&lt;="&amp;日付設定!$B3,INDIRECT($B18&amp;"年度出願!$E:$E"),日付設定!$E$2,INDIRECT($B18&amp;"年度出願!$T:$T"),日付設定!$F$11)</f>
        <v>0</v>
      </c>
      <c r="AH18" s="215">
        <f ca="1">COUNTIFS(INDIRECT($B18&amp;"年度出願!$Y:$Y"),"&lt;="&amp;日付設定!$B3,INDIRECT($B18&amp;"年度出願!$E:$E"),日付設定!$E$2,INDIRECT($B18&amp;"年度出願!$T:$T"),日付設定!$F$11,INDIRECT($B18&amp;"年度出願!$Y:$Y"),"&lt;&gt;"&amp;"")
+COUNTIFS(INDIRECT($B18&amp;"年度出願!$M:$M"),"&lt;="&amp;日付設定!$B3,INDIRECT($B18&amp;"年度出願!$E:$E"),日付設定!$E$2,INDIRECT($B18&amp;"年度出願!$T:$T"),日付設定!$F$11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$11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+COUNTIFS(INDIRECT($B18&amp;"年度出願!$AA:$AA"),"&lt;="&amp;日付設定!$B3,INDIRECT($B18&amp;"年度出願!$E:$E"),日付設定!$E$2,INDIRECT($B18&amp;"年度出願!$T:$T"),日付設定!$F$11,INDIRECT($B18&amp;"年度出願!$AG:$AG"),"&lt;&gt;"&amp;日付設定!$E$2)</f>
        <v>0</v>
      </c>
      <c r="AI18" s="216">
        <f ca="1">COUNTIFS(INDIRECT($B18&amp;"年度出願!$AA:$AA"),"&lt;="&amp;日付設定!$B3,INDIRECT($B18&amp;"年度出願!$AG:$AG"),日付設定!$E$2,INDIRECT($B18&amp;"年度出願!$T:$T"),日付設定!$F$11)</f>
        <v>0</v>
      </c>
      <c r="AJ18" s="217">
        <f ca="1">SUM(C18,F18,I18,L18,O18,R18,U18,X18,AA18,AD18,AG18)</f>
        <v>205</v>
      </c>
      <c r="AK18" s="218">
        <f ca="1">SUM(D18,G18,J18,M18,P18,S18,V18,Y18,AB18,AE18,AH18)</f>
        <v>30</v>
      </c>
      <c r="AL18" s="219">
        <f ca="1">SUM(E18,H18,K18,N18,Q18,T18,W18,Z18,AC18,AF18,AI18)</f>
        <v>175</v>
      </c>
    </row>
    <row r="19" spans="1:115" s="169" customFormat="1" ht="53.25" customHeight="1" thickTop="1" x14ac:dyDescent="0.45">
      <c r="A19" s="207"/>
      <c r="B19" s="212" t="s">
        <v>1335</v>
      </c>
      <c r="C19" s="166">
        <f ca="1">C16-C17</f>
        <v>-19</v>
      </c>
      <c r="D19" s="159">
        <f t="shared" ref="D19:AF19" ca="1" si="2">D16-D17</f>
        <v>-12</v>
      </c>
      <c r="E19" s="160">
        <f t="shared" ca="1" si="2"/>
        <v>-40</v>
      </c>
      <c r="F19" s="166">
        <f t="shared" ca="1" si="2"/>
        <v>-15</v>
      </c>
      <c r="G19" s="159">
        <f t="shared" ca="1" si="2"/>
        <v>-10</v>
      </c>
      <c r="H19" s="160">
        <f t="shared" ca="1" si="2"/>
        <v>-7</v>
      </c>
      <c r="I19" s="166">
        <f t="shared" ca="1" si="2"/>
        <v>-23</v>
      </c>
      <c r="J19" s="159">
        <f t="shared" ca="1" si="2"/>
        <v>-10</v>
      </c>
      <c r="K19" s="160">
        <f t="shared" ca="1" si="2"/>
        <v>-12</v>
      </c>
      <c r="L19" s="166">
        <f t="shared" ca="1" si="2"/>
        <v>-3</v>
      </c>
      <c r="M19" s="159">
        <f t="shared" ca="1" si="2"/>
        <v>0</v>
      </c>
      <c r="N19" s="160">
        <f t="shared" ca="1" si="2"/>
        <v>-6</v>
      </c>
      <c r="O19" s="166">
        <f t="shared" ca="1" si="2"/>
        <v>0</v>
      </c>
      <c r="P19" s="159">
        <f t="shared" ca="1" si="2"/>
        <v>0</v>
      </c>
      <c r="Q19" s="160">
        <f t="shared" ca="1" si="2"/>
        <v>0</v>
      </c>
      <c r="R19" s="166">
        <f t="shared" ca="1" si="2"/>
        <v>0</v>
      </c>
      <c r="S19" s="159">
        <f t="shared" ca="1" si="2"/>
        <v>0</v>
      </c>
      <c r="T19" s="160">
        <f t="shared" ca="1" si="2"/>
        <v>0</v>
      </c>
      <c r="U19" s="166">
        <f t="shared" ca="1" si="2"/>
        <v>0</v>
      </c>
      <c r="V19" s="159">
        <f t="shared" ca="1" si="2"/>
        <v>0</v>
      </c>
      <c r="W19" s="160">
        <f t="shared" ca="1" si="2"/>
        <v>0</v>
      </c>
      <c r="X19" s="166">
        <f t="shared" ca="1" si="2"/>
        <v>3</v>
      </c>
      <c r="Y19" s="159">
        <f t="shared" ca="1" si="2"/>
        <v>0</v>
      </c>
      <c r="Z19" s="160">
        <f t="shared" ca="1" si="2"/>
        <v>-2</v>
      </c>
      <c r="AA19" s="166">
        <f t="shared" ca="1" si="2"/>
        <v>-1</v>
      </c>
      <c r="AB19" s="159">
        <f t="shared" ca="1" si="2"/>
        <v>0</v>
      </c>
      <c r="AC19" s="160">
        <f t="shared" ca="1" si="2"/>
        <v>-5</v>
      </c>
      <c r="AD19" s="166">
        <f t="shared" ca="1" si="2"/>
        <v>0</v>
      </c>
      <c r="AE19" s="159">
        <f t="shared" ca="1" si="2"/>
        <v>0</v>
      </c>
      <c r="AF19" s="160">
        <f t="shared" ca="1" si="2"/>
        <v>0</v>
      </c>
      <c r="AG19" s="166">
        <f t="shared" ref="AG19:AI19" ca="1" si="3">AG16-AG17</f>
        <v>-63</v>
      </c>
      <c r="AH19" s="159">
        <f t="shared" ca="1" si="3"/>
        <v>-31</v>
      </c>
      <c r="AI19" s="160">
        <f t="shared" ca="1" si="3"/>
        <v>-27</v>
      </c>
      <c r="AJ19" s="166">
        <f t="shared" ref="AJ19:AJ25" ca="1" si="4">SUM(C19,F19,I19,L19,O19,R19,U19,X19,AA19,AD19,AG19)</f>
        <v>-121</v>
      </c>
      <c r="AK19" s="159">
        <f t="shared" ref="AK19:AK25" ca="1" si="5">SUM(D19,G19,J19,M19,P19,S19,V19,Y19,AB19,AE19,AH19)</f>
        <v>-63</v>
      </c>
      <c r="AL19" s="160">
        <f t="shared" ref="AL19:AL25" ca="1" si="6">SUM(E19,H19,K19,N19,Q19,T19,W19,Z19,AC19,AF19,AI19)</f>
        <v>-99</v>
      </c>
    </row>
    <row r="20" spans="1:115" ht="53.25" customHeight="1" thickBot="1" x14ac:dyDescent="0.5">
      <c r="A20" s="183"/>
      <c r="B20" s="208" t="s">
        <v>1335</v>
      </c>
      <c r="C20" s="209">
        <f ca="1">C16-C18</f>
        <v>-15</v>
      </c>
      <c r="D20" s="210">
        <f t="shared" ref="D20:AF20" ca="1" si="7">D16-D18</f>
        <v>-8</v>
      </c>
      <c r="E20" s="211">
        <f t="shared" ca="1" si="7"/>
        <v>-48</v>
      </c>
      <c r="F20" s="209">
        <f t="shared" ca="1" si="7"/>
        <v>-15</v>
      </c>
      <c r="G20" s="210">
        <f t="shared" ca="1" si="7"/>
        <v>-10</v>
      </c>
      <c r="H20" s="211">
        <f t="shared" ca="1" si="7"/>
        <v>-12</v>
      </c>
      <c r="I20" s="209">
        <f t="shared" ca="1" si="7"/>
        <v>-15</v>
      </c>
      <c r="J20" s="210">
        <f t="shared" ca="1" si="7"/>
        <v>-2</v>
      </c>
      <c r="K20" s="211">
        <f t="shared" ca="1" si="7"/>
        <v>-20</v>
      </c>
      <c r="L20" s="209">
        <f t="shared" ca="1" si="7"/>
        <v>-30</v>
      </c>
      <c r="M20" s="210">
        <f t="shared" ca="1" si="7"/>
        <v>-5</v>
      </c>
      <c r="N20" s="211">
        <f t="shared" ca="1" si="7"/>
        <v>-35</v>
      </c>
      <c r="O20" s="209">
        <f t="shared" ca="1" si="7"/>
        <v>0</v>
      </c>
      <c r="P20" s="210">
        <f t="shared" ca="1" si="7"/>
        <v>0</v>
      </c>
      <c r="Q20" s="211">
        <f t="shared" ca="1" si="7"/>
        <v>0</v>
      </c>
      <c r="R20" s="209">
        <f t="shared" ca="1" si="7"/>
        <v>0</v>
      </c>
      <c r="S20" s="210">
        <f t="shared" ca="1" si="7"/>
        <v>0</v>
      </c>
      <c r="T20" s="211">
        <f t="shared" ca="1" si="7"/>
        <v>0</v>
      </c>
      <c r="U20" s="209">
        <f t="shared" ca="1" si="7"/>
        <v>0</v>
      </c>
      <c r="V20" s="210">
        <f t="shared" ca="1" si="7"/>
        <v>0</v>
      </c>
      <c r="W20" s="211">
        <f t="shared" ca="1" si="7"/>
        <v>0</v>
      </c>
      <c r="X20" s="209">
        <f t="shared" ca="1" si="7"/>
        <v>-9</v>
      </c>
      <c r="Y20" s="210">
        <f t="shared" ca="1" si="7"/>
        <v>-4</v>
      </c>
      <c r="Z20" s="211">
        <f t="shared" ca="1" si="7"/>
        <v>-14</v>
      </c>
      <c r="AA20" s="209">
        <f t="shared" ca="1" si="7"/>
        <v>-2</v>
      </c>
      <c r="AB20" s="210">
        <f t="shared" ca="1" si="7"/>
        <v>0</v>
      </c>
      <c r="AC20" s="211">
        <f t="shared" ca="1" si="7"/>
        <v>-6</v>
      </c>
      <c r="AD20" s="209">
        <f t="shared" ca="1" si="7"/>
        <v>0</v>
      </c>
      <c r="AE20" s="210">
        <f t="shared" ca="1" si="7"/>
        <v>0</v>
      </c>
      <c r="AF20" s="211">
        <f t="shared" ca="1" si="7"/>
        <v>0</v>
      </c>
      <c r="AG20" s="209">
        <f t="shared" ref="AG20:AI20" ca="1" si="8">AG16-AG18</f>
        <v>0</v>
      </c>
      <c r="AH20" s="210">
        <f t="shared" ca="1" si="8"/>
        <v>0</v>
      </c>
      <c r="AI20" s="211">
        <f t="shared" ca="1" si="8"/>
        <v>0</v>
      </c>
      <c r="AJ20" s="209">
        <f t="shared" ca="1" si="4"/>
        <v>-86</v>
      </c>
      <c r="AK20" s="210">
        <f t="shared" ca="1" si="5"/>
        <v>-29</v>
      </c>
      <c r="AL20" s="211">
        <f t="shared" ca="1" si="6"/>
        <v>-135</v>
      </c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169"/>
      <c r="DH20" s="169"/>
      <c r="DI20" s="169"/>
      <c r="DJ20" s="169"/>
      <c r="DK20" s="169"/>
    </row>
    <row r="21" spans="1:115" ht="53.25" customHeight="1" x14ac:dyDescent="0.45">
      <c r="A21" s="184" t="s">
        <v>1334</v>
      </c>
      <c r="B21" s="150">
        <v>2027</v>
      </c>
      <c r="C21" s="166">
        <f ca="1">COUNTIFS(INDIRECT($B21&amp;"年度出願!$M:$M"),"&lt;="&amp;日付設定!$B1,INDIRECT($B21&amp;"年度出願!$E:$E"),日付設定!$E$3,INDIRECT($B21&amp;"年度出願!$T:$T"),日付設定!$F$4,INDIRECT($B21&amp;"年度出願!$R:$R"),2)</f>
        <v>33</v>
      </c>
      <c r="D21" s="159">
        <f ca="1">COUNTIFS(INDIRECT($B21&amp;"年度出願!$Y:$Y"),"&lt;="&amp;日付設定!$B1,INDIRECT($B21&amp;"年度出願!$E:$E"),日付設定!$E$3,INDIRECT($B21&amp;"年度出願!$T:$T"),日付設定!$F$4,INDIRECT($B21&amp;"年度出願!$R:$R"),2,INDIRECT($B21&amp;"年度出願!$Y:$Y"),"&lt;&gt;"&amp;""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$4,INDIRECT($B21&amp;"年度出願!$R:$R"),2,INDIRECT($B21&amp;"年度出願!$AG:$AG"),"&lt;&gt;"&amp;日付設定!$E$3)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",INDIRECT($B21&amp;"年度出願!$A:$A"),日付設定!$M$2)</f>
        <v>0</v>
      </c>
      <c r="E21" s="160">
        <f ca="1">COUNTIFS(INDIRECT($B21&amp;"年度出願!$AA:$AA"),"&lt;="&amp;日付設定!$B1,INDIRECT($B21&amp;"年度出願!$AG:$AG"),日付設定!$E$3,INDIRECT($B21&amp;"年度出願!$T:$T"),日付設定!$F$4,INDIRECT($B21&amp;"年度出願!$R:$R"),2)</f>
        <v>6</v>
      </c>
      <c r="F21" s="166">
        <f ca="1">COUNTIFS(INDIRECT($B21&amp;"年度出願!$M:$M"),"&lt;="&amp;日付設定!$B1,INDIRECT($B21&amp;"年度出願!$E:$E"),日付設定!$E$3,INDIRECT($B21&amp;"年度出願!$T:$T"),日付設定!$F$4,INDIRECT($B21&amp;"年度出願!$R:$R"),1)</f>
        <v>14</v>
      </c>
      <c r="G21" s="159">
        <f ca="1">COUNTIFS(INDIRECT($B21&amp;"年度出願!$Y:$Y"),"&lt;="&amp;日付設定!$B1,INDIRECT($B21&amp;"年度出願!$E:$E"),日付設定!$E$3,INDIRECT($B21&amp;"年度出願!$T:$T"),日付設定!$F$4,INDIRECT($B21&amp;"年度出願!$R:$R"),1,INDIRECT($B21&amp;"年度出願!$Y:$Y"),"&lt;&gt;"&amp;""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$4,INDIRECT($B21&amp;"年度出願!$R:$R"),1,INDIRECT($B21&amp;"年度出願!$AG:$AG"),"&lt;&gt;"&amp;日付設定!$E$3)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",INDIRECT($B21&amp;"年度出願!$A:$A"),日付設定!$M$2)</f>
        <v>0</v>
      </c>
      <c r="H21" s="160">
        <f ca="1">COUNTIFS(INDIRECT($B21&amp;"年度出願!$AA:$AA"),"&lt;="&amp;日付設定!$B1,INDIRECT($B21&amp;"年度出願!$AG:$AG"),日付設定!$E$3,INDIRECT($B21&amp;"年度出願!$T:$T"),日付設定!$F$4,INDIRECT($B21&amp;"年度出願!$R:$R"),1)</f>
        <v>0</v>
      </c>
      <c r="I21" s="166">
        <f ca="1">COUNTIFS(INDIRECT($B21&amp;"年度出願!$M:$M"),"&lt;="&amp;日付設定!$B1,INDIRECT($B21&amp;"年度出願!$E:$E"),日付設定!$E$3,INDIRECT($B21&amp;"年度出願!$T:$T"),日付設定!$F$6)</f>
        <v>11</v>
      </c>
      <c r="J21" s="159">
        <f ca="1">COUNTIFS(INDIRECT($B21&amp;"年度出願!$Y:$Y"),"&lt;="&amp;日付設定!$B1,INDIRECT($B21&amp;"年度出願!$E:$E"),日付設定!$E$3,INDIRECT($B21&amp;"年度出願!$T:$T"),日付設定!$F$6,INDIRECT($B21&amp;"年度出願!$Y:$Y"),"&lt;&gt;"&amp;"")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+COUNTIFS(INDIRECT($B21&amp;"年度出願!$AA:$AA"),"&lt;="&amp;日付設定!$B1,INDIRECT($B21&amp;"年度出願!$E:$E"),日付設定!$E$3,INDIRECT($B21&amp;"年度出願!$T:$T"),日付設定!$F$6,INDIRECT($B21&amp;"年度出願!$AG:$AG"),"&lt;&gt;"&amp;日付設定!$E$3)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",INDIRECT($B21&amp;"年度出願!$A:$A"),日付設定!$M$2)</f>
        <v>0</v>
      </c>
      <c r="K21" s="160">
        <f ca="1">COUNTIFS(INDIRECT($B21&amp;"年度出願!$AA:$AA"),"&lt;="&amp;日付設定!$B1,INDIRECT($B21&amp;"年度出願!$AG:$AG"),日付設定!$E$3,INDIRECT($B21&amp;"年度出願!$T:$T"),日付設定!$F$6)</f>
        <v>7</v>
      </c>
      <c r="L21" s="166">
        <f ca="1">COUNTIFS(INDIRECT($B21&amp;"年度出願!$M:$M"),"&lt;="&amp;日付設定!$B1,INDIRECT($B21&amp;"年度出願!$E:$E"),日付設定!$E$3,INDIRECT($B21&amp;"年度出願!$T:$T"),日付設定!$F$10)</f>
        <v>0</v>
      </c>
      <c r="M21" s="159">
        <f ca="1">COUNTIFS(INDIRECT($B21&amp;"年度出願!$Y:$Y"),"&lt;="&amp;日付設定!$B1,INDIRECT($B21&amp;"年度出願!$E:$E"),日付設定!$E$3,INDIRECT($B21&amp;"年度出願!$T:$T"),日付設定!$F$10,INDIRECT($B21&amp;"年度出願!$Y:$Y"),"&lt;&gt;"&amp;"")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+COUNTIFS(INDIRECT($B21&amp;"年度出願!$AA:$AA"),"&lt;="&amp;日付設定!$B1,INDIRECT($B21&amp;"年度出願!$E:$E"),日付設定!$E$3,INDIRECT($B21&amp;"年度出願!$T:$T"),日付設定!$F$10,INDIRECT($B21&amp;"年度出願!$AG:$AG"),"&lt;&gt;"&amp;日付設定!$E$3)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",INDIRECT($B21&amp;"年度出願!$A:$A"),日付設定!$M$2)</f>
        <v>0</v>
      </c>
      <c r="N21" s="160">
        <f ca="1">COUNTIFS(INDIRECT($B21&amp;"年度出願!$AA:$AA"),"&lt;="&amp;日付設定!$B1,INDIRECT($B21&amp;"年度出願!$AG:$AG"),日付設定!$E$3,INDIRECT($B21&amp;"年度出願!$T:$T"),日付設定!$F$10)</f>
        <v>0</v>
      </c>
      <c r="O21" s="166">
        <f ca="1">COUNTIFS(INDIRECT($B21&amp;"年度出願!$M:$M"),"&lt;="&amp;日付設定!$B1,INDIRECT($B21&amp;"年度出願!$E:$E"),日付設定!$E$3,INDIRECT($B21&amp;"年度出願!$Q:$Q"),日付設定!$H$2)</f>
        <v>3</v>
      </c>
      <c r="P21" s="159">
        <f ca="1">COUNTIFS(INDIRECT($B21&amp;"年度出願!$Y:$Y"),"&lt;="&amp;日付設定!$B1,INDIRECT($B21&amp;"年度出願!$E:$E"),日付設定!$E$3,INDIRECT($B21&amp;"年度出願!$Q:$Q"),日付設定!$H$2,INDIRECT($B21&amp;"年度出願!$Y:$Y"),"&lt;&gt;"&amp;"")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N"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+COUNTIFS(INDIRECT($B21&amp;"年度出願!$AA:$AA"),"&lt;="&amp;日付設定!$B1,INDIRECT($B21&amp;"年度出願!$E:$E"),日付設定!$E$3,INDIRECT($B21&amp;"年度出願!$Q:$Q"),日付設定!$H$2,INDIRECT($B21&amp;"年度出願!$AG:$AG"),"&lt;&gt;"&amp;日付設定!$E$3)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",INDIRECT($B21&amp;"年度出願!$A:$A"),日付設定!$M$2)</f>
        <v>0</v>
      </c>
      <c r="Q21" s="160">
        <f ca="1">COUNTIFS(INDIRECT($B21&amp;"年度出願!$AA:$AA"),"&lt;="&amp;日付設定!$B1,INDIRECT($B21&amp;"年度出願!$AG:$AG"),日付設定!$E$3,INDIRECT($B21&amp;"年度出願!$Q:$Q"),日付設定!$H$2)</f>
        <v>1</v>
      </c>
      <c r="R21" s="166">
        <f ca="1">COUNTIFS(INDIRECT($B21&amp;"年度出願!$M:$M"),"&lt;="&amp;日付設定!$B1,INDIRECT($B21&amp;"年度出願!$E:$E"),日付設定!$E$3,INDIRECT($B21&amp;"年度出願!$Q:$Q"),日付設定!$G$2)</f>
        <v>11</v>
      </c>
      <c r="S21" s="159">
        <f ca="1">COUNTIFS(INDIRECT($B21&amp;"年度出願!$Y:$Y"),"&lt;="&amp;日付設定!$B1,INDIRECT($B21&amp;"年度出願!$E:$E"),日付設定!$E$3,INDIRECT($B21&amp;"年度出願!$Q:$Q"),日付設定!$G$2,INDIRECT($B21&amp;"年度出願!$Y:$Y"),"&lt;&gt;"&amp;"")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N"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+COUNTIFS(INDIRECT($B21&amp;"年度出願!$AA:$AA"),"&lt;="&amp;日付設定!$B1,INDIRECT($B21&amp;"年度出願!$E:$E"),日付設定!$E$3,INDIRECT($B21&amp;"年度出願!$Q:$Q"),日付設定!$G$2,INDIRECT($B21&amp;"年度出願!$AG:$AG"),"&lt;&gt;"&amp;日付設定!$E$3)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",INDIRECT($B21&amp;"年度出願!$A:$A"),日付設定!$M$2)</f>
        <v>0</v>
      </c>
      <c r="T21" s="160">
        <f ca="1">COUNTIFS(INDIRECT($B21&amp;"年度出願!$AA:$AA"),"&lt;="&amp;日付設定!$B1,INDIRECT($B21&amp;"年度出願!$AG:$AG"),日付設定!$E$3,INDIRECT($B21&amp;"年度出願!$Q:$Q"),日付設定!$G$2)</f>
        <v>4</v>
      </c>
      <c r="U21" s="166">
        <f ca="1">COUNTIFS(INDIRECT($B21&amp;"年度出願!$M:$M"),"&lt;="&amp;日付設定!$B1,INDIRECT($B21&amp;"年度出願!$E:$E"),日付設定!$E$3,INDIRECT($B21&amp;"年度出願!$T:$T"),日付設定!$F$3)</f>
        <v>7</v>
      </c>
      <c r="V21" s="159">
        <f ca="1">COUNTIFS(INDIRECT($B21&amp;"年度出願!$Y:$Y"),"&lt;="&amp;日付設定!$B1,INDIRECT($B21&amp;"年度出願!$E:$E"),日付設定!$E$3,INDIRECT($B21&amp;"年度出願!$T:$T"),日付設定!$F$3,INDIRECT($B21&amp;"年度出願!$Y:$Y"),"&lt;&gt;"&amp;"")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+COUNTIFS(INDIRECT($B21&amp;"年度出願!$AA:$AA"),"&lt;="&amp;日付設定!$B1,INDIRECT($B21&amp;"年度出願!$E:$E"),日付設定!$E$3,INDIRECT($B21&amp;"年度出願!$T:$T"),日付設定!$F$3,INDIRECT($B21&amp;"年度出願!$AG:$AG"),"&lt;&gt;"&amp;日付設定!$E$3)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",INDIRECT($B21&amp;"年度出願!$A:$A"),日付設定!$M$2)</f>
        <v>0</v>
      </c>
      <c r="W21" s="160">
        <f ca="1">COUNTIFS(INDIRECT($B21&amp;"年度出願!$AA:$AA"),"&lt;="&amp;日付設定!$B1,INDIRECT($B21&amp;"年度出願!$AG:$AG"),日付設定!$E$3,INDIRECT($B21&amp;"年度出願!$T:$T"),日付設定!$F$3)</f>
        <v>3</v>
      </c>
      <c r="X21" s="166">
        <f ca="1">COUNTIFS(INDIRECT($B21&amp;"年度出願!$M:$M"),"&lt;="&amp;日付設定!$B1,INDIRECT($B21&amp;"年度出願!$E:$E"),日付設定!$E$3,INDIRECT($B21&amp;"年度出願!$T:$T"),日付設定!$F$5)</f>
        <v>14</v>
      </c>
      <c r="Y21" s="159">
        <f ca="1">COUNTIFS(INDIRECT($B21&amp;"年度出願!$Y:$Y"),"&lt;="&amp;日付設定!$B1,INDIRECT($B21&amp;"年度出願!$E:$E"),日付設定!$E$3,INDIRECT($B21&amp;"年度出願!$T:$T"),日付設定!$F$5,INDIRECT($B21&amp;"年度出願!$Y:$Y"),"&lt;&gt;"&amp;"")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+COUNTIFS(INDIRECT($B21&amp;"年度出願!$AA:$AA"),"&lt;="&amp;日付設定!$B1,INDIRECT($B21&amp;"年度出願!$E:$E"),日付設定!$E$3,INDIRECT($B21&amp;"年度出願!$T:$T"),日付設定!$F$5,INDIRECT($B21&amp;"年度出願!$AG:$AG"),"&lt;&gt;"&amp;日付設定!$E$3)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",INDIRECT($B21&amp;"年度出願!$A:$A"),日付設定!$M$2)</f>
        <v>0</v>
      </c>
      <c r="Z21" s="160">
        <f ca="1">COUNTIFS(INDIRECT($B21&amp;"年度出願!$AA:$AA"),"&lt;="&amp;日付設定!$B1,INDIRECT($B21&amp;"年度出願!$AG:$AG"),日付設定!$E$3,INDIRECT($B21&amp;"年度出願!$T:$T"),日付設定!$F$5)</f>
        <v>6</v>
      </c>
      <c r="AA21" s="166">
        <f ca="1">COUNTIFS(INDIRECT($B21&amp;"年度出願!$M:$M"),"&lt;="&amp;日付設定!$B1,INDIRECT($B21&amp;"年度出願!$E:$E"),日付設定!$E$3,INDIRECT($B21&amp;"年度出願!$T:$T"),日付設定!$F$9)</f>
        <v>12</v>
      </c>
      <c r="AB21" s="159">
        <f ca="1">COUNTIFS(INDIRECT($B21&amp;"年度出願!$Y:$Y"),"&lt;="&amp;日付設定!$B1,INDIRECT($B21&amp;"年度出願!$E:$E"),日付設定!$E$3,INDIRECT($B21&amp;"年度出願!$T:$T"),日付設定!$F$9,INDIRECT($B21&amp;"年度出願!$Y:$Y"),"&lt;&gt;"&amp;"")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+COUNTIFS(INDIRECT($B21&amp;"年度出願!$AA:$AA"),"&lt;="&amp;日付設定!$B1,INDIRECT($B21&amp;"年度出願!$E:$E"),日付設定!$E$3,INDIRECT($B21&amp;"年度出願!$T:$T"),日付設定!$F$9,INDIRECT($B21&amp;"年度出願!$AG:$AG"),"&lt;&gt;"&amp;日付設定!$E$3)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",INDIRECT($B21&amp;"年度出願!$A:$A"),日付設定!$M$2)</f>
        <v>0</v>
      </c>
      <c r="AC21" s="160">
        <f ca="1">COUNTIFS(INDIRECT($B21&amp;"年度出願!$AA:$AA"),"&lt;="&amp;日付設定!$B1,INDIRECT($B21&amp;"年度出願!$AG:$AG"),日付設定!$E$3,INDIRECT($B21&amp;"年度出願!$T:$T"),日付設定!$F$9)</f>
        <v>4</v>
      </c>
      <c r="AD21" s="166">
        <f ca="1">COUNTIFS(INDIRECT($B21&amp;"年度出願!$M:$M"),"&lt;="&amp;日付設定!$B1,INDIRECT($B21&amp;"年度出願!$E:$E"),日付設定!$E$3,INDIRECT($B21&amp;"年度出願!$T:$T"),日付設定!$F$7)</f>
        <v>11</v>
      </c>
      <c r="AE21" s="159">
        <f ca="1">COUNTIFS(INDIRECT($B21&amp;"年度出願!$Y:$Y"),"&lt;="&amp;日付設定!$B1,INDIRECT($B21&amp;"年度出願!$E:$E"),日付設定!$E$3,INDIRECT($B21&amp;"年度出願!$T:$T"),日付設定!$F$7,INDIRECT($B21&amp;"年度出願!$Y:$Y"),"&lt;&gt;"&amp;"")
+COUNTIFS(INDIRECT($B21&amp;"年度出願!$M:$M"),"&lt;="&amp;日付設定!$B1,INDIRECT($B21&amp;"年度出願!$E:$E"),日付設定!$E$3,INDIRECT($B21&amp;"年度出願!$T:$T"),日付設定!$F$7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$7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+COUNTIFS(INDIRECT($B21&amp;"年度出願!$AA:$AA"),"&lt;="&amp;日付設定!$B1,INDIRECT($B21&amp;"年度出願!$E:$E"),日付設定!$E$3,INDIRECT($B21&amp;"年度出願!$T:$T"),日付設定!$F$7,INDIRECT($B21&amp;"年度出願!$AG:$AG"),"&lt;&gt;"&amp;日付設定!$E$3)</f>
        <v>0</v>
      </c>
      <c r="AF21" s="160">
        <f ca="1">COUNTIFS(INDIRECT($B21&amp;"年度出願!$AA:$AA"),"&lt;="&amp;日付設定!$B1,INDIRECT($B21&amp;"年度出願!$AG:$AG"),日付設定!$E$3,INDIRECT($B21&amp;"年度出願!$T:$T"),日付設定!$F$7)</f>
        <v>7</v>
      </c>
      <c r="AG21" s="166">
        <f ca="1">COUNTIFS(INDIRECT($B21&amp;"年度出願!$M:$M"),"&lt;="&amp;日付設定!$B1,INDIRECT($B21&amp;"年度出願!$E:$E"),日付設定!$E$3,INDIRECT($B21&amp;"年度出願!$T:$T"),日付設定!$F$11)</f>
        <v>0</v>
      </c>
      <c r="AH21" s="159">
        <f ca="1">COUNTIFS(INDIRECT($B21&amp;"年度出願!$Y:$Y"),"&lt;="&amp;日付設定!$B1,INDIRECT($B21&amp;"年度出願!$E:$E"),日付設定!$E$3,INDIRECT($B21&amp;"年度出願!$T:$T"),日付設定!$F$11,INDIRECT($B21&amp;"年度出願!$Y:$Y"),"&lt;&gt;"&amp;"")
+COUNTIFS(INDIRECT($B21&amp;"年度出願!$M:$M"),"&lt;="&amp;日付設定!$B1,INDIRECT($B21&amp;"年度出願!$E:$E"),日付設定!$E$3,INDIRECT($B21&amp;"年度出願!$T:$T"),日付設定!$F$11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$11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+COUNTIFS(INDIRECT($B21&amp;"年度出願!$AA:$AA"),"&lt;="&amp;日付設定!$B1,INDIRECT($B21&amp;"年度出願!$E:$E"),日付設定!$E$3,INDIRECT($B21&amp;"年度出願!$T:$T"),日付設定!$F$11,INDIRECT($B21&amp;"年度出願!$AG:$AG"),"&lt;&gt;"&amp;日付設定!$E$3)</f>
        <v>0</v>
      </c>
      <c r="AI21" s="160">
        <f ca="1">COUNTIFS(INDIRECT($B21&amp;"年度出願!$AA:$AA"),"&lt;="&amp;日付設定!$B1,INDIRECT($B21&amp;"年度出願!$AG:$AG"),日付設定!$E$3,INDIRECT($B21&amp;"年度出願!$T:$T"),日付設定!$F$11)</f>
        <v>0</v>
      </c>
      <c r="AJ21" s="166">
        <f t="shared" ca="1" si="4"/>
        <v>116</v>
      </c>
      <c r="AK21" s="159">
        <f t="shared" ca="1" si="5"/>
        <v>0</v>
      </c>
      <c r="AL21" s="160">
        <f t="shared" ca="1" si="6"/>
        <v>38</v>
      </c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  <c r="DG21" s="169"/>
      <c r="DH21" s="169"/>
      <c r="DI21" s="169"/>
      <c r="DJ21" s="169"/>
      <c r="DK21" s="169"/>
    </row>
    <row r="22" spans="1:115" s="169" customFormat="1" ht="53.25" customHeight="1" x14ac:dyDescent="0.45">
      <c r="A22" s="184"/>
      <c r="B22" s="149">
        <v>2026</v>
      </c>
      <c r="C22" s="166">
        <f ca="1">COUNTIFS(INDIRECT($B22&amp;"年度出願!$M:$M"),"&lt;="&amp;日付設定!$B1,INDIRECT($B22&amp;"年度出願!$E:$E"),日付設定!$E$3,INDIRECT($B22&amp;"年度出願!$T:$T"),日付設定!$F$4,INDIRECT($B22&amp;"年度出願!$R:$R"),2)</f>
        <v>36</v>
      </c>
      <c r="D22" s="159">
        <f ca="1">COUNTIFS(INDIRECT($B22&amp;"年度出願!$Y:$Y"),"&lt;="&amp;日付設定!$B1,INDIRECT($B22&amp;"年度出願!$E:$E"),日付設定!$E$3,INDIRECT($B22&amp;"年度出願!$T:$T"),日付設定!$F$4,INDIRECT($B22&amp;"年度出願!$R:$R"),2,INDIRECT($B22&amp;"年度出願!$Y:$Y"),"&lt;&gt;"&amp;"")
+COUNTIFS(INDIRECT($B22&amp;"年度出願!$M:$M"),"&lt;="&amp;日付設定!$B1,INDIRECT($B22&amp;"年度出願!$E:$E"),日付設定!$E$3,INDIRECT($B22&amp;"年度出願!$T:$T"),日付設定!$F$4,INDIRECT($B22&amp;"年度出願!$R:$R"),2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$4,INDIRECT($B22&amp;"年度出願!$R:$R"),2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$4,INDIRECT($B22&amp;"年度出願!$R:$R"),2,INDIRECT($B22&amp;"年度出願!$AG:$AG"),"&lt;&gt;"&amp;日付設定!$E$3)
+COUNTIFS(INDIRECT($B22&amp;"年度出願!$M:$M"),"&lt;="&amp;日付設定!$B1,INDIRECT($B22&amp;"年度出願!$E:$E"),日付設定!$E$3,INDIRECT($B22&amp;"年度出願!$T:$T"),日付設定!$F$4,INDIRECT($B22&amp;"年度出願!$R:$R"),2,INDIRECT($B22&amp;"年度出願!$Y:$Y"),"",INDIRECT($B22&amp;"年度出願!$AR:$AR"),"",INDIRECT($B22&amp;"年度出願!$A:$A"),日付設定!$M$2)</f>
        <v>9</v>
      </c>
      <c r="E22" s="160">
        <f ca="1">COUNTIFS(INDIRECT($B22&amp;"年度出願!$AA:$AA"),"&lt;="&amp;日付設定!$B1,INDIRECT($B22&amp;"年度出願!$AG:$AG"),日付設定!$E$3,INDIRECT($B22&amp;"年度出願!$T:$T"),日付設定!$F$4,INDIRECT($B22&amp;"年度出願!$R:$R"),2)</f>
        <v>20</v>
      </c>
      <c r="F22" s="166">
        <f ca="1">COUNTIFS(INDIRECT($B22&amp;"年度出願!$M:$M"),"&lt;="&amp;日付設定!$B1,INDIRECT($B22&amp;"年度出願!$E:$E"),日付設定!$E$3,INDIRECT($B22&amp;"年度出願!$T:$T"),日付設定!$F$4,INDIRECT($B22&amp;"年度出願!$R:$R"),1)</f>
        <v>16</v>
      </c>
      <c r="G22" s="159">
        <f ca="1">COUNTIFS(INDIRECT($B22&amp;"年度出願!$Y:$Y"),"&lt;="&amp;日付設定!$B1,INDIRECT($B22&amp;"年度出願!$E:$E"),日付設定!$E$3,INDIRECT($B22&amp;"年度出願!$T:$T"),日付設定!$F$4,INDIRECT($B22&amp;"年度出願!$R:$R"),1,INDIRECT($B22&amp;"年度出願!$Y:$Y"),"&lt;&gt;"&amp;"")
+COUNTIFS(INDIRECT($B22&amp;"年度出願!$M:$M"),"&lt;="&amp;日付設定!$B1,INDIRECT($B22&amp;"年度出願!$E:$E"),日付設定!$E$3,INDIRECT($B22&amp;"年度出願!$T:$T"),日付設定!$F$4,INDIRECT($B22&amp;"年度出願!$R:$R"),1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$4,INDIRECT($B22&amp;"年度出願!$R:$R"),1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$4,INDIRECT($B22&amp;"年度出願!$R:$R"),1,INDIRECT($B22&amp;"年度出願!$AG:$AG"),"&lt;&gt;"&amp;日付設定!$E$3)
+COUNTIFS(INDIRECT($B22&amp;"年度出願!$M:$M"),"&lt;="&amp;日付設定!$B1,INDIRECT($B22&amp;"年度出願!$E:$E"),日付設定!$E$3,INDIRECT($B22&amp;"年度出願!$T:$T"),日付設定!$F$4,INDIRECT($B22&amp;"年度出願!$R:$R"),1,INDIRECT($B22&amp;"年度出願!$Y:$Y"),"",INDIRECT($B22&amp;"年度出願!$AR:$AR"),"",INDIRECT($B22&amp;"年度出願!$A:$A"),日付設定!$M$2)</f>
        <v>8</v>
      </c>
      <c r="H22" s="160">
        <f ca="1">COUNTIFS(INDIRECT($B22&amp;"年度出願!$AA:$AA"),"&lt;="&amp;日付設定!$B1,INDIRECT($B22&amp;"年度出願!$AG:$AG"),日付設定!$E$3,INDIRECT($B22&amp;"年度出願!$T:$T"),日付設定!$F$4,INDIRECT($B22&amp;"年度出願!$R:$R"),1)</f>
        <v>5</v>
      </c>
      <c r="I22" s="166">
        <f ca="1">COUNTIFS(INDIRECT($B22&amp;"年度出願!$M:$M"),"&lt;="&amp;日付設定!$B1,INDIRECT($B22&amp;"年度出願!$E:$E"),日付設定!$E$3,INDIRECT($B22&amp;"年度出願!$T:$T"),日付設定!$F$6)</f>
        <v>9</v>
      </c>
      <c r="J22" s="159">
        <f ca="1">COUNTIFS(INDIRECT($B22&amp;"年度出願!$Y:$Y"),"&lt;="&amp;日付設定!$B1,INDIRECT($B22&amp;"年度出願!$E:$E"),日付設定!$E$3,INDIRECT($B22&amp;"年度出願!$T:$T"),日付設定!$F$6,INDIRECT($B22&amp;"年度出願!$Y:$Y"),"&lt;&gt;"&amp;"")
+COUNTIFS(INDIRECT($B22&amp;"年度出願!$M:$M"),"&lt;="&amp;日付設定!$B1,INDIRECT($B22&amp;"年度出願!$E:$E"),日付設定!$E$3,INDIRECT($B22&amp;"年度出願!$T:$T"),日付設定!$F$6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$6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+COUNTIFS(INDIRECT($B22&amp;"年度出願!$AA:$AA"),"&lt;="&amp;日付設定!$B1,INDIRECT($B22&amp;"年度出願!$E:$E"),日付設定!$E$3,INDIRECT($B22&amp;"年度出願!$T:$T"),日付設定!$F$6,INDIRECT($B22&amp;"年度出願!$AG:$AG"),"&lt;&gt;"&amp;日付設定!$E$3)
+COUNTIFS(INDIRECT($B22&amp;"年度出願!$M:$M"),"&lt;="&amp;日付設定!$B1,INDIRECT($B22&amp;"年度出願!$E:$E"),日付設定!$E$3,INDIRECT($B22&amp;"年度出願!$T:$T"),日付設定!$F$6,INDIRECT($B22&amp;"年度出願!$Y:$Y"),"",INDIRECT($B22&amp;"年度出願!$AR:$AR"),"",INDIRECT($B22&amp;"年度出願!$A:$A"),日付設定!$M$2)</f>
        <v>1</v>
      </c>
      <c r="K22" s="160">
        <f ca="1">COUNTIFS(INDIRECT($B22&amp;"年度出願!$AA:$AA"),"&lt;="&amp;日付設定!$B1,INDIRECT($B22&amp;"年度出願!$AG:$AG"),日付設定!$E$3,INDIRECT($B22&amp;"年度出願!$T:$T"),日付設定!$F$6)</f>
        <v>6</v>
      </c>
      <c r="L22" s="166">
        <f ca="1">COUNTIFS(INDIRECT($B22&amp;"年度出願!$M:$M"),"&lt;="&amp;日付設定!$B1,INDIRECT($B22&amp;"年度出願!$E:$E"),日付設定!$E$3,INDIRECT($B22&amp;"年度出願!$T:$T"),日付設定!$F$10)</f>
        <v>0</v>
      </c>
      <c r="M22" s="159">
        <f ca="1">COUNTIFS(INDIRECT($B22&amp;"年度出願!$Y:$Y"),"&lt;="&amp;日付設定!$B1,INDIRECT($B22&amp;"年度出願!$E:$E"),日付設定!$E$3,INDIRECT($B22&amp;"年度出願!$T:$T"),日付設定!$F$10,INDIRECT($B22&amp;"年度出願!$Y:$Y"),"&lt;&gt;"&amp;"")
+COUNTIFS(INDIRECT($B22&amp;"年度出願!$M:$M"),"&lt;="&amp;日付設定!$B1,INDIRECT($B22&amp;"年度出願!$E:$E"),日付設定!$E$3,INDIRECT($B22&amp;"年度出願!$T:$T"),日付設定!$F$10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$10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+COUNTIFS(INDIRECT($B22&amp;"年度出願!$AA:$AA"),"&lt;="&amp;日付設定!$B1,INDIRECT($B22&amp;"年度出願!$E:$E"),日付設定!$E$3,INDIRECT($B22&amp;"年度出願!$T:$T"),日付設定!$F$10,INDIRECT($B22&amp;"年度出願!$AG:$AG"),"&lt;&gt;"&amp;日付設定!$E$3)
+COUNTIFS(INDIRECT($B22&amp;"年度出願!$M:$M"),"&lt;="&amp;日付設定!$B1,INDIRECT($B22&amp;"年度出願!$E:$E"),日付設定!$E$3,INDIRECT($B22&amp;"年度出願!$T:$T"),日付設定!$F$10,INDIRECT($B22&amp;"年度出願!$Y:$Y"),"",INDIRECT($B22&amp;"年度出願!$AR:$AR"),"",INDIRECT($B22&amp;"年度出願!$A:$A"),日付設定!$M$2)</f>
        <v>0</v>
      </c>
      <c r="N22" s="160">
        <f ca="1">COUNTIFS(INDIRECT($B22&amp;"年度出願!$AA:$AA"),"&lt;="&amp;日付設定!$B1,INDIRECT($B22&amp;"年度出願!$AG:$AG"),日付設定!$E$3,INDIRECT($B22&amp;"年度出願!$T:$T"),日付設定!$F$10)</f>
        <v>0</v>
      </c>
      <c r="O22" s="166">
        <f ca="1">COUNTIFS(INDIRECT($B22&amp;"年度出願!$M:$M"),"&lt;="&amp;日付設定!$B1,INDIRECT($B22&amp;"年度出願!$E:$E"),日付設定!$E$3,INDIRECT($B22&amp;"年度出願!$Q:$Q"),日付設定!$H$2)</f>
        <v>11</v>
      </c>
      <c r="P22" s="159">
        <f ca="1">COUNTIFS(INDIRECT($B22&amp;"年度出願!$Y:$Y"),"&lt;="&amp;日付設定!$B1,INDIRECT($B22&amp;"年度出願!$E:$E"),日付設定!$E$3,INDIRECT($B22&amp;"年度出願!$Q:$Q"),日付設定!$H$2,INDIRECT($B22&amp;"年度出願!$Y:$Y"),"&lt;&gt;"&amp;"")
+COUNTIFS(INDIRECT($B22&amp;"年度出願!$M:$M"),"&lt;="&amp;日付設定!$B1,INDIRECT($B22&amp;"年度出願!$E:$E"),日付設定!$E$3,INDIRECT($B22&amp;"年度出願!$Q:$Q"),日付設定!$H$2,INDIRECT($B22&amp;"年度出願!$Y:$Y"),"",INDIRECT($B22&amp;"年度出願!$AR:$AR"),"N")
+COUNTIFS(INDIRECT($B22&amp;"年度出願!$M:$M"),"&lt;="&amp;日付設定!$B1,INDIRECT($B22&amp;"年度出願!$E:$E"),日付設定!$E$3,INDIRECT($B22&amp;"年度出願!$Q:$Q"),日付設定!$H$2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+COUNTIFS(INDIRECT($B22&amp;"年度出願!$AA:$AA"),"&lt;="&amp;日付設定!$B1,INDIRECT($B22&amp;"年度出願!$E:$E"),日付設定!$E$3,INDIRECT($B22&amp;"年度出願!$Q:$Q"),日付設定!$H$2,INDIRECT($B22&amp;"年度出願!$AG:$AG"),"&lt;&gt;"&amp;日付設定!$E$3)
+COUNTIFS(INDIRECT($B22&amp;"年度出願!$M:$M"),"&lt;="&amp;日付設定!$B1,INDIRECT($B22&amp;"年度出願!$E:$E"),日付設定!$E$3,INDIRECT($B22&amp;"年度出願!$Q:$Q"),日付設定!$H$2,INDIRECT($B22&amp;"年度出願!$Y:$Y"),"",INDIRECT($B22&amp;"年度出願!$AR:$AR"),"",INDIRECT($B22&amp;"年度出願!$A:$A"),日付設定!$M$2)</f>
        <v>1</v>
      </c>
      <c r="Q22" s="160">
        <f ca="1">COUNTIFS(INDIRECT($B22&amp;"年度出願!$AA:$AA"),"&lt;="&amp;日付設定!$B1,INDIRECT($B22&amp;"年度出願!$AG:$AG"),日付設定!$E$3,INDIRECT($B22&amp;"年度出願!$Q:$Q"),日付設定!$H$2)</f>
        <v>10</v>
      </c>
      <c r="R22" s="166">
        <f ca="1">COUNTIFS(INDIRECT($B22&amp;"年度出願!$M:$M"),"&lt;="&amp;日付設定!$B1,INDIRECT($B22&amp;"年度出願!$E:$E"),日付設定!$E$3,INDIRECT($B22&amp;"年度出願!$Q:$Q"),日付設定!$G$2)</f>
        <v>12</v>
      </c>
      <c r="S22" s="159">
        <f ca="1">COUNTIFS(INDIRECT($B22&amp;"年度出願!$Y:$Y"),"&lt;="&amp;日付設定!$B1,INDIRECT($B22&amp;"年度出願!$E:$E"),日付設定!$E$3,INDIRECT($B22&amp;"年度出願!$Q:$Q"),日付設定!$G$2,INDIRECT($B22&amp;"年度出願!$Y:$Y"),"&lt;&gt;"&amp;"")
+COUNTIFS(INDIRECT($B22&amp;"年度出願!$M:$M"),"&lt;="&amp;日付設定!$B1,INDIRECT($B22&amp;"年度出願!$E:$E"),日付設定!$E$3,INDIRECT($B22&amp;"年度出願!$Q:$Q"),日付設定!$G$2,INDIRECT($B22&amp;"年度出願!$Y:$Y"),"",INDIRECT($B22&amp;"年度出願!$AR:$AR"),"N")
+COUNTIFS(INDIRECT($B22&amp;"年度出願!$M:$M"),"&lt;="&amp;日付設定!$B1,INDIRECT($B22&amp;"年度出願!$E:$E"),日付設定!$E$3,INDIRECT($B22&amp;"年度出願!$Q:$Q"),日付設定!$G$2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+COUNTIFS(INDIRECT($B22&amp;"年度出願!$AA:$AA"),"&lt;="&amp;日付設定!$B1,INDIRECT($B22&amp;"年度出願!$E:$E"),日付設定!$E$3,INDIRECT($B22&amp;"年度出願!$Q:$Q"),日付設定!$G$2,INDIRECT($B22&amp;"年度出願!$AG:$AG"),"&lt;&gt;"&amp;日付設定!$E$3)
+COUNTIFS(INDIRECT($B22&amp;"年度出願!$M:$M"),"&lt;="&amp;日付設定!$B1,INDIRECT($B22&amp;"年度出願!$E:$E"),日付設定!$E$3,INDIRECT($B22&amp;"年度出願!$Q:$Q"),日付設定!$G$2,INDIRECT($B22&amp;"年度出願!$Y:$Y"),"",INDIRECT($B22&amp;"年度出願!$AR:$AR"),"",INDIRECT($B22&amp;"年度出願!$A:$A"),日付設定!$M$2)</f>
        <v>1</v>
      </c>
      <c r="T22" s="160">
        <f ca="1">COUNTIFS(INDIRECT($B22&amp;"年度出願!$AA:$AA"),"&lt;="&amp;日付設定!$B1,INDIRECT($B22&amp;"年度出願!$AG:$AG"),日付設定!$E$3,INDIRECT($B22&amp;"年度出願!$Q:$Q"),日付設定!$G$2)</f>
        <v>8</v>
      </c>
      <c r="U22" s="166">
        <f ca="1">COUNTIFS(INDIRECT($B22&amp;"年度出願!$M:$M"),"&lt;="&amp;日付設定!$B1,INDIRECT($B22&amp;"年度出願!$E:$E"),日付設定!$E$3,INDIRECT($B22&amp;"年度出願!$T:$T"),日付設定!$F$3)</f>
        <v>19</v>
      </c>
      <c r="V22" s="159">
        <f ca="1">COUNTIFS(INDIRECT($B22&amp;"年度出願!$Y:$Y"),"&lt;="&amp;日付設定!$B1,INDIRECT($B22&amp;"年度出願!$E:$E"),日付設定!$E$3,INDIRECT($B22&amp;"年度出願!$T:$T"),日付設定!$F$3,INDIRECT($B22&amp;"年度出願!$Y:$Y"),"&lt;&gt;"&amp;"")
+COUNTIFS(INDIRECT($B22&amp;"年度出願!$M:$M"),"&lt;="&amp;日付設定!$B1,INDIRECT($B22&amp;"年度出願!$E:$E"),日付設定!$E$3,INDIRECT($B22&amp;"年度出願!$T:$T"),日付設定!$F$3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$3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+COUNTIFS(INDIRECT($B22&amp;"年度出願!$AA:$AA"),"&lt;="&amp;日付設定!$B1,INDIRECT($B22&amp;"年度出願!$E:$E"),日付設定!$E$3,INDIRECT($B22&amp;"年度出願!$T:$T"),日付設定!$F$3,INDIRECT($B22&amp;"年度出願!$AG:$AG"),"&lt;&gt;"&amp;日付設定!$E$3)
+COUNTIFS(INDIRECT($B22&amp;"年度出願!$M:$M"),"&lt;="&amp;日付設定!$B1,INDIRECT($B22&amp;"年度出願!$E:$E"),日付設定!$E$3,INDIRECT($B22&amp;"年度出願!$T:$T"),日付設定!$F$3,INDIRECT($B22&amp;"年度出願!$Y:$Y"),"",INDIRECT($B22&amp;"年度出願!$AR:$AR"),"",INDIRECT($B22&amp;"年度出願!$A:$A"),日付設定!$M$2)</f>
        <v>1</v>
      </c>
      <c r="W22" s="160">
        <f ca="1">COUNTIFS(INDIRECT($B22&amp;"年度出願!$AA:$AA"),"&lt;="&amp;日付設定!$B1,INDIRECT($B22&amp;"年度出願!$AG:$AG"),日付設定!$E$3,INDIRECT($B22&amp;"年度出願!$T:$T"),日付設定!$F$3)</f>
        <v>16</v>
      </c>
      <c r="X22" s="166">
        <f ca="1">COUNTIFS(INDIRECT($B22&amp;"年度出願!$M:$M"),"&lt;="&amp;日付設定!$B1,INDIRECT($B22&amp;"年度出願!$E:$E"),日付設定!$E$3,INDIRECT($B22&amp;"年度出願!$T:$T"),日付設定!$F$5)</f>
        <v>11</v>
      </c>
      <c r="Y22" s="159">
        <f ca="1">COUNTIFS(INDIRECT($B22&amp;"年度出願!$Y:$Y"),"&lt;="&amp;日付設定!$B1,INDIRECT($B22&amp;"年度出願!$E:$E"),日付設定!$E$3,INDIRECT($B22&amp;"年度出願!$T:$T"),日付設定!$F$5,INDIRECT($B22&amp;"年度出願!$Y:$Y"),"&lt;&gt;"&amp;"")
+COUNTIFS(INDIRECT($B22&amp;"年度出願!$M:$M"),"&lt;="&amp;日付設定!$B1,INDIRECT($B22&amp;"年度出願!$E:$E"),日付設定!$E$3,INDIRECT($B22&amp;"年度出願!$T:$T"),日付設定!$F$5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$5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+COUNTIFS(INDIRECT($B22&amp;"年度出願!$AA:$AA"),"&lt;="&amp;日付設定!$B1,INDIRECT($B22&amp;"年度出願!$E:$E"),日付設定!$E$3,INDIRECT($B22&amp;"年度出願!$T:$T"),日付設定!$F$5,INDIRECT($B22&amp;"年度出願!$AG:$AG"),"&lt;&gt;"&amp;日付設定!$E$3)
+COUNTIFS(INDIRECT($B22&amp;"年度出願!$M:$M"),"&lt;="&amp;日付設定!$B1,INDIRECT($B22&amp;"年度出願!$E:$E"),日付設定!$E$3,INDIRECT($B22&amp;"年度出願!$T:$T"),日付設定!$F$5,INDIRECT($B22&amp;"年度出願!$Y:$Y"),"",INDIRECT($B22&amp;"年度出願!$AR:$AR"),"",INDIRECT($B22&amp;"年度出願!$A:$A"),日付設定!$M$2)</f>
        <v>1</v>
      </c>
      <c r="Z22" s="160">
        <f ca="1">COUNTIFS(INDIRECT($B22&amp;"年度出願!$AA:$AA"),"&lt;="&amp;日付設定!$B1,INDIRECT($B22&amp;"年度出願!$AG:$AG"),日付設定!$E$3,INDIRECT($B22&amp;"年度出願!$T:$T"),日付設定!$F$5)</f>
        <v>9</v>
      </c>
      <c r="AA22" s="166">
        <f ca="1">COUNTIFS(INDIRECT($B22&amp;"年度出願!$M:$M"),"&lt;="&amp;日付設定!$B1,INDIRECT($B22&amp;"年度出願!$E:$E"),日付設定!$E$3,INDIRECT($B22&amp;"年度出願!$T:$T"),日付設定!$F$9)</f>
        <v>10</v>
      </c>
      <c r="AB22" s="159">
        <f ca="1">COUNTIFS(INDIRECT($B22&amp;"年度出願!$Y:$Y"),"&lt;="&amp;日付設定!$B1,INDIRECT($B22&amp;"年度出願!$E:$E"),日付設定!$E$3,INDIRECT($B22&amp;"年度出願!$T:$T"),日付設定!$F$9,INDIRECT($B22&amp;"年度出願!$Y:$Y"),"&lt;&gt;"&amp;"")
+COUNTIFS(INDIRECT($B22&amp;"年度出願!$M:$M"),"&lt;="&amp;日付設定!$B1,INDIRECT($B22&amp;"年度出願!$E:$E"),日付設定!$E$3,INDIRECT($B22&amp;"年度出願!$T:$T"),日付設定!$F$9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$9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+COUNTIFS(INDIRECT($B22&amp;"年度出願!$AA:$AA"),"&lt;="&amp;日付設定!$B1,INDIRECT($B22&amp;"年度出願!$E:$E"),日付設定!$E$3,INDIRECT($B22&amp;"年度出願!$T:$T"),日付設定!$F$9,INDIRECT($B22&amp;"年度出願!$AG:$AG"),"&lt;&gt;"&amp;日付設定!$E$3)
+COUNTIFS(INDIRECT($B22&amp;"年度出願!$M:$M"),"&lt;="&amp;日付設定!$B1,INDIRECT($B22&amp;"年度出願!$E:$E"),日付設定!$E$3,INDIRECT($B22&amp;"年度出願!$T:$T"),日付設定!$F$9,INDIRECT($B22&amp;"年度出願!$Y:$Y"),"",INDIRECT($B22&amp;"年度出願!$AR:$AR"),"",INDIRECT($B22&amp;"年度出願!$A:$A"),日付設定!$M$2)</f>
        <v>0</v>
      </c>
      <c r="AC22" s="160">
        <f ca="1">COUNTIFS(INDIRECT($B22&amp;"年度出願!$AA:$AA"),"&lt;="&amp;日付設定!$B1,INDIRECT($B22&amp;"年度出願!$AG:$AG"),日付設定!$E$3,INDIRECT($B22&amp;"年度出願!$T:$T"),日付設定!$F$9)</f>
        <v>9</v>
      </c>
      <c r="AD22" s="166">
        <f ca="1">COUNTIFS(INDIRECT($B22&amp;"年度出願!$M:$M"),"&lt;="&amp;日付設定!$B1,INDIRECT($B22&amp;"年度出願!$E:$E"),日付設定!$E$3,INDIRECT($B22&amp;"年度出願!$T:$T"),日付設定!$F$7)</f>
        <v>11</v>
      </c>
      <c r="AE22" s="159">
        <f ca="1">COUNTIFS(INDIRECT($B22&amp;"年度出願!$Y:$Y"),"&lt;="&amp;日付設定!$B1,INDIRECT($B22&amp;"年度出願!$E:$E"),日付設定!$E$3,INDIRECT($B22&amp;"年度出願!$T:$T"),日付設定!$F$7,INDIRECT($B22&amp;"年度出願!$Y:$Y"),"&lt;&gt;"&amp;"")
+COUNTIFS(INDIRECT($B22&amp;"年度出願!$M:$M"),"&lt;="&amp;日付設定!$B1,INDIRECT($B22&amp;"年度出願!$E:$E"),日付設定!$E$3,INDIRECT($B22&amp;"年度出願!$T:$T"),日付設定!$F$7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$7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+COUNTIFS(INDIRECT($B22&amp;"年度出願!$AA:$AA"),"&lt;="&amp;日付設定!$B1,INDIRECT($B22&amp;"年度出願!$E:$E"),日付設定!$E$3,INDIRECT($B22&amp;"年度出願!$T:$T"),日付設定!$F$7,INDIRECT($B22&amp;"年度出願!$AG:$AG"),"&lt;&gt;"&amp;日付設定!$E$3)</f>
        <v>1</v>
      </c>
      <c r="AF22" s="160">
        <f ca="1">COUNTIFS(INDIRECT($B22&amp;"年度出願!$AA:$AA"),"&lt;="&amp;日付設定!$B1,INDIRECT($B22&amp;"年度出願!$AG:$AG"),日付設定!$E$3,INDIRECT($B22&amp;"年度出願!$T:$T"),日付設定!$F$7)</f>
        <v>10</v>
      </c>
      <c r="AG22" s="166">
        <f ca="1">COUNTIFS(INDIRECT($B22&amp;"年度出願!$M:$M"),"&lt;="&amp;日付設定!$B2,INDIRECT($B22&amp;"年度出願!$E:$E"),日付設定!$E$3,INDIRECT($B22&amp;"年度出願!$T:$T"),日付設定!$F$11)</f>
        <v>0</v>
      </c>
      <c r="AH22" s="159">
        <f ca="1">COUNTIFS(INDIRECT($B22&amp;"年度出願!$Y:$Y"),"&lt;="&amp;日付設定!$B2,INDIRECT($B22&amp;"年度出願!$E:$E"),日付設定!$E$3,INDIRECT($B22&amp;"年度出願!$T:$T"),日付設定!$F$11,INDIRECT($B22&amp;"年度出願!$Y:$Y"),"&lt;&gt;"&amp;"")
+COUNTIFS(INDIRECT($B22&amp;"年度出願!$M:$M"),"&lt;="&amp;日付設定!$B2,INDIRECT($B22&amp;"年度出願!$E:$E"),日付設定!$E$3,INDIRECT($B22&amp;"年度出願!$T:$T"),日付設定!$F$11,INDIRECT($B22&amp;"年度出願!$Y:$Y"),"",INDIRECT($B22&amp;"年度出願!$AR:$AR"),"N")
+COUNTIFS(INDIRECT($B22&amp;"年度出願!$M:$M"),"&lt;="&amp;日付設定!$B2,INDIRECT($B22&amp;"年度出願!$E:$E"),日付設定!$E$3,INDIRECT($B22&amp;"年度出願!$T:$T"),日付設定!$F$11,INDIRECT($B22&amp;"年度出願!$Y:$Y"),"",INDIRECT($B22&amp;"年度出願!$AR:$AR"),"S",INDIRECT($B22&amp;"年度出願!$AS:$AS"),"N")
+COUNTIFS(INDIRECT($B22&amp;"年度出願!$AA:$AA"),"&lt;="&amp;日付設定!$B2,INDIRECT($B22&amp;"年度出願!$E:$E"),日付設定!$E$3,INDIRECT($B22&amp;"年度出願!$T:$T"),日付設定!$F$11,INDIRECT($B22&amp;"年度出願!$AG:$AG"),"&lt;&gt;"&amp;日付設定!$E$3)</f>
        <v>0</v>
      </c>
      <c r="AI22" s="160">
        <f ca="1">COUNTIFS(INDIRECT($B22&amp;"年度出願!$AA:$AA"),"&lt;="&amp;日付設定!$B2,INDIRECT($B22&amp;"年度出願!$AG:$AG"),日付設定!$E$3,INDIRECT($B22&amp;"年度出願!$T:$T"),日付設定!$F$11)</f>
        <v>0</v>
      </c>
      <c r="AJ22" s="167">
        <f t="shared" ca="1" si="4"/>
        <v>135</v>
      </c>
      <c r="AK22" s="158">
        <f t="shared" ca="1" si="5"/>
        <v>23</v>
      </c>
      <c r="AL22" s="162">
        <f t="shared" ca="1" si="6"/>
        <v>93</v>
      </c>
    </row>
    <row r="23" spans="1:115" ht="53.25" customHeight="1" thickBot="1" x14ac:dyDescent="0.5">
      <c r="A23" s="182"/>
      <c r="B23" s="213">
        <v>2025</v>
      </c>
      <c r="C23" s="214">
        <f ca="1">COUNTIFS(INDIRECT($B23&amp;"年度出願!$M:$M"),"&lt;="&amp;日付設定!$B2,INDIRECT($B23&amp;"年度出願!$E:$E"),日付設定!$E$3,INDIRECT($B23&amp;"年度出願!$T:$T"),日付設定!$F$4,INDIRECT($B23&amp;"年度出願!$R:$R"),2)</f>
        <v>57</v>
      </c>
      <c r="D23" s="215">
        <f ca="1">COUNTIFS(INDIRECT($B23&amp;"年度出願!$Y:$Y"),"&lt;="&amp;日付設定!$B2,INDIRECT($B23&amp;"年度出願!$E:$E"),日付設定!$E$3,INDIRECT($B23&amp;"年度出願!$T:$T"),日付設定!$F$4,INDIRECT($B23&amp;"年度出願!$R:$R"),2,INDIRECT($B23&amp;"年度出願!$Y:$Y"),"&lt;&gt;"&amp;"")
+COUNTIFS(INDIRECT($B23&amp;"年度出願!$M:$M"),"&lt;="&amp;日付設定!$B2,INDIRECT($B23&amp;"年度出願!$E:$E"),日付設定!$E$3,INDIRECT($B23&amp;"年度出願!$T:$T"),日付設定!$F$4,INDIRECT($B23&amp;"年度出願!$R:$R"),2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$4,INDIRECT($B23&amp;"年度出願!$R:$R"),2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$4,INDIRECT($B23&amp;"年度出願!$R:$R"),2,INDIRECT($B23&amp;"年度出願!$AG:$AG"),"&lt;&gt;"&amp;日付設定!$E$3)
+COUNTIFS(INDIRECT($B23&amp;"年度出願!$M:$M"),"&lt;="&amp;日付設定!$B2,INDIRECT($B23&amp;"年度出願!$E:$E"),日付設定!$E$3,INDIRECT($B23&amp;"年度出願!$T:$T"),日付設定!$F$4,INDIRECT($B23&amp;"年度出願!$R:$R"),2,INDIRECT($B23&amp;"年度出願!$Y:$Y"),"",INDIRECT($B23&amp;"年度出願!$AR:$AR"),"",INDIRECT($B23&amp;"年度出願!$A:$A"),日付設定!$M$2)</f>
        <v>12</v>
      </c>
      <c r="E23" s="216">
        <f ca="1">COUNTIFS(INDIRECT($B23&amp;"年度出願!$AA:$AA"),"&lt;="&amp;日付設定!$B2,INDIRECT($B23&amp;"年度出願!$AG:$AG"),日付設定!$E$3,INDIRECT($B23&amp;"年度出願!$T:$T"),日付設定!$F$4,INDIRECT($B23&amp;"年度出願!$R:$R"),2)</f>
        <v>45</v>
      </c>
      <c r="F23" s="214">
        <f ca="1">COUNTIFS(INDIRECT($B23&amp;"年度出願!$M:$M"),"&lt;="&amp;日付設定!$B2,INDIRECT($B23&amp;"年度出願!$E:$E"),日付設定!$E$3,INDIRECT($B23&amp;"年度出願!$T:$T"),日付設定!$F$4,INDIRECT($B23&amp;"年度出願!$R:$R"),1)</f>
        <v>17</v>
      </c>
      <c r="G23" s="215">
        <f ca="1">COUNTIFS(INDIRECT($B23&amp;"年度出願!$Y:$Y"),"&lt;="&amp;日付設定!$B2,INDIRECT($B23&amp;"年度出願!$E:$E"),日付設定!$E$3,INDIRECT($B23&amp;"年度出願!$T:$T"),日付設定!$F$4,INDIRECT($B23&amp;"年度出願!$R:$R"),1,INDIRECT($B23&amp;"年度出願!$Y:$Y"),"&lt;&gt;"&amp;"")
+COUNTIFS(INDIRECT($B23&amp;"年度出願!$M:$M"),"&lt;="&amp;日付設定!$B2,INDIRECT($B23&amp;"年度出願!$E:$E"),日付設定!$E$3,INDIRECT($B23&amp;"年度出願!$T:$T"),日付設定!$F$4,INDIRECT($B23&amp;"年度出願!$R:$R"),1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$4,INDIRECT($B23&amp;"年度出願!$R:$R"),1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$4,INDIRECT($B23&amp;"年度出願!$R:$R"),1,INDIRECT($B23&amp;"年度出願!$AG:$AG"),"&lt;&gt;"&amp;日付設定!$E$3)
+COUNTIFS(INDIRECT($B23&amp;"年度出願!$M:$M"),"&lt;="&amp;日付設定!$B2,INDIRECT($B23&amp;"年度出願!$E:$E"),日付設定!$E$3,INDIRECT($B23&amp;"年度出願!$T:$T"),日付設定!$F$4,INDIRECT($B23&amp;"年度出願!$R:$R"),1,INDIRECT($B23&amp;"年度出願!$Y:$Y"),"",INDIRECT($B23&amp;"年度出願!$AR:$AR"),"",INDIRECT($B23&amp;"年度出願!$A:$A"),日付設定!$M$2)</f>
        <v>7</v>
      </c>
      <c r="H23" s="216">
        <f ca="1">COUNTIFS(INDIRECT($B23&amp;"年度出願!$AA:$AA"),"&lt;="&amp;日付設定!$B2,INDIRECT($B23&amp;"年度出願!$AG:$AG"),日付設定!$E$3,INDIRECT($B23&amp;"年度出願!$T:$T"),日付設定!$F$4,INDIRECT($B23&amp;"年度出願!$R:$R"),1)</f>
        <v>10</v>
      </c>
      <c r="I23" s="214">
        <f ca="1">COUNTIFS(INDIRECT($B23&amp;"年度出願!$M:$M"),"&lt;="&amp;日付設定!$B2,INDIRECT($B23&amp;"年度出願!$E:$E"),日付設定!$E$3,INDIRECT($B23&amp;"年度出願!$T:$T"),日付設定!$F$6)</f>
        <v>23</v>
      </c>
      <c r="J23" s="215">
        <f ca="1">COUNTIFS(INDIRECT($B23&amp;"年度出願!$Y:$Y"),"&lt;="&amp;日付設定!$B2,INDIRECT($B23&amp;"年度出願!$E:$E"),日付設定!$E$3,INDIRECT($B23&amp;"年度出願!$T:$T"),日付設定!$F$6,INDIRECT($B23&amp;"年度出願!$Y:$Y"),"&lt;&gt;"&amp;"")
+COUNTIFS(INDIRECT($B23&amp;"年度出願!$M:$M"),"&lt;="&amp;日付設定!$B2,INDIRECT($B23&amp;"年度出願!$E:$E"),日付設定!$E$3,INDIRECT($B23&amp;"年度出願!$T:$T"),日付設定!$F$6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$6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+COUNTIFS(INDIRECT($B23&amp;"年度出願!$AA:$AA"),"&lt;="&amp;日付設定!$B2,INDIRECT($B23&amp;"年度出願!$E:$E"),日付設定!$E$3,INDIRECT($B23&amp;"年度出願!$T:$T"),日付設定!$F$6,INDIRECT($B23&amp;"年度出願!$AG:$AG"),"&lt;&gt;"&amp;日付設定!$E$3)
+COUNTIFS(INDIRECT($B23&amp;"年度出願!$M:$M"),"&lt;="&amp;日付設定!$B2,INDIRECT($B23&amp;"年度出願!$E:$E"),日付設定!$E$3,INDIRECT($B23&amp;"年度出願!$T:$T"),日付設定!$F$6,INDIRECT($B23&amp;"年度出願!$Y:$Y"),"",INDIRECT($B23&amp;"年度出願!$AR:$AR"),"",INDIRECT($B23&amp;"年度出願!$A:$A"),日付設定!$M$2)</f>
        <v>2</v>
      </c>
      <c r="K23" s="216">
        <f ca="1">COUNTIFS(INDIRECT($B23&amp;"年度出願!$AA:$AA"),"&lt;="&amp;日付設定!$B2,INDIRECT($B23&amp;"年度出願!$AG:$AG"),日付設定!$E$3,INDIRECT($B23&amp;"年度出願!$T:$T"),日付設定!$F$6)</f>
        <v>21</v>
      </c>
      <c r="L23" s="214">
        <f ca="1">COUNTIFS(INDIRECT($B23&amp;"年度出願!$M:$M"),"&lt;="&amp;日付設定!$B2,INDIRECT($B23&amp;"年度出願!$E:$E"),日付設定!$E$3,INDIRECT($B23&amp;"年度出願!$T:$T"),日付設定!$F$10)</f>
        <v>1</v>
      </c>
      <c r="M23" s="215">
        <f ca="1">COUNTIFS(INDIRECT($B23&amp;"年度出願!$Y:$Y"),"&lt;="&amp;日付設定!$B2,INDIRECT($B23&amp;"年度出願!$E:$E"),日付設定!$E$3,INDIRECT($B23&amp;"年度出願!$T:$T"),日付設定!$F$10,INDIRECT($B23&amp;"年度出願!$Y:$Y"),"&lt;&gt;"&amp;"")
+COUNTIFS(INDIRECT($B23&amp;"年度出願!$M:$M"),"&lt;="&amp;日付設定!$B2,INDIRECT($B23&amp;"年度出願!$E:$E"),日付設定!$E$3,INDIRECT($B23&amp;"年度出願!$T:$T"),日付設定!$F$10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$10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+COUNTIFS(INDIRECT($B23&amp;"年度出願!$AA:$AA"),"&lt;="&amp;日付設定!$B2,INDIRECT($B23&amp;"年度出願!$E:$E"),日付設定!$E$3,INDIRECT($B23&amp;"年度出願!$T:$T"),日付設定!$F$10,INDIRECT($B23&amp;"年度出願!$AG:$AG"),"&lt;&gt;"&amp;日付設定!$E$3)
+COUNTIFS(INDIRECT($B23&amp;"年度出願!$M:$M"),"&lt;="&amp;日付設定!$B2,INDIRECT($B23&amp;"年度出願!$E:$E"),日付設定!$E$3,INDIRECT($B23&amp;"年度出願!$T:$T"),日付設定!$F$10,INDIRECT($B23&amp;"年度出願!$Y:$Y"),"",INDIRECT($B23&amp;"年度出願!$AR:$AR"),"",INDIRECT($B23&amp;"年度出願!$A:$A"),日付設定!$M$2)</f>
        <v>0</v>
      </c>
      <c r="N23" s="216">
        <f ca="1">COUNTIFS(INDIRECT($B23&amp;"年度出願!$AA:$AA"),"&lt;="&amp;日付設定!$B2,INDIRECT($B23&amp;"年度出願!$AG:$AG"),日付設定!$E$3,INDIRECT($B23&amp;"年度出願!$T:$T"),日付設定!$F$10)</f>
        <v>1</v>
      </c>
      <c r="O23" s="214">
        <f ca="1">COUNTIFS(INDIRECT($B23&amp;"年度出願!$M:$M"),"&lt;="&amp;日付設定!$B2,INDIRECT($B23&amp;"年度出願!$E:$E"),日付設定!$E$3,INDIRECT($B23&amp;"年度出願!$Q:$Q"),日付設定!$H$2)</f>
        <v>11</v>
      </c>
      <c r="P23" s="215">
        <f ca="1">COUNTIFS(INDIRECT($B23&amp;"年度出願!$Y:$Y"),"&lt;="&amp;日付設定!$B2,INDIRECT($B23&amp;"年度出願!$E:$E"),日付設定!$E$3,INDIRECT($B23&amp;"年度出願!$Q:$Q"),日付設定!$H$2,INDIRECT($B23&amp;"年度出願!$Y:$Y"),"&lt;&gt;"&amp;"")
+COUNTIFS(INDIRECT($B23&amp;"年度出願!$M:$M"),"&lt;="&amp;日付設定!$B2,INDIRECT($B23&amp;"年度出願!$E:$E"),日付設定!$E$3,INDIRECT($B23&amp;"年度出願!$Q:$Q"),日付設定!$H$2,INDIRECT($B23&amp;"年度出願!$Y:$Y"),"",INDIRECT($B23&amp;"年度出願!$AR:$AR"),"N")
+COUNTIFS(INDIRECT($B23&amp;"年度出願!$M:$M"),"&lt;="&amp;日付設定!$B2,INDIRECT($B23&amp;"年度出願!$E:$E"),日付設定!$E$3,INDIRECT($B23&amp;"年度出願!$Q:$Q"),日付設定!$H$2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+COUNTIFS(INDIRECT($B23&amp;"年度出願!$AA:$AA"),"&lt;="&amp;日付設定!$B2,INDIRECT($B23&amp;"年度出願!$E:$E"),日付設定!$E$3,INDIRECT($B23&amp;"年度出願!$Q:$Q"),日付設定!$H$2,INDIRECT($B23&amp;"年度出願!$AG:$AG"),"&lt;&gt;"&amp;日付設定!$E$3)
+COUNTIFS(INDIRECT($B23&amp;"年度出願!$M:$M"),"&lt;="&amp;日付設定!$B2,INDIRECT($B23&amp;"年度出願!$E:$E"),日付設定!$E$3,INDIRECT($B23&amp;"年度出願!$Q:$Q"),日付設定!$H$2,INDIRECT($B23&amp;"年度出願!$Y:$Y"),"",INDIRECT($B23&amp;"年度出願!$AR:$AR"),"",INDIRECT($B23&amp;"年度出願!$A:$A"),日付設定!$M$2)</f>
        <v>0</v>
      </c>
      <c r="Q23" s="216">
        <f ca="1">COUNTIFS(INDIRECT($B23&amp;"年度出願!$AA:$AA"),"&lt;="&amp;日付設定!$B2,INDIRECT($B23&amp;"年度出願!$AG:$AG"),日付設定!$E$3,INDIRECT($B23&amp;"年度出願!$Q:$Q"),日付設定!$H$2)</f>
        <v>11</v>
      </c>
      <c r="R23" s="214">
        <f ca="1">COUNTIFS(INDIRECT($B23&amp;"年度出願!$M:$M"),"&lt;="&amp;日付設定!$B2,INDIRECT($B23&amp;"年度出願!$E:$E"),日付設定!$E$3,INDIRECT($B23&amp;"年度出願!$Q:$Q"),日付設定!$G$2)</f>
        <v>30</v>
      </c>
      <c r="S23" s="215">
        <f ca="1">COUNTIFS(INDIRECT($B23&amp;"年度出願!$Y:$Y"),"&lt;="&amp;日付設定!$B2,INDIRECT($B23&amp;"年度出願!$E:$E"),日付設定!$E$3,INDIRECT($B23&amp;"年度出願!$Q:$Q"),日付設定!$G$2,INDIRECT($B23&amp;"年度出願!$Y:$Y"),"&lt;&gt;"&amp;"")
+COUNTIFS(INDIRECT($B23&amp;"年度出願!$M:$M"),"&lt;="&amp;日付設定!$B2,INDIRECT($B23&amp;"年度出願!$E:$E"),日付設定!$E$3,INDIRECT($B23&amp;"年度出願!$Q:$Q"),日付設定!$G$2,INDIRECT($B23&amp;"年度出願!$Y:$Y"),"",INDIRECT($B23&amp;"年度出願!$AR:$AR"),"N")
+COUNTIFS(INDIRECT($B23&amp;"年度出願!$M:$M"),"&lt;="&amp;日付設定!$B2,INDIRECT($B23&amp;"年度出願!$E:$E"),日付設定!$E$3,INDIRECT($B23&amp;"年度出願!$Q:$Q"),日付設定!$G$2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+COUNTIFS(INDIRECT($B23&amp;"年度出願!$AA:$AA"),"&lt;="&amp;日付設定!$B2,INDIRECT($B23&amp;"年度出願!$E:$E"),日付設定!$E$3,INDIRECT($B23&amp;"年度出願!$Q:$Q"),日付設定!$G$2,INDIRECT($B23&amp;"年度出願!$AG:$AG"),"&lt;&gt;"&amp;日付設定!$E$3)
+COUNTIFS(INDIRECT($B23&amp;"年度出願!$M:$M"),"&lt;="&amp;日付設定!$B2,INDIRECT($B23&amp;"年度出願!$E:$E"),日付設定!$E$3,INDIRECT($B23&amp;"年度出願!$Q:$Q"),日付設定!$G$2,INDIRECT($B23&amp;"年度出願!$Y:$Y"),"",INDIRECT($B23&amp;"年度出願!$AR:$AR"),"",INDIRECT($B23&amp;"年度出願!$A:$A"),日付設定!$M$2)</f>
        <v>4</v>
      </c>
      <c r="T23" s="216">
        <f ca="1">COUNTIFS(INDIRECT($B23&amp;"年度出願!$AA:$AA"),"&lt;="&amp;日付設定!$B2,INDIRECT($B23&amp;"年度出願!$AG:$AG"),日付設定!$E$3,INDIRECT($B23&amp;"年度出願!$Q:$Q"),日付設定!$G$2)</f>
        <v>26</v>
      </c>
      <c r="U23" s="214">
        <f ca="1">COUNTIFS(INDIRECT($B23&amp;"年度出願!$M:$M"),"&lt;="&amp;日付設定!$B2,INDIRECT($B23&amp;"年度出願!$E:$E"),日付設定!$E$3,INDIRECT($B23&amp;"年度出願!$T:$T"),日付設定!$F$3)</f>
        <v>18</v>
      </c>
      <c r="V23" s="215">
        <f ca="1">COUNTIFS(INDIRECT($B23&amp;"年度出願!$Y:$Y"),"&lt;="&amp;日付設定!$B2,INDIRECT($B23&amp;"年度出願!$E:$E"),日付設定!$E$3,INDIRECT($B23&amp;"年度出願!$T:$T"),日付設定!$F$3,INDIRECT($B23&amp;"年度出願!$Y:$Y"),"&lt;&gt;"&amp;"")
+COUNTIFS(INDIRECT($B23&amp;"年度出願!$M:$M"),"&lt;="&amp;日付設定!$B2,INDIRECT($B23&amp;"年度出願!$E:$E"),日付設定!$E$3,INDIRECT($B23&amp;"年度出願!$T:$T"),日付設定!$F$3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$3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+COUNTIFS(INDIRECT($B23&amp;"年度出願!$AA:$AA"),"&lt;="&amp;日付設定!$B2,INDIRECT($B23&amp;"年度出願!$E:$E"),日付設定!$E$3,INDIRECT($B23&amp;"年度出願!$T:$T"),日付設定!$F$3,INDIRECT($B23&amp;"年度出願!$AG:$AG"),"&lt;&gt;"&amp;日付設定!$E$3)
+COUNTIFS(INDIRECT($B23&amp;"年度出願!$M:$M"),"&lt;="&amp;日付設定!$B2,INDIRECT($B23&amp;"年度出願!$E:$E"),日付設定!$E$3,INDIRECT($B23&amp;"年度出願!$T:$T"),日付設定!$F$3,INDIRECT($B23&amp;"年度出願!$Y:$Y"),"",INDIRECT($B23&amp;"年度出願!$AR:$AR"),"",INDIRECT($B23&amp;"年度出願!$A:$A"),日付設定!$M$2)</f>
        <v>0</v>
      </c>
      <c r="W23" s="216">
        <f ca="1">COUNTIFS(INDIRECT($B23&amp;"年度出願!$AA:$AA"),"&lt;="&amp;日付設定!$B2,INDIRECT($B23&amp;"年度出願!$AG:$AG"),日付設定!$E$3,INDIRECT($B23&amp;"年度出願!$T:$T"),日付設定!$F$3)</f>
        <v>18</v>
      </c>
      <c r="X23" s="214">
        <f ca="1">COUNTIFS(INDIRECT($B23&amp;"年度出願!$M:$M"),"&lt;="&amp;日付設定!$B2,INDIRECT($B23&amp;"年度出願!$E:$E"),日付設定!$E$3,INDIRECT($B23&amp;"年度出願!$T:$T"),日付設定!$F$5)</f>
        <v>25</v>
      </c>
      <c r="Y23" s="215">
        <f ca="1">COUNTIFS(INDIRECT($B23&amp;"年度出願!$Y:$Y"),"&lt;="&amp;日付設定!$B2,INDIRECT($B23&amp;"年度出願!$E:$E"),日付設定!$E$3,INDIRECT($B23&amp;"年度出願!$T:$T"),日付設定!$F$5,INDIRECT($B23&amp;"年度出願!$Y:$Y"),"&lt;&gt;"&amp;"")
+COUNTIFS(INDIRECT($B23&amp;"年度出願!$M:$M"),"&lt;="&amp;日付設定!$B2,INDIRECT($B23&amp;"年度出願!$E:$E"),日付設定!$E$3,INDIRECT($B23&amp;"年度出願!$T:$T"),日付設定!$F$5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$5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+COUNTIFS(INDIRECT($B23&amp;"年度出願!$AA:$AA"),"&lt;="&amp;日付設定!$B2,INDIRECT($B23&amp;"年度出願!$E:$E"),日付設定!$E$3,INDIRECT($B23&amp;"年度出願!$T:$T"),日付設定!$F$5,INDIRECT($B23&amp;"年度出願!$AG:$AG"),"&lt;&gt;"&amp;日付設定!$E$3)
+COUNTIFS(INDIRECT($B23&amp;"年度出願!$M:$M"),"&lt;="&amp;日付設定!$B2,INDIRECT($B23&amp;"年度出願!$E:$E"),日付設定!$E$3,INDIRECT($B23&amp;"年度出願!$T:$T"),日付設定!$F$5,INDIRECT($B23&amp;"年度出願!$Y:$Y"),"",INDIRECT($B23&amp;"年度出願!$AR:$AR"),"",INDIRECT($B23&amp;"年度出願!$A:$A"),日付設定!$M$2)</f>
        <v>0</v>
      </c>
      <c r="Z23" s="216">
        <f ca="1">COUNTIFS(INDIRECT($B23&amp;"年度出願!$AA:$AA"),"&lt;="&amp;日付設定!$B2,INDIRECT($B23&amp;"年度出願!$AG:$AG"),日付設定!$E$3,INDIRECT($B23&amp;"年度出願!$T:$T"),日付設定!$F$5)</f>
        <v>25</v>
      </c>
      <c r="AA23" s="214">
        <f ca="1">COUNTIFS(INDIRECT($B23&amp;"年度出願!$M:$M"),"&lt;="&amp;日付設定!$B2,INDIRECT($B23&amp;"年度出願!$E:$E"),日付設定!$E$3,INDIRECT($B23&amp;"年度出願!$T:$T"),日付設定!$F$9)</f>
        <v>10</v>
      </c>
      <c r="AB23" s="215">
        <f ca="1">COUNTIFS(INDIRECT($B23&amp;"年度出願!$Y:$Y"),"&lt;="&amp;日付設定!$B2,INDIRECT($B23&amp;"年度出願!$E:$E"),日付設定!$E$3,INDIRECT($B23&amp;"年度出願!$T:$T"),日付設定!$F$9,INDIRECT($B23&amp;"年度出願!$Y:$Y"),"&lt;&gt;"&amp;"")
+COUNTIFS(INDIRECT($B23&amp;"年度出願!$M:$M"),"&lt;="&amp;日付設定!$B2,INDIRECT($B23&amp;"年度出願!$E:$E"),日付設定!$E$3,INDIRECT($B23&amp;"年度出願!$T:$T"),日付設定!$F$9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$9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+COUNTIFS(INDIRECT($B23&amp;"年度出願!$AA:$AA"),"&lt;="&amp;日付設定!$B2,INDIRECT($B23&amp;"年度出願!$E:$E"),日付設定!$E$3,INDIRECT($B23&amp;"年度出願!$T:$T"),日付設定!$F$9,INDIRECT($B23&amp;"年度出願!$AG:$AG"),"&lt;&gt;"&amp;日付設定!$E$3)
+COUNTIFS(INDIRECT($B23&amp;"年度出願!$M:$M"),"&lt;="&amp;日付設定!$B2,INDIRECT($B23&amp;"年度出願!$E:$E"),日付設定!$E$3,INDIRECT($B23&amp;"年度出願!$T:$T"),日付設定!$F$9,INDIRECT($B23&amp;"年度出願!$Y:$Y"),"",INDIRECT($B23&amp;"年度出願!$AR:$AR"),"",INDIRECT($B23&amp;"年度出願!$A:$A"),日付設定!$M$2)</f>
        <v>0</v>
      </c>
      <c r="AC23" s="216">
        <f ca="1">COUNTIFS(INDIRECT($B23&amp;"年度出願!$AA:$AA"),"&lt;="&amp;日付設定!$B2,INDIRECT($B23&amp;"年度出願!$AG:$AG"),日付設定!$E$3,INDIRECT($B23&amp;"年度出願!$T:$T"),日付設定!$F$9)</f>
        <v>10</v>
      </c>
      <c r="AD23" s="214">
        <f ca="1">COUNTIFS(INDIRECT($B23&amp;"年度出願!$M:$M"),"&lt;="&amp;日付設定!$B2,INDIRECT($B23&amp;"年度出願!$E:$E"),日付設定!$E$3,INDIRECT($B23&amp;"年度出願!$T:$T"),日付設定!$F$7)</f>
        <v>12</v>
      </c>
      <c r="AE23" s="215">
        <f ca="1">COUNTIFS(INDIRECT($B23&amp;"年度出願!$Y:$Y"),"&lt;="&amp;日付設定!$B2,INDIRECT($B23&amp;"年度出願!$E:$E"),日付設定!$E$3,INDIRECT($B23&amp;"年度出願!$T:$T"),日付設定!$F$7,INDIRECT($B23&amp;"年度出願!$Y:$Y"),"&lt;&gt;"&amp;"")
+COUNTIFS(INDIRECT($B23&amp;"年度出願!$M:$M"),"&lt;="&amp;日付設定!$B2,INDIRECT($B23&amp;"年度出願!$E:$E"),日付設定!$E$3,INDIRECT($B23&amp;"年度出願!$T:$T"),日付設定!$F$7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$7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+COUNTIFS(INDIRECT($B23&amp;"年度出願!$AA:$AA"),"&lt;="&amp;日付設定!$B2,INDIRECT($B23&amp;"年度出願!$E:$E"),日付設定!$E$3,INDIRECT($B23&amp;"年度出願!$T:$T"),日付設定!$F$7,INDIRECT($B23&amp;"年度出願!$AG:$AG"),"&lt;&gt;"&amp;日付設定!$E$3)</f>
        <v>1</v>
      </c>
      <c r="AF23" s="216">
        <f ca="1">COUNTIFS(INDIRECT($B23&amp;"年度出願!$AA:$AA"),"&lt;="&amp;日付設定!$B2,INDIRECT($B23&amp;"年度出願!$AG:$AG"),日付設定!$E$3,INDIRECT($B23&amp;"年度出願!$T:$T"),日付設定!$F$7)</f>
        <v>11</v>
      </c>
      <c r="AG23" s="214">
        <f ca="1">COUNTIFS(INDIRECT($B23&amp;"年度出願!$M:$M"),"&lt;="&amp;日付設定!$B3,INDIRECT($B23&amp;"年度出願!$E:$E"),日付設定!$E$3,INDIRECT($B23&amp;"年度出願!$T:$T"),日付設定!$F$11)</f>
        <v>0</v>
      </c>
      <c r="AH23" s="215">
        <f ca="1">COUNTIFS(INDIRECT($B23&amp;"年度出願!$Y:$Y"),"&lt;="&amp;日付設定!$B3,INDIRECT($B23&amp;"年度出願!$E:$E"),日付設定!$E$3,INDIRECT($B23&amp;"年度出願!$T:$T"),日付設定!$F$11,INDIRECT($B23&amp;"年度出願!$Y:$Y"),"&lt;&gt;"&amp;"")
+COUNTIFS(INDIRECT($B23&amp;"年度出願!$M:$M"),"&lt;="&amp;日付設定!$B3,INDIRECT($B23&amp;"年度出願!$E:$E"),日付設定!$E$3,INDIRECT($B23&amp;"年度出願!$T:$T"),日付設定!$F$11,INDIRECT($B23&amp;"年度出願!$Y:$Y"),"",INDIRECT($B23&amp;"年度出願!$AR:$AR"),"N")
+COUNTIFS(INDIRECT($B23&amp;"年度出願!$M:$M"),"&lt;="&amp;日付設定!$B3,INDIRECT($B23&amp;"年度出願!$E:$E"),日付設定!$E$3,INDIRECT($B23&amp;"年度出願!$T:$T"),日付設定!$F$11,INDIRECT($B23&amp;"年度出願!$Y:$Y"),"",INDIRECT($B23&amp;"年度出願!$AR:$AR"),"S",INDIRECT($B23&amp;"年度出願!$AS:$AS"),"N")
+COUNTIFS(INDIRECT($B23&amp;"年度出願!$AA:$AA"),"&lt;="&amp;日付設定!$B3,INDIRECT($B23&amp;"年度出願!$E:$E"),日付設定!$E$3,INDIRECT($B23&amp;"年度出願!$T:$T"),日付設定!$F$11,INDIRECT($B23&amp;"年度出願!$AG:$AG"),"&lt;&gt;"&amp;日付設定!$E$3)</f>
        <v>0</v>
      </c>
      <c r="AI23" s="216">
        <f ca="1">COUNTIFS(INDIRECT($B23&amp;"年度出願!$AA:$AA"),"&lt;="&amp;日付設定!$B3,INDIRECT($B23&amp;"年度出願!$AG:$AG"),日付設定!$E$3,INDIRECT($B23&amp;"年度出願!$T:$T"),日付設定!$F$11)</f>
        <v>0</v>
      </c>
      <c r="AJ23" s="217">
        <f t="shared" ca="1" si="4"/>
        <v>204</v>
      </c>
      <c r="AK23" s="218">
        <f t="shared" ca="1" si="5"/>
        <v>26</v>
      </c>
      <c r="AL23" s="219">
        <f t="shared" ca="1" si="6"/>
        <v>178</v>
      </c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</row>
    <row r="24" spans="1:115" s="169" customFormat="1" ht="53.25" customHeight="1" thickTop="1" x14ac:dyDescent="0.45">
      <c r="A24" s="207"/>
      <c r="B24" s="212" t="s">
        <v>1335</v>
      </c>
      <c r="C24" s="166">
        <f t="shared" ref="C24:AF24" ca="1" si="9">C21-C22</f>
        <v>-3</v>
      </c>
      <c r="D24" s="159">
        <f t="shared" ca="1" si="9"/>
        <v>-9</v>
      </c>
      <c r="E24" s="160">
        <f t="shared" ca="1" si="9"/>
        <v>-14</v>
      </c>
      <c r="F24" s="166">
        <f t="shared" ca="1" si="9"/>
        <v>-2</v>
      </c>
      <c r="G24" s="159">
        <f t="shared" ca="1" si="9"/>
        <v>-8</v>
      </c>
      <c r="H24" s="160">
        <f t="shared" ca="1" si="9"/>
        <v>-5</v>
      </c>
      <c r="I24" s="166">
        <f t="shared" ca="1" si="9"/>
        <v>2</v>
      </c>
      <c r="J24" s="159">
        <f t="shared" ca="1" si="9"/>
        <v>-1</v>
      </c>
      <c r="K24" s="160">
        <f t="shared" ca="1" si="9"/>
        <v>1</v>
      </c>
      <c r="L24" s="166">
        <f t="shared" ca="1" si="9"/>
        <v>0</v>
      </c>
      <c r="M24" s="159">
        <f t="shared" ca="1" si="9"/>
        <v>0</v>
      </c>
      <c r="N24" s="160">
        <f t="shared" ca="1" si="9"/>
        <v>0</v>
      </c>
      <c r="O24" s="166">
        <f t="shared" ca="1" si="9"/>
        <v>-8</v>
      </c>
      <c r="P24" s="159">
        <f t="shared" ca="1" si="9"/>
        <v>-1</v>
      </c>
      <c r="Q24" s="160">
        <f t="shared" ca="1" si="9"/>
        <v>-9</v>
      </c>
      <c r="R24" s="166">
        <f t="shared" ca="1" si="9"/>
        <v>-1</v>
      </c>
      <c r="S24" s="159">
        <f t="shared" ca="1" si="9"/>
        <v>-1</v>
      </c>
      <c r="T24" s="160">
        <f t="shared" ca="1" si="9"/>
        <v>-4</v>
      </c>
      <c r="U24" s="166">
        <f t="shared" ca="1" si="9"/>
        <v>-12</v>
      </c>
      <c r="V24" s="159">
        <f t="shared" ca="1" si="9"/>
        <v>-1</v>
      </c>
      <c r="W24" s="160">
        <f t="shared" ca="1" si="9"/>
        <v>-13</v>
      </c>
      <c r="X24" s="166">
        <f t="shared" ca="1" si="9"/>
        <v>3</v>
      </c>
      <c r="Y24" s="159">
        <f t="shared" ca="1" si="9"/>
        <v>-1</v>
      </c>
      <c r="Z24" s="160">
        <f t="shared" ca="1" si="9"/>
        <v>-3</v>
      </c>
      <c r="AA24" s="166">
        <f t="shared" ca="1" si="9"/>
        <v>2</v>
      </c>
      <c r="AB24" s="159">
        <f t="shared" ca="1" si="9"/>
        <v>0</v>
      </c>
      <c r="AC24" s="160">
        <f t="shared" ca="1" si="9"/>
        <v>-5</v>
      </c>
      <c r="AD24" s="166">
        <f t="shared" ca="1" si="9"/>
        <v>0</v>
      </c>
      <c r="AE24" s="159">
        <f t="shared" ca="1" si="9"/>
        <v>-1</v>
      </c>
      <c r="AF24" s="160">
        <f t="shared" ca="1" si="9"/>
        <v>-3</v>
      </c>
      <c r="AG24" s="166">
        <f t="shared" ref="AG24:AI24" ca="1" si="10">AG21-AG22</f>
        <v>0</v>
      </c>
      <c r="AH24" s="159">
        <f t="shared" ca="1" si="10"/>
        <v>0</v>
      </c>
      <c r="AI24" s="160">
        <f t="shared" ca="1" si="10"/>
        <v>0</v>
      </c>
      <c r="AJ24" s="166">
        <f t="shared" ca="1" si="4"/>
        <v>-19</v>
      </c>
      <c r="AK24" s="159">
        <f t="shared" ca="1" si="5"/>
        <v>-23</v>
      </c>
      <c r="AL24" s="160">
        <f t="shared" ca="1" si="6"/>
        <v>-55</v>
      </c>
    </row>
    <row r="25" spans="1:115" ht="53.25" customHeight="1" thickBot="1" x14ac:dyDescent="0.5">
      <c r="A25" s="183"/>
      <c r="B25" s="208" t="s">
        <v>1335</v>
      </c>
      <c r="C25" s="209">
        <f t="shared" ref="C25:AF25" ca="1" si="11">C21-C23</f>
        <v>-24</v>
      </c>
      <c r="D25" s="210">
        <f t="shared" ca="1" si="11"/>
        <v>-12</v>
      </c>
      <c r="E25" s="211">
        <f t="shared" ca="1" si="11"/>
        <v>-39</v>
      </c>
      <c r="F25" s="209">
        <f t="shared" ca="1" si="11"/>
        <v>-3</v>
      </c>
      <c r="G25" s="210">
        <f t="shared" ca="1" si="11"/>
        <v>-7</v>
      </c>
      <c r="H25" s="211">
        <f t="shared" ca="1" si="11"/>
        <v>-10</v>
      </c>
      <c r="I25" s="209">
        <f t="shared" ca="1" si="11"/>
        <v>-12</v>
      </c>
      <c r="J25" s="210">
        <f t="shared" ca="1" si="11"/>
        <v>-2</v>
      </c>
      <c r="K25" s="211">
        <f t="shared" ca="1" si="11"/>
        <v>-14</v>
      </c>
      <c r="L25" s="209">
        <f t="shared" ca="1" si="11"/>
        <v>-1</v>
      </c>
      <c r="M25" s="210">
        <f t="shared" ca="1" si="11"/>
        <v>0</v>
      </c>
      <c r="N25" s="211">
        <f t="shared" ca="1" si="11"/>
        <v>-1</v>
      </c>
      <c r="O25" s="209">
        <f t="shared" ca="1" si="11"/>
        <v>-8</v>
      </c>
      <c r="P25" s="210">
        <f t="shared" ca="1" si="11"/>
        <v>0</v>
      </c>
      <c r="Q25" s="211">
        <f t="shared" ca="1" si="11"/>
        <v>-10</v>
      </c>
      <c r="R25" s="209">
        <f t="shared" ca="1" si="11"/>
        <v>-19</v>
      </c>
      <c r="S25" s="210">
        <f t="shared" ca="1" si="11"/>
        <v>-4</v>
      </c>
      <c r="T25" s="211">
        <f t="shared" ca="1" si="11"/>
        <v>-22</v>
      </c>
      <c r="U25" s="209">
        <f t="shared" ca="1" si="11"/>
        <v>-11</v>
      </c>
      <c r="V25" s="210">
        <f t="shared" ca="1" si="11"/>
        <v>0</v>
      </c>
      <c r="W25" s="211">
        <f t="shared" ca="1" si="11"/>
        <v>-15</v>
      </c>
      <c r="X25" s="209">
        <f t="shared" ca="1" si="11"/>
        <v>-11</v>
      </c>
      <c r="Y25" s="210">
        <f t="shared" ca="1" si="11"/>
        <v>0</v>
      </c>
      <c r="Z25" s="211">
        <f t="shared" ca="1" si="11"/>
        <v>-19</v>
      </c>
      <c r="AA25" s="209">
        <f t="shared" ca="1" si="11"/>
        <v>2</v>
      </c>
      <c r="AB25" s="210">
        <f t="shared" ca="1" si="11"/>
        <v>0</v>
      </c>
      <c r="AC25" s="211">
        <f t="shared" ca="1" si="11"/>
        <v>-6</v>
      </c>
      <c r="AD25" s="209">
        <f t="shared" ca="1" si="11"/>
        <v>-1</v>
      </c>
      <c r="AE25" s="210">
        <f t="shared" ca="1" si="11"/>
        <v>-1</v>
      </c>
      <c r="AF25" s="211">
        <f t="shared" ca="1" si="11"/>
        <v>-4</v>
      </c>
      <c r="AG25" s="209">
        <f t="shared" ref="AG25:AI25" ca="1" si="12">AG21-AG23</f>
        <v>0</v>
      </c>
      <c r="AH25" s="210">
        <f t="shared" ca="1" si="12"/>
        <v>0</v>
      </c>
      <c r="AI25" s="211">
        <f t="shared" ca="1" si="12"/>
        <v>0</v>
      </c>
      <c r="AJ25" s="209">
        <f t="shared" ca="1" si="4"/>
        <v>-88</v>
      </c>
      <c r="AK25" s="210">
        <f t="shared" ca="1" si="5"/>
        <v>-26</v>
      </c>
      <c r="AL25" s="211">
        <f t="shared" ca="1" si="6"/>
        <v>-140</v>
      </c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</row>
    <row r="26" spans="1:115" x14ac:dyDescent="0.45"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  <c r="DG26" s="169"/>
      <c r="DH26" s="169"/>
    </row>
    <row r="27" spans="1:115" x14ac:dyDescent="0.45">
      <c r="W27" s="112"/>
      <c r="Y27" s="112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  <c r="DG27" s="169"/>
      <c r="DH27" s="169"/>
    </row>
    <row r="28" spans="1:115" ht="22.8" thickBot="1" x14ac:dyDescent="0.5">
      <c r="A28" s="109" t="s">
        <v>1351</v>
      </c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  <c r="DG28" s="169"/>
      <c r="DH28" s="169"/>
    </row>
    <row r="29" spans="1:115" ht="51.75" customHeight="1" x14ac:dyDescent="0.45">
      <c r="A29" s="47"/>
      <c r="B29" s="48"/>
      <c r="C29" s="186">
        <v>6</v>
      </c>
      <c r="D29" s="188"/>
      <c r="E29" s="189"/>
      <c r="F29" s="186">
        <v>7</v>
      </c>
      <c r="G29" s="188"/>
      <c r="H29" s="189"/>
      <c r="I29" s="186">
        <v>8</v>
      </c>
      <c r="J29" s="188"/>
      <c r="K29" s="189"/>
      <c r="L29" s="186">
        <v>9</v>
      </c>
      <c r="M29" s="188"/>
      <c r="N29" s="189"/>
      <c r="O29" s="186">
        <v>10</v>
      </c>
      <c r="P29" s="188"/>
      <c r="Q29" s="189"/>
      <c r="R29" s="185">
        <v>11</v>
      </c>
      <c r="S29" s="186"/>
      <c r="T29" s="187"/>
      <c r="U29" s="185">
        <v>12</v>
      </c>
      <c r="V29" s="186"/>
      <c r="W29" s="187"/>
      <c r="X29" s="185">
        <v>1</v>
      </c>
      <c r="Y29" s="186"/>
      <c r="Z29" s="187"/>
      <c r="AA29" s="185">
        <v>2</v>
      </c>
      <c r="AB29" s="186"/>
      <c r="AC29" s="187"/>
      <c r="AD29" s="185">
        <v>3</v>
      </c>
      <c r="AE29" s="186"/>
      <c r="AF29" s="187"/>
      <c r="AG29" s="185">
        <v>4</v>
      </c>
      <c r="AH29" s="186"/>
      <c r="AI29" s="187"/>
      <c r="AJ29" s="177" t="s">
        <v>2860</v>
      </c>
      <c r="AK29" s="178"/>
      <c r="AL29" s="17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69"/>
      <c r="BB29" s="169"/>
      <c r="BC29" s="169"/>
      <c r="BD29" s="169"/>
      <c r="BE29" s="169"/>
      <c r="BF29" s="169"/>
      <c r="BG29" s="169"/>
      <c r="BH29" s="169"/>
      <c r="BI29" s="169"/>
      <c r="BJ29" s="169"/>
      <c r="BK29" s="169"/>
      <c r="BL29" s="169"/>
      <c r="BM29" s="169"/>
      <c r="BN29" s="169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  <c r="DG29" s="169"/>
      <c r="DH29" s="169"/>
    </row>
    <row r="30" spans="1:115" ht="51.75" customHeight="1" thickBot="1" x14ac:dyDescent="0.5">
      <c r="A30" s="49"/>
      <c r="B30" s="50"/>
      <c r="C30" s="135" t="s">
        <v>1365</v>
      </c>
      <c r="D30" s="83" t="s">
        <v>2870</v>
      </c>
      <c r="E30" s="80" t="s">
        <v>2851</v>
      </c>
      <c r="F30" s="83" t="s">
        <v>1365</v>
      </c>
      <c r="G30" s="83" t="s">
        <v>2870</v>
      </c>
      <c r="H30" s="80" t="s">
        <v>2851</v>
      </c>
      <c r="I30" s="83" t="s">
        <v>1365</v>
      </c>
      <c r="J30" s="83" t="s">
        <v>2870</v>
      </c>
      <c r="K30" s="80" t="s">
        <v>2851</v>
      </c>
      <c r="L30" s="83" t="s">
        <v>1365</v>
      </c>
      <c r="M30" s="83" t="s">
        <v>2870</v>
      </c>
      <c r="N30" s="80" t="s">
        <v>2851</v>
      </c>
      <c r="O30" s="83" t="s">
        <v>1365</v>
      </c>
      <c r="P30" s="83" t="s">
        <v>2870</v>
      </c>
      <c r="Q30" s="80" t="s">
        <v>2851</v>
      </c>
      <c r="R30" s="83" t="s">
        <v>1365</v>
      </c>
      <c r="S30" s="83" t="s">
        <v>2870</v>
      </c>
      <c r="T30" s="80" t="s">
        <v>2851</v>
      </c>
      <c r="U30" s="83" t="s">
        <v>1365</v>
      </c>
      <c r="V30" s="83" t="s">
        <v>2870</v>
      </c>
      <c r="W30" s="80" t="s">
        <v>2851</v>
      </c>
      <c r="X30" s="83" t="s">
        <v>1365</v>
      </c>
      <c r="Y30" s="83" t="s">
        <v>2870</v>
      </c>
      <c r="Z30" s="80" t="s">
        <v>2851</v>
      </c>
      <c r="AA30" s="83" t="s">
        <v>1365</v>
      </c>
      <c r="AB30" s="83" t="s">
        <v>2870</v>
      </c>
      <c r="AC30" s="80" t="s">
        <v>2851</v>
      </c>
      <c r="AD30" s="83" t="s">
        <v>1365</v>
      </c>
      <c r="AE30" s="83" t="s">
        <v>2870</v>
      </c>
      <c r="AF30" s="80" t="s">
        <v>2851</v>
      </c>
      <c r="AG30" s="83" t="s">
        <v>1365</v>
      </c>
      <c r="AH30" s="83" t="s">
        <v>2870</v>
      </c>
      <c r="AI30" s="80" t="s">
        <v>2851</v>
      </c>
      <c r="AJ30" s="83" t="s">
        <v>1365</v>
      </c>
      <c r="AK30" s="83" t="s">
        <v>2870</v>
      </c>
      <c r="AL30" s="80" t="s">
        <v>2851</v>
      </c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</row>
    <row r="31" spans="1:115" ht="51.75" customHeight="1" thickTop="1" x14ac:dyDescent="0.45">
      <c r="A31" s="181" t="s">
        <v>1340</v>
      </c>
      <c r="B31" s="150">
        <v>2027</v>
      </c>
      <c r="C31" s="166">
        <f ca="1">COUNTIFS(INDIRECT($B31&amp;"年度出願!$M:$M"),"&gt;="&amp;DATE($B31-IF(C$29&lt;=4, 0,1),C$29,1),INDIRECT($B31&amp;"年度出願!$M:$M"),"&lt;="&amp;DATE($B31-IF(C$29&lt;=4, 0,1),C$29+1,0),
INDIRECT($B31&amp;"年度出願!$M:$M"),"&lt;="&amp;日付設定!$B$1,INDIRECT($B31&amp;"年度出願!$T:$T"),"&lt;&gt;"&amp;日付設定!$F$8&amp;"*",INDIRECT($B31&amp;"年度出願!$E:$E"),日付設定!$E$2)</f>
        <v>0</v>
      </c>
      <c r="D31" s="159">
        <f ca="1">COUNTIFS(INDIRECT($B31&amp;"年度出願!$Y:$Y"),"&gt;="&amp;DATE($B31-IF(C$29&lt;=4, 0,1),C$29,1),INDIRECT($B31&amp;"年度出願!$Y:$Y"),"&lt;="&amp;DATE($B31-IF(C$29&lt;=4, 0,1),C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+COUNTIFS(INDIRECT($B31&amp;"年度出願!$AA:$AA"),"&gt;="&amp;DATE($B31-IF(C$29&lt;=4, 0,1),C$29,1),INDIRECT($B31&amp;"年度出願!$AA:$AA"),"&lt;="&amp;DATE($B31-IF(C$29&lt;=4, 0,1),C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E31" s="160">
        <f ca="1">COUNTIFS(INDIRECT($B31&amp;"年度出願!$AA:$AA"),"&gt;="&amp;DATE($B31-IF(C$29&lt;=4, 0,1),C$29,1),INDIRECT($B31&amp;"年度出願!$AA:$AA"),"&lt;="&amp;DATE($B31-IF(C$29&lt;=4, 0,1),C$29+1,0),
INDIRECT($B31&amp;"年度出願!$AA:$AA"),"&lt;="&amp;日付設定!$B$1,INDIRECT($B31&amp;"年度出願!$T:$T"),"&lt;&gt;"&amp;日付設定!$F$8&amp;"*",INDIRECT($B31&amp;"年度出願!$AG:$AG"),日付設定!$E$2)</f>
        <v>0</v>
      </c>
      <c r="F31" s="166">
        <f ca="1">COUNTIFS(INDIRECT($B31&amp;"年度出願!$M:$M"),"&gt;="&amp;DATE($B31-IF(F$29&lt;=4, 0,1),F$29,1),INDIRECT($B31&amp;"年度出願!$M:$M"),"&lt;="&amp;DATE($B31-IF(F$29&lt;=4, 0,1),F$29+1,0),
INDIRECT($B31&amp;"年度出願!$M:$M"),"&lt;="&amp;日付設定!$B$1,INDIRECT($B31&amp;"年度出願!$T:$T"),"&lt;&gt;"&amp;日付設定!$F$8&amp;"*",INDIRECT($B31&amp;"年度出願!$E:$E"),日付設定!$E$2)</f>
        <v>0</v>
      </c>
      <c r="G31" s="159">
        <f ca="1">COUNTIFS(INDIRECT($B31&amp;"年度出願!$Y:$Y"),"&gt;="&amp;DATE($B31-IF(F$29&lt;=4, 0,1),F$29,1),INDIRECT($B31&amp;"年度出願!$Y:$Y"),"&lt;="&amp;DATE($B31-IF(F$29&lt;=4, 0,1),F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+COUNTIFS(INDIRECT($B31&amp;"年度出願!$AA:$AA"),"&gt;="&amp;DATE($B31-IF(F$29&lt;=4, 0,1),F$29,1),INDIRECT($B31&amp;"年度出願!$AA:$AA"),"&lt;="&amp;DATE($B31-IF(F$29&lt;=4, 0,1),F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H31" s="160">
        <f ca="1">COUNTIFS(INDIRECT($B31&amp;"年度出願!$AA:$AA"),"&gt;="&amp;DATE($B31-IF(F$29&lt;=4, 0,1),F$29,1),INDIRECT($B31&amp;"年度出願!$AA:$AA"),"&lt;="&amp;DATE($B31-IF(F$29&lt;=4, 0,1),F$29+1,0),
INDIRECT($B31&amp;"年度出願!$AA:$AA"),"&lt;="&amp;日付設定!$B$1,INDIRECT($B31&amp;"年度出願!$T:$T"),"&lt;&gt;"&amp;日付設定!$F$8&amp;"*",INDIRECT($B31&amp;"年度出願!$AG:$AG"),日付設定!$E$2)</f>
        <v>0</v>
      </c>
      <c r="I31" s="166">
        <f ca="1">COUNTIFS(INDIRECT($B31&amp;"年度出願!$M:$M"),"&gt;="&amp;DATE($B31-IF(I$29&lt;=4, 0,1),I$29,1),INDIRECT($B31&amp;"年度出願!$M:$M"),"&lt;="&amp;DATE($B31-IF(I$29&lt;=4, 0,1),I$29+1,0),
INDIRECT($B31&amp;"年度出願!$M:$M"),"&lt;="&amp;日付設定!$B$1,INDIRECT($B31&amp;"年度出願!$T:$T"),"&lt;&gt;"&amp;日付設定!$F$8&amp;"*",INDIRECT($B31&amp;"年度出願!$E:$E"),日付設定!$E$2)</f>
        <v>0</v>
      </c>
      <c r="J31" s="159">
        <f ca="1">COUNTIFS(INDIRECT($B31&amp;"年度出願!$Y:$Y"),"&gt;="&amp;DATE($B31-IF(I$29&lt;=4, 0,1),I$29,1),INDIRECT($B31&amp;"年度出願!$Y:$Y"),"&lt;="&amp;DATE($B31-IF(I$29&lt;=4, 0,1),I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+COUNTIFS(INDIRECT($B31&amp;"年度出願!$AA:$AA"),"&gt;="&amp;DATE($B31-IF(I$29&lt;=4, 0,1),I$29,1),INDIRECT($B31&amp;"年度出願!$AA:$AA"),"&lt;="&amp;DATE($B31-IF(I$29&lt;=4, 0,1),I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K31" s="160">
        <f ca="1">COUNTIFS(INDIRECT($B31&amp;"年度出願!$AA:$AA"),"&gt;="&amp;DATE($B31-IF(I$29&lt;=4, 0,1),I$29,1),INDIRECT($B31&amp;"年度出願!$AA:$AA"),"&lt;="&amp;DATE($B31-IF(I$29&lt;=4, 0,1),I$29+1,0),
INDIRECT($B31&amp;"年度出願!$AA:$AA"),"&lt;="&amp;日付設定!$B$1,INDIRECT($B31&amp;"年度出願!$T:$T"),"&lt;&gt;"&amp;日付設定!$F$8&amp;"*",INDIRECT($B31&amp;"年度出願!$AG:$AG"),日付設定!$E$2)</f>
        <v>0</v>
      </c>
      <c r="L31" s="166">
        <f ca="1">COUNTIFS(INDIRECT($B31&amp;"年度出願!$M:$M"),"&gt;="&amp;DATE($B31-IF(L$29&lt;=4, 0,1),L$29,1),INDIRECT($B31&amp;"年度出願!$M:$M"),"&lt;="&amp;DATE($B31-IF(L$29&lt;=4, 0,1),L$29+1,0),
INDIRECT($B31&amp;"年度出願!$M:$M"),"&lt;="&amp;日付設定!$B$1,INDIRECT($B31&amp;"年度出願!$T:$T"),"&lt;&gt;"&amp;日付設定!$F$8&amp;"*",INDIRECT($B31&amp;"年度出願!$E:$E"),日付設定!$E$2)</f>
        <v>66</v>
      </c>
      <c r="M31" s="159">
        <f ca="1">COUNTIFS(INDIRECT($B31&amp;"年度出願!$Y:$Y"),"&gt;="&amp;DATE($B31-IF(L$29&lt;=4, 0,1),L$29,1),INDIRECT($B31&amp;"年度出願!$Y:$Y"),"&lt;="&amp;DATE($B31-IF(L$29&lt;=4, 0,1),L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+COUNTIFS(INDIRECT($B31&amp;"年度出願!$AA:$AA"),"&gt;="&amp;DATE($B31-IF(L$29&lt;=4, 0,1),L$29,1),INDIRECT($B31&amp;"年度出願!$AA:$AA"),"&lt;="&amp;DATE($B31-IF(L$29&lt;=4, 0,1),L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1</v>
      </c>
      <c r="N31" s="160">
        <f ca="1">COUNTIFS(INDIRECT($B31&amp;"年度出願!$AA:$AA"),"&gt;="&amp;DATE($B31-IF(L$29&lt;=4, 0,1),L$29,1),INDIRECT($B31&amp;"年度出願!$AA:$AA"),"&lt;="&amp;DATE($B31-IF(L$29&lt;=4, 0,1),L$29+1,0),
INDIRECT($B31&amp;"年度出願!$AA:$AA"),"&lt;="&amp;日付設定!$B$1,INDIRECT($B31&amp;"年度出願!$T:$T"),"&lt;&gt;"&amp;日付設定!$F$8&amp;"*",INDIRECT($B31&amp;"年度出願!$AG:$AG"),日付設定!$E$2)</f>
        <v>0</v>
      </c>
      <c r="O31" s="166">
        <f ca="1">COUNTIFS(INDIRECT($B31&amp;"年度出願!$M:$M"),"&gt;="&amp;DATE($B31-IF(O$29&lt;=4, 0,1),O$29,1),INDIRECT($B31&amp;"年度出願!$M:$M"),"&lt;="&amp;DATE($B31-IF(O$29&lt;=4, 0,1),O$29+1,0),
INDIRECT($B31&amp;"年度出願!$M:$M"),"&lt;="&amp;日付設定!$B$1,INDIRECT($B31&amp;"年度出願!$T:$T"),"&lt;&gt;"&amp;日付設定!$F$8&amp;"*",INDIRECT($B31&amp;"年度出願!$E:$E"),日付設定!$E$2)</f>
        <v>53</v>
      </c>
      <c r="P31" s="159">
        <f ca="1">COUNTIFS(INDIRECT($B31&amp;"年度出願!$Y:$Y"),"&gt;="&amp;DATE($B31-IF(O$29&lt;=4, 0,1),O$29,1),INDIRECT($B31&amp;"年度出願!$Y:$Y"),"&lt;="&amp;DATE($B31-IF(O$29&lt;=4, 0,1),O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+COUNTIFS(INDIRECT($B31&amp;"年度出願!$AA:$AA"),"&gt;="&amp;DATE($B31-IF(O$29&lt;=4, 0,1),O$29,1),INDIRECT($B31&amp;"年度出願!$AA:$AA"),"&lt;="&amp;DATE($B31-IF(O$29&lt;=4, 0,1),O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Q31" s="160">
        <f ca="1">COUNTIFS(INDIRECT($B31&amp;"年度出願!$AA:$AA"),"&gt;="&amp;DATE($B31-IF(O$29&lt;=4, 0,1),O$29,1),INDIRECT($B31&amp;"年度出願!$AA:$AA"),"&lt;="&amp;DATE($B31-IF(O$29&lt;=4, 0,1),O$29+1,0),
INDIRECT($B31&amp;"年度出願!$AA:$AA"),"&lt;="&amp;日付設定!$B$1,INDIRECT($B31&amp;"年度出願!$T:$T"),"&lt;&gt;"&amp;日付設定!$F$8&amp;"*",INDIRECT($B31&amp;"年度出願!$AG:$AG"),日付設定!$E$2)</f>
        <v>40</v>
      </c>
      <c r="R31" s="166">
        <f ca="1">COUNTIFS(INDIRECT($B31&amp;"年度出願!$M:$M"),"&gt;="&amp;DATE($B31-IF(R$29&lt;=4, 0,1),R$29,1),INDIRECT($B31&amp;"年度出願!$M:$M"),"&lt;="&amp;DATE($B31-IF(R$29&lt;=4, 0,1),R$29+1,0),
INDIRECT($B31&amp;"年度出願!$M:$M"),"&lt;="&amp;日付設定!$B$1,INDIRECT($B31&amp;"年度出願!$T:$T"),"&lt;&gt;"&amp;日付設定!$F$8&amp;"*",INDIRECT($B31&amp;"年度出願!$E:$E"),日付設定!$E$2)</f>
        <v>0</v>
      </c>
      <c r="S31" s="159">
        <f ca="1">COUNTIFS(INDIRECT($B31&amp;"年度出願!$Y:$Y"),"&gt;="&amp;DATE($B31-IF(R$29&lt;=4, 0,1),R$29,1),INDIRECT($B31&amp;"年度出願!$Y:$Y"),"&lt;="&amp;DATE($B31-IF(R$29&lt;=4, 0,1),R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+COUNTIFS(INDIRECT($B31&amp;"年度出願!$AA:$AA"),"&gt;="&amp;DATE($B31-IF(R$29&lt;=4, 0,1),R$29,1),INDIRECT($B31&amp;"年度出願!$AA:$AA"),"&lt;="&amp;DATE($B31-IF(R$29&lt;=4, 0,1),R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T31" s="160">
        <f ca="1">COUNTIFS(INDIRECT($B31&amp;"年度出願!$AA:$AA"),"&gt;="&amp;DATE($B31-IF(R$29&lt;=4, 0,1),R$29,1),INDIRECT($B31&amp;"年度出願!$AA:$AA"),"&lt;="&amp;DATE($B31-IF(R$29&lt;=4, 0,1),R$29+1,0),
INDIRECT($B31&amp;"年度出願!$AA:$AA"),"&lt;="&amp;日付設定!$B$1,INDIRECT($B31&amp;"年度出願!$T:$T"),"&lt;&gt;"&amp;日付設定!$F$8&amp;"*",INDIRECT($B31&amp;"年度出願!$AG:$AG"),日付設定!$E$2)</f>
        <v>0</v>
      </c>
      <c r="U31" s="166">
        <f ca="1">COUNTIFS(INDIRECT($B31&amp;"年度出願!$M:$M"),"&gt;="&amp;DATE($B31-IF(U$29&lt;=4, 0,1),U$29,1),INDIRECT($B31&amp;"年度出願!$M:$M"),"&lt;="&amp;DATE($B31-IF(U$29&lt;=4, 0,1),U$29+1,0),
INDIRECT($B31&amp;"年度出願!$M:$M"),"&lt;="&amp;日付設定!$B$1,INDIRECT($B31&amp;"年度出願!$T:$T"),"&lt;&gt;"&amp;日付設定!$F$8&amp;"*",INDIRECT($B31&amp;"年度出願!$E:$E"),日付設定!$E$2)</f>
        <v>0</v>
      </c>
      <c r="V31" s="159">
        <f ca="1">COUNTIFS(INDIRECT($B31&amp;"年度出願!$Y:$Y"),"&gt;="&amp;DATE($B31-IF(U$29&lt;=4, 0,1),U$29,1),INDIRECT($B31&amp;"年度出願!$Y:$Y"),"&lt;="&amp;DATE($B31-IF(U$29&lt;=4, 0,1),U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+COUNTIFS(INDIRECT($B31&amp;"年度出願!$AA:$AA"),"&gt;="&amp;DATE($B31-IF(U$29&lt;=4, 0,1),U$29,1),INDIRECT($B31&amp;"年度出願!$AA:$AA"),"&lt;="&amp;DATE($B31-IF(U$29&lt;=4, 0,1),U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W31" s="160">
        <f ca="1">COUNTIFS(INDIRECT($B31&amp;"年度出願!$AA:$AA"),"&gt;="&amp;DATE($B31-IF(U$29&lt;=4, 0,1),U$29,1),INDIRECT($B31&amp;"年度出願!$AA:$AA"),"&lt;="&amp;DATE($B31-IF(U$29&lt;=4, 0,1),U$29+1,0),
INDIRECT($B31&amp;"年度出願!$AA:$AA"),"&lt;="&amp;日付設定!$B$1,INDIRECT($B31&amp;"年度出願!$T:$T"),"&lt;&gt;"&amp;日付設定!$F$8&amp;"*",INDIRECT($B31&amp;"年度出願!$AG:$AG"),日付設定!$E$2)</f>
        <v>0</v>
      </c>
      <c r="X31" s="166">
        <f ca="1">COUNTIFS(INDIRECT($B31&amp;"年度出願!$M:$M"),"&gt;="&amp;DATE($B31-IF(X$29&lt;=4, 0,1),X$29,1),INDIRECT($B31&amp;"年度出願!$M:$M"),"&lt;="&amp;DATE($B31-IF(X$29&lt;=4, 0,1),X$29+1,0),
INDIRECT($B31&amp;"年度出願!$M:$M"),"&lt;="&amp;日付設定!$B$1,INDIRECT($B31&amp;"年度出願!$T:$T"),"&lt;&gt;"&amp;日付設定!$F$8&amp;"*",INDIRECT($B31&amp;"年度出願!$E:$E"),日付設定!$E$2)</f>
        <v>0</v>
      </c>
      <c r="Y31" s="159">
        <f ca="1">COUNTIFS(INDIRECT($B31&amp;"年度出願!$Y:$Y"),"&gt;="&amp;DATE($B31-IF(X$29&lt;=4, 0,1),X$29,1),INDIRECT($B31&amp;"年度出願!$Y:$Y"),"&lt;="&amp;DATE($B31-IF(X$29&lt;=4, 0,1),X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+COUNTIFS(INDIRECT($B31&amp;"年度出願!$AA:$AA"),"&gt;="&amp;DATE($B31-IF(X$29&lt;=4, 0,1),X$29,1),INDIRECT($B31&amp;"年度出願!$AA:$AA"),"&lt;="&amp;DATE($B31-IF(X$29&lt;=4, 0,1),X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Z31" s="160">
        <f ca="1">COUNTIFS(INDIRECT($B31&amp;"年度出願!$AA:$AA"),"&gt;="&amp;DATE($B31-IF(X$29&lt;=4, 0,1),X$29,1),INDIRECT($B31&amp;"年度出願!$AA:$AA"),"&lt;="&amp;DATE($B31-IF(X$29&lt;=4, 0,1),X$29+1,0),
INDIRECT($B31&amp;"年度出願!$AA:$AA"),"&lt;="&amp;日付設定!$B$1,INDIRECT($B31&amp;"年度出願!$T:$T"),"&lt;&gt;"&amp;日付設定!$F$8&amp;"*",INDIRECT($B31&amp;"年度出願!$AG:$AG"),日付設定!$E$2)</f>
        <v>0</v>
      </c>
      <c r="AA31" s="166">
        <f ca="1">COUNTIFS(INDIRECT($B31&amp;"年度出願!$M:$M"),"&gt;="&amp;DATE($B31-IF(AA$29&lt;=4, 0,1),AA$29,1),INDIRECT($B31&amp;"年度出願!$M:$M"),"&lt;="&amp;DATE($B31-IF(AA$29&lt;=4, 0,1),AA$29+1,0),
INDIRECT($B31&amp;"年度出願!$M:$M"),"&lt;="&amp;日付設定!$B$1,INDIRECT($B31&amp;"年度出願!$T:$T"),"&lt;&gt;"&amp;日付設定!$F$8&amp;"*",INDIRECT($B31&amp;"年度出願!$E:$E"),日付設定!$E$2)</f>
        <v>0</v>
      </c>
      <c r="AB31" s="159">
        <f ca="1">COUNTIFS(INDIRECT($B31&amp;"年度出願!$Y:$Y"),"&gt;="&amp;DATE($B31-IF(AA$29&lt;=4, 0,1),AA$29,1),INDIRECT($B31&amp;"年度出願!$Y:$Y"),"&lt;="&amp;DATE($B31-IF(AA$29&lt;=4, 0,1),AA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+COUNTIFS(INDIRECT($B31&amp;"年度出願!$AA:$AA"),"&gt;="&amp;DATE($B31-IF(AA$29&lt;=4, 0,1),AA$29,1),INDIRECT($B31&amp;"年度出願!$AA:$AA"),"&lt;="&amp;DATE($B31-IF(AA$29&lt;=4, 0,1),AA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AC31" s="160">
        <f ca="1">COUNTIFS(INDIRECT($B31&amp;"年度出願!$AA:$AA"),"&gt;="&amp;DATE($B31-IF(AA$29&lt;=4, 0,1),AA$29,1),INDIRECT($B31&amp;"年度出願!$AA:$AA"),"&lt;="&amp;DATE($B31-IF(AA$29&lt;=4, 0,1),AA$29+1,0),
INDIRECT($B31&amp;"年度出願!$AA:$AA"),"&lt;="&amp;日付設定!$B$1,INDIRECT($B31&amp;"年度出願!$T:$T"),"&lt;&gt;"&amp;日付設定!$F$8&amp;"*",INDIRECT($B31&amp;"年度出願!$AG:$AG"),日付設定!$E$2)</f>
        <v>0</v>
      </c>
      <c r="AD31" s="166">
        <f ca="1">COUNTIFS(INDIRECT($B31&amp;"年度出願!$M:$M"),"&gt;="&amp;DATE($B31-IF(AD$29&lt;=4, 0,1),AD$29,1),INDIRECT($B31&amp;"年度出願!$M:$M"),"&lt;="&amp;DATE($B31-IF(AD$29&lt;=4, 0,1),AD$29+1,0),
INDIRECT($B31&amp;"年度出願!$M:$M"),"&lt;="&amp;日付設定!$B$1,INDIRECT($B31&amp;"年度出願!$T:$T"),"&lt;&gt;"&amp;日付設定!$F$8&amp;"*",INDIRECT($B31&amp;"年度出願!$E:$E"),日付設定!$E$2)</f>
        <v>0</v>
      </c>
      <c r="AE31" s="159">
        <f ca="1">COUNTIFS(INDIRECT($B31&amp;"年度出願!$Y:$Y"),"&gt;="&amp;DATE($B31-IF(AD$29&lt;=4, 0,1),AD$29,1),INDIRECT($B31&amp;"年度出願!$Y:$Y"),"&lt;="&amp;DATE($B31-IF(AD$29&lt;=4, 0,1),AD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+COUNTIFS(INDIRECT($B31&amp;"年度出願!$AA:$AA"),"&gt;="&amp;DATE($B31-IF(AD$29&lt;=4, 0,1),AD$29,1),INDIRECT($B31&amp;"年度出願!$AA:$AA"),"&lt;="&amp;DATE($B31-IF(AD$29&lt;=4, 0,1),AD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AF31" s="160">
        <f ca="1">COUNTIFS(INDIRECT($B31&amp;"年度出願!$AA:$AA"),"&gt;="&amp;DATE($B31-IF(AD$29&lt;=4, 0,1),AD$29,1),INDIRECT($B31&amp;"年度出願!$AA:$AA"),"&lt;="&amp;DATE($B31-IF(AD$29&lt;=4, 0,1),AD$29+1,0),
INDIRECT($B31&amp;"年度出願!$AA:$AA"),"&lt;="&amp;日付設定!$B$1,INDIRECT($B31&amp;"年度出願!$T:$T"),"&lt;&gt;"&amp;日付設定!$F$8&amp;"*",INDIRECT($B31&amp;"年度出願!$AG:$AG"),日付設定!$E$2)</f>
        <v>0</v>
      </c>
      <c r="AG31" s="166">
        <f ca="1">COUNTIFS(INDIRECT($B31&amp;"年度出願!$M:$M"),"&gt;="&amp;DATE($B31-IF(AG$29&lt;=4, 0,1),AG$29,1),INDIRECT($B31&amp;"年度出願!$M:$M"),"&lt;="&amp;DATE($B31-IF(AG$29&lt;=4, 0,1),AG$29+1,0),
INDIRECT($B31&amp;"年度出願!$M:$M"),"&lt;="&amp;日付設定!$B$1,INDIRECT($B31&amp;"年度出願!$T:$T"),"&lt;&gt;"&amp;日付設定!$F$8&amp;"*",INDIRECT($B31&amp;"年度出願!$E:$E"),日付設定!$E$2)</f>
        <v>0</v>
      </c>
      <c r="AH31" s="159">
        <f ca="1">COUNTIFS(INDIRECT($B31&amp;"年度出願!$Y:$Y"),"&gt;="&amp;DATE($B31-IF(AG$29&lt;=4, 0,1),AG$29,1),INDIRECT($B31&amp;"年度出願!$Y:$Y"),"&lt;="&amp;DATE($B31-IF(AG$29&lt;=4, 0,1),AG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+COUNTIFS(INDIRECT($B31&amp;"年度出願!$AA:$AA"),"&gt;="&amp;DATE($B31-IF(AG$29&lt;=4, 0,1),AG$29,1),INDIRECT($B31&amp;"年度出願!$AA:$AA"),"&lt;="&amp;DATE($B31-IF(AG$29&lt;=4, 0,1),AG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AI31" s="160">
        <f ca="1">COUNTIFS(INDIRECT($B31&amp;"年度出願!$AA:$AA"),"&gt;="&amp;DATE($B31-IF(AG$29&lt;=4, 0,1),AG$29,1),INDIRECT($B31&amp;"年度出願!$AA:$AA"),"&lt;="&amp;DATE($B31-IF(AG$29&lt;=4, 0,1),AG$29+1,0),
INDIRECT($B31&amp;"年度出願!$AA:$AA"),"&lt;="&amp;日付設定!$B$1,INDIRECT($B31&amp;"年度出願!$T:$T"),"&lt;&gt;"&amp;日付設定!$F$8&amp;"*",INDIRECT($B31&amp;"年度出願!$AG:$AG"),日付設定!$E$2)</f>
        <v>0</v>
      </c>
      <c r="AJ31" s="166">
        <f t="shared" ref="AJ31:AL36" ca="1" si="13">SUM(C31,F31,I31,L31,O31,R31,U31,X31,AA31,AD31,AG31)</f>
        <v>119</v>
      </c>
      <c r="AK31" s="159">
        <f t="shared" ca="1" si="13"/>
        <v>1</v>
      </c>
      <c r="AL31" s="160">
        <f t="shared" ca="1" si="13"/>
        <v>40</v>
      </c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</row>
    <row r="32" spans="1:115" ht="51.75" customHeight="1" x14ac:dyDescent="0.45">
      <c r="A32" s="182"/>
      <c r="B32" s="149">
        <v>2026</v>
      </c>
      <c r="C32" s="167">
        <f ca="1">COUNTIFS(INDIRECT($B32&amp;"年度出願!$M:$M"),"&gt;="&amp;DATE($B32-IF(C$29&lt;=4, 0,1),C$29,1),INDIRECT($B32&amp;"年度出願!$M:$M"),"&lt;="&amp;DATE($B32-IF(C$29&lt;=4, 0,1),C$29+1,0),
INDIRECT($B32&amp;"年度出願!$M:$M"),"&lt;="&amp;日付設定!$B$1,INDIRECT($B32&amp;"年度出願!$T:$T"),"&lt;&gt;"&amp;日付設定!$F$8&amp;"*",INDIRECT($B32&amp;"年度出願!$E:$E"),日付設定!$E$2)</f>
        <v>0</v>
      </c>
      <c r="D32" s="158">
        <f ca="1">COUNTIFS(INDIRECT($B32&amp;"年度出願!$Y:$Y"),"&gt;="&amp;DATE($B32-IF(C$29&lt;=4, 0,1),C$29,1),INDIRECT($B32&amp;"年度出願!$Y:$Y"),"&lt;="&amp;DATE($B32-IF(C$29&lt;=4, 0,1),C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+COUNTIFS(INDIRECT($B32&amp;"年度出願!$AA:$AA"),"&gt;="&amp;DATE($B32-IF(C$29&lt;=4, 0,1),C$29,1),INDIRECT($B32&amp;"年度出願!$AA:$AA"),"&lt;="&amp;DATE($B32-IF(C$29&lt;=4, 0,1),C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E32" s="162">
        <f ca="1">COUNTIFS(INDIRECT($B32&amp;"年度出願!$AA:$AA"),"&gt;="&amp;DATE($B32-IF(C$29&lt;=4, 0,1),C$29,1),INDIRECT($B32&amp;"年度出願!$AA:$AA"),"&lt;="&amp;DATE($B32-IF(C$29&lt;=4, 0,1),C$29+1,0),
INDIRECT($B32&amp;"年度出願!$AA:$AA"),"&lt;="&amp;日付設定!$B$1,INDIRECT($B32&amp;"年度出願!$T:$T"),"&lt;&gt;"&amp;日付設定!$F$8&amp;"*",INDIRECT($B32&amp;"年度出願!$AG:$AG"),日付設定!$E$2)</f>
        <v>0</v>
      </c>
      <c r="F32" s="167">
        <f ca="1">COUNTIFS(INDIRECT($B32&amp;"年度出願!$M:$M"),"&gt;="&amp;DATE($B32-IF(F$29&lt;=4, 0,1),F$29,1),INDIRECT($B32&amp;"年度出願!$M:$M"),"&lt;="&amp;DATE($B32-IF(F$29&lt;=4, 0,1),F$29+1,0),
INDIRECT($B32&amp;"年度出願!$M:$M"),"&lt;="&amp;日付設定!$B$1,INDIRECT($B32&amp;"年度出願!$T:$T"),"&lt;&gt;"&amp;日付設定!$F$8&amp;"*",INDIRECT($B32&amp;"年度出願!$E:$E"),日付設定!$E$2)</f>
        <v>0</v>
      </c>
      <c r="G32" s="158">
        <f ca="1">COUNTIFS(INDIRECT($B32&amp;"年度出願!$Y:$Y"),"&gt;="&amp;DATE($B32-IF(F$29&lt;=4, 0,1),F$29,1),INDIRECT($B32&amp;"年度出願!$Y:$Y"),"&lt;="&amp;DATE($B32-IF(F$29&lt;=4, 0,1),F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+COUNTIFS(INDIRECT($B32&amp;"年度出願!$AA:$AA"),"&gt;="&amp;DATE($B32-IF(F$29&lt;=4, 0,1),F$29,1),INDIRECT($B32&amp;"年度出願!$AA:$AA"),"&lt;="&amp;DATE($B32-IF(F$29&lt;=4, 0,1),F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H32" s="162">
        <f ca="1">COUNTIFS(INDIRECT($B32&amp;"年度出願!$AA:$AA"),"&gt;="&amp;DATE($B32-IF(F$29&lt;=4, 0,1),F$29,1),INDIRECT($B32&amp;"年度出願!$AA:$AA"),"&lt;="&amp;DATE($B32-IF(F$29&lt;=4, 0,1),F$29+1,0),
INDIRECT($B32&amp;"年度出願!$AA:$AA"),"&lt;="&amp;日付設定!$B$1,INDIRECT($B32&amp;"年度出願!$T:$T"),"&lt;&gt;"&amp;日付設定!$F$8&amp;"*",INDIRECT($B32&amp;"年度出願!$AG:$AG"),日付設定!$E$2)</f>
        <v>0</v>
      </c>
      <c r="I32" s="167">
        <f ca="1">COUNTIFS(INDIRECT($B32&amp;"年度出願!$M:$M"),"&gt;="&amp;DATE($B32-IF(I$29&lt;=4, 0,1),I$29,1),INDIRECT($B32&amp;"年度出願!$M:$M"),"&lt;="&amp;DATE($B32-IF(I$29&lt;=4, 0,1),I$29+1,0),
INDIRECT($B32&amp;"年度出願!$M:$M"),"&lt;="&amp;日付設定!$B$1,INDIRECT($B32&amp;"年度出願!$T:$T"),"&lt;&gt;"&amp;日付設定!$F$8&amp;"*",INDIRECT($B32&amp;"年度出願!$E:$E"),日付設定!$E$2)</f>
        <v>0</v>
      </c>
      <c r="J32" s="158">
        <f ca="1">COUNTIFS(INDIRECT($B32&amp;"年度出願!$Y:$Y"),"&gt;="&amp;DATE($B32-IF(I$29&lt;=4, 0,1),I$29,1),INDIRECT($B32&amp;"年度出願!$Y:$Y"),"&lt;="&amp;DATE($B32-IF(I$29&lt;=4, 0,1),I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+COUNTIFS(INDIRECT($B32&amp;"年度出願!$AA:$AA"),"&gt;="&amp;DATE($B32-IF(I$29&lt;=4, 0,1),I$29,1),INDIRECT($B32&amp;"年度出願!$AA:$AA"),"&lt;="&amp;DATE($B32-IF(I$29&lt;=4, 0,1),I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K32" s="162">
        <f ca="1">COUNTIFS(INDIRECT($B32&amp;"年度出願!$AA:$AA"),"&gt;="&amp;DATE($B32-IF(I$29&lt;=4, 0,1),I$29,1),INDIRECT($B32&amp;"年度出願!$AA:$AA"),"&lt;="&amp;DATE($B32-IF(I$29&lt;=4, 0,1),I$29+1,0),
INDIRECT($B32&amp;"年度出願!$AA:$AA"),"&lt;="&amp;日付設定!$B$1,INDIRECT($B32&amp;"年度出願!$T:$T"),"&lt;&gt;"&amp;日付設定!$F$8&amp;"*",INDIRECT($B32&amp;"年度出願!$AG:$AG"),日付設定!$E$2)</f>
        <v>0</v>
      </c>
      <c r="L32" s="167">
        <f ca="1">COUNTIFS(INDIRECT($B32&amp;"年度出願!$M:$M"),"&gt;="&amp;DATE($B32-IF(L$29&lt;=4, 0,1),L$29,1),INDIRECT($B32&amp;"年度出願!$M:$M"),"&lt;="&amp;DATE($B32-IF(L$29&lt;=4, 0,1),L$29+1,0),
INDIRECT($B32&amp;"年度出願!$M:$M"),"&lt;="&amp;日付設定!$B$1,INDIRECT($B32&amp;"年度出願!$T:$T"),"&lt;&gt;"&amp;日付設定!$F$8&amp;"*",INDIRECT($B32&amp;"年度出願!$E:$E"),日付設定!$E$2)</f>
        <v>53</v>
      </c>
      <c r="M32" s="158">
        <f ca="1">COUNTIFS(INDIRECT($B32&amp;"年度出願!$Y:$Y"),"&gt;="&amp;DATE($B32-IF(L$29&lt;=4, 0,1),L$29,1),INDIRECT($B32&amp;"年度出願!$Y:$Y"),"&lt;="&amp;DATE($B32-IF(L$29&lt;=4, 0,1),L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+COUNTIFS(INDIRECT($B32&amp;"年度出願!$AA:$AA"),"&gt;="&amp;DATE($B32-IF(L$29&lt;=4, 0,1),L$29,1),INDIRECT($B32&amp;"年度出願!$AA:$AA"),"&lt;="&amp;DATE($B32-IF(L$29&lt;=4, 0,1),L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1</v>
      </c>
      <c r="N32" s="162">
        <f ca="1">COUNTIFS(INDIRECT($B32&amp;"年度出願!$AA:$AA"),"&gt;="&amp;DATE($B32-IF(L$29&lt;=4, 0,1),L$29,1),INDIRECT($B32&amp;"年度出願!$AA:$AA"),"&lt;="&amp;DATE($B32-IF(L$29&lt;=4, 0,1),L$29+1,0),
INDIRECT($B32&amp;"年度出願!$AA:$AA"),"&lt;="&amp;日付設定!$B$1,INDIRECT($B32&amp;"年度出願!$T:$T"),"&lt;&gt;"&amp;日付設定!$F$8&amp;"*",INDIRECT($B32&amp;"年度出願!$AG:$AG"),日付設定!$E$2)</f>
        <v>5</v>
      </c>
      <c r="O32" s="167">
        <f ca="1">COUNTIFS(INDIRECT($B32&amp;"年度出願!$M:$M"),"&gt;="&amp;DATE($B32-IF(O$29&lt;=4, 0,1),O$29,1),INDIRECT($B32&amp;"年度出願!$M:$M"),"&lt;="&amp;DATE($B32-IF(O$29&lt;=4, 0,1),O$29+1,0),
INDIRECT($B32&amp;"年度出願!$M:$M"),"&lt;="&amp;日付設定!$B$1,INDIRECT($B32&amp;"年度出願!$T:$T"),"&lt;&gt;"&amp;日付設定!$F$8&amp;"*",INDIRECT($B32&amp;"年度出願!$E:$E"),日付設定!$E$2)</f>
        <v>111</v>
      </c>
      <c r="P32" s="158">
        <f ca="1">COUNTIFS(INDIRECT($B32&amp;"年度出願!$Y:$Y"),"&gt;="&amp;DATE($B32-IF(O$29&lt;=4, 0,1),O$29,1),INDIRECT($B32&amp;"年度出願!$Y:$Y"),"&lt;="&amp;DATE($B32-IF(O$29&lt;=4, 0,1),O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+COUNTIFS(INDIRECT($B32&amp;"年度出願!$AA:$AA"),"&gt;="&amp;DATE($B32-IF(O$29&lt;=4, 0,1),O$29,1),INDIRECT($B32&amp;"年度出願!$AA:$AA"),"&lt;="&amp;DATE($B32-IF(O$29&lt;=4, 0,1),O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8</v>
      </c>
      <c r="Q32" s="162">
        <f ca="1">COUNTIFS(INDIRECT($B32&amp;"年度出願!$AA:$AA"),"&gt;="&amp;DATE($B32-IF(O$29&lt;=4, 0,1),O$29,1),INDIRECT($B32&amp;"年度出願!$AA:$AA"),"&lt;="&amp;DATE($B32-IF(O$29&lt;=4, 0,1),O$29+1,0),
INDIRECT($B32&amp;"年度出願!$AA:$AA"),"&lt;="&amp;日付設定!$B$1,INDIRECT($B32&amp;"年度出願!$T:$T"),"&lt;&gt;"&amp;日付設定!$F$8&amp;"*",INDIRECT($B32&amp;"年度出願!$AG:$AG"),日付設定!$E$2)</f>
        <v>30</v>
      </c>
      <c r="R32" s="167">
        <f ca="1">COUNTIFS(INDIRECT($B32&amp;"年度出願!$M:$M"),"&gt;="&amp;DATE($B32-IF(R$29&lt;=4, 0,1),R$29,1),INDIRECT($B32&amp;"年度出願!$M:$M"),"&lt;="&amp;DATE($B32-IF(R$29&lt;=4, 0,1),R$29+1,0),
INDIRECT($B32&amp;"年度出願!$M:$M"),"&lt;="&amp;日付設定!$B$1,INDIRECT($B32&amp;"年度出願!$T:$T"),"&lt;&gt;"&amp;日付設定!$F$8&amp;"*",INDIRECT($B32&amp;"年度出願!$E:$E"),日付設定!$E$2)</f>
        <v>55</v>
      </c>
      <c r="S32" s="158">
        <f ca="1">COUNTIFS(INDIRECT($B32&amp;"年度出願!$Y:$Y"),"&gt;="&amp;DATE($B32-IF(R$29&lt;=4, 0,1),R$29,1),INDIRECT($B32&amp;"年度出願!$Y:$Y"),"&lt;="&amp;DATE($B32-IF(R$29&lt;=4, 0,1),R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+COUNTIFS(INDIRECT($B32&amp;"年度出願!$AA:$AA"),"&gt;="&amp;DATE($B32-IF(R$29&lt;=4, 0,1),R$29,1),INDIRECT($B32&amp;"年度出願!$AA:$AA"),"&lt;="&amp;DATE($B32-IF(R$29&lt;=4, 0,1),R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36</v>
      </c>
      <c r="T32" s="162">
        <f ca="1">COUNTIFS(INDIRECT($B32&amp;"年度出願!$AA:$AA"),"&gt;="&amp;DATE($B32-IF(R$29&lt;=4, 0,1),R$29,1),INDIRECT($B32&amp;"年度出願!$AA:$AA"),"&lt;="&amp;DATE($B32-IF(R$29&lt;=4, 0,1),R$29+1,0),
INDIRECT($B32&amp;"年度出願!$AA:$AA"),"&lt;="&amp;日付設定!$B$1,INDIRECT($B32&amp;"年度出願!$T:$T"),"&lt;&gt;"&amp;日付設定!$F$8&amp;"*",INDIRECT($B32&amp;"年度出願!$AG:$AG"),日付設定!$E$2)</f>
        <v>34</v>
      </c>
      <c r="U32" s="167">
        <f ca="1">COUNTIFS(INDIRECT($B32&amp;"年度出願!$M:$M"),"&gt;="&amp;DATE($B32-IF(U$29&lt;=4, 0,1),U$29,1),INDIRECT($B32&amp;"年度出願!$M:$M"),"&lt;="&amp;DATE($B32-IF(U$29&lt;=4, 0,1),U$29+1,0),
INDIRECT($B32&amp;"年度出願!$M:$M"),"&lt;="&amp;日付設定!$B$1,INDIRECT($B32&amp;"年度出願!$T:$T"),"&lt;&gt;"&amp;日付設定!$F$8&amp;"*",INDIRECT($B32&amp;"年度出願!$E:$E"),日付設定!$E$2)</f>
        <v>8</v>
      </c>
      <c r="V32" s="158">
        <f ca="1">COUNTIFS(INDIRECT($B32&amp;"年度出願!$Y:$Y"),"&gt;="&amp;DATE($B32-IF(U$29&lt;=4, 0,1),U$29,1),INDIRECT($B32&amp;"年度出願!$Y:$Y"),"&lt;="&amp;DATE($B32-IF(U$29&lt;=4, 0,1),U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+COUNTIFS(INDIRECT($B32&amp;"年度出願!$AA:$AA"),"&gt;="&amp;DATE($B32-IF(U$29&lt;=4, 0,1),U$29,1),INDIRECT($B32&amp;"年度出願!$AA:$AA"),"&lt;="&amp;DATE($B32-IF(U$29&lt;=4, 0,1),U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11</v>
      </c>
      <c r="W32" s="162">
        <f ca="1">COUNTIFS(INDIRECT($B32&amp;"年度出願!$AA:$AA"),"&gt;="&amp;DATE($B32-IF(U$29&lt;=4, 0,1),U$29,1),INDIRECT($B32&amp;"年度出願!$AA:$AA"),"&lt;="&amp;DATE($B32-IF(U$29&lt;=4, 0,1),U$29+1,0),
INDIRECT($B32&amp;"年度出願!$AA:$AA"),"&lt;="&amp;日付設定!$B$1,INDIRECT($B32&amp;"年度出願!$T:$T"),"&lt;&gt;"&amp;日付設定!$F$8&amp;"*",INDIRECT($B32&amp;"年度出願!$AG:$AG"),日付設定!$E$2)</f>
        <v>34</v>
      </c>
      <c r="X32" s="167">
        <f ca="1">COUNTIFS(INDIRECT($B32&amp;"年度出願!$M:$M"),"&gt;="&amp;DATE($B32-IF(X$29&lt;=4, 0,1),X$29,1),INDIRECT($B32&amp;"年度出願!$M:$M"),"&lt;="&amp;DATE($B32-IF(X$29&lt;=4, 0,1),X$29+1,0),
INDIRECT($B32&amp;"年度出願!$M:$M"),"&lt;="&amp;日付設定!$B$1,INDIRECT($B32&amp;"年度出願!$T:$T"),"&lt;&gt;"&amp;日付設定!$F$8&amp;"*",INDIRECT($B32&amp;"年度出願!$E:$E"),日付設定!$E$2)</f>
        <v>11</v>
      </c>
      <c r="Y32" s="158">
        <f ca="1">COUNTIFS(INDIRECT($B32&amp;"年度出願!$Y:$Y"),"&gt;="&amp;DATE($B32-IF(X$29&lt;=4, 0,1),X$29,1),INDIRECT($B32&amp;"年度出願!$Y:$Y"),"&lt;="&amp;DATE($B32-IF(X$29&lt;=4, 0,1),X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+COUNTIFS(INDIRECT($B32&amp;"年度出願!$AA:$AA"),"&gt;="&amp;DATE($B32-IF(X$29&lt;=4, 0,1),X$29,1),INDIRECT($B32&amp;"年度出願!$AA:$AA"),"&lt;="&amp;DATE($B32-IF(X$29&lt;=4, 0,1),X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8</v>
      </c>
      <c r="Z32" s="162">
        <f ca="1">COUNTIFS(INDIRECT($B32&amp;"年度出願!$AA:$AA"),"&gt;="&amp;DATE($B32-IF(X$29&lt;=4, 0,1),X$29,1),INDIRECT($B32&amp;"年度出願!$AA:$AA"),"&lt;="&amp;DATE($B32-IF(X$29&lt;=4, 0,1),X$29+1,0),
INDIRECT($B32&amp;"年度出願!$AA:$AA"),"&lt;="&amp;日付設定!$B$1,INDIRECT($B32&amp;"年度出願!$T:$T"),"&lt;&gt;"&amp;日付設定!$F$8&amp;"*",INDIRECT($B32&amp;"年度出願!$AG:$AG"),日付設定!$E$2)</f>
        <v>28</v>
      </c>
      <c r="AA32" s="167">
        <f ca="1">COUNTIFS(INDIRECT($B32&amp;"年度出願!$M:$M"),"&gt;="&amp;DATE($B32-IF(AA$29&lt;=4, 0,1),AA$29,1),INDIRECT($B32&amp;"年度出願!$M:$M"),"&lt;="&amp;DATE($B32-IF(AA$29&lt;=4, 0,1),AA$29+1,0),
INDIRECT($B32&amp;"年度出願!$M:$M"),"&lt;="&amp;日付設定!$B$1,INDIRECT($B32&amp;"年度出願!$T:$T"),"&lt;&gt;"&amp;日付設定!$F$8&amp;"*",INDIRECT($B32&amp;"年度出願!$E:$E"),日付設定!$E$2)</f>
        <v>2</v>
      </c>
      <c r="AB32" s="158">
        <f ca="1">COUNTIFS(INDIRECT($B32&amp;"年度出願!$Y:$Y"),"&gt;="&amp;DATE($B32-IF(AA$29&lt;=4, 0,1),AA$29,1),INDIRECT($B32&amp;"年度出願!$Y:$Y"),"&lt;="&amp;DATE($B32-IF(AA$29&lt;=4, 0,1),AA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+COUNTIFS(INDIRECT($B32&amp;"年度出願!$AA:$AA"),"&gt;="&amp;DATE($B32-IF(AA$29&lt;=4, 0,1),AA$29,1),INDIRECT($B32&amp;"年度出願!$AA:$AA"),"&lt;="&amp;DATE($B32-IF(AA$29&lt;=4, 0,1),AA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AC32" s="162">
        <f ca="1">COUNTIFS(INDIRECT($B32&amp;"年度出願!$AA:$AA"),"&gt;="&amp;DATE($B32-IF(AA$29&lt;=4, 0,1),AA$29,1),INDIRECT($B32&amp;"年度出願!$AA:$AA"),"&lt;="&amp;DATE($B32-IF(AA$29&lt;=4, 0,1),AA$29+1,0),
INDIRECT($B32&amp;"年度出願!$AA:$AA"),"&lt;="&amp;日付設定!$B$1,INDIRECT($B32&amp;"年度出願!$T:$T"),"&lt;&gt;"&amp;日付設定!$F$8&amp;"*",INDIRECT($B32&amp;"年度出願!$AG:$AG"),日付設定!$E$2)</f>
        <v>8</v>
      </c>
      <c r="AD32" s="167">
        <f ca="1">COUNTIFS(INDIRECT($B32&amp;"年度出願!$M:$M"),"&gt;="&amp;DATE($B32-IF(AD$29&lt;=4, 0,1),AD$29,1),INDIRECT($B32&amp;"年度出願!$M:$M"),"&lt;="&amp;DATE($B32-IF(AD$29&lt;=4, 0,1),AD$29+1,0),
INDIRECT($B32&amp;"年度出願!$M:$M"),"&lt;="&amp;日付設定!$B$1,INDIRECT($B32&amp;"年度出願!$T:$T"),"&lt;&gt;"&amp;日付設定!$F$8&amp;"*",INDIRECT($B32&amp;"年度出願!$E:$E"),日付設定!$E$2)</f>
        <v>0</v>
      </c>
      <c r="AE32" s="158">
        <f ca="1">COUNTIFS(INDIRECT($B32&amp;"年度出願!$Y:$Y"),"&gt;="&amp;DATE($B32-IF(AD$29&lt;=4, 0,1),AD$29,1),INDIRECT($B32&amp;"年度出願!$Y:$Y"),"&lt;="&amp;DATE($B32-IF(AD$29&lt;=4, 0,1),AD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+COUNTIFS(INDIRECT($B32&amp;"年度出願!$AA:$AA"),"&gt;="&amp;DATE($B32-IF(AD$29&lt;=4, 0,1),AD$29,1),INDIRECT($B32&amp;"年度出願!$AA:$AA"),"&lt;="&amp;DATE($B32-IF(AD$29&lt;=4, 0,1),AD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AF32" s="162">
        <f ca="1">COUNTIFS(INDIRECT($B32&amp;"年度出願!$AA:$AA"),"&gt;="&amp;DATE($B32-IF(AD$29&lt;=4, 0,1),AD$29,1),INDIRECT($B32&amp;"年度出願!$AA:$AA"),"&lt;="&amp;DATE($B32-IF(AD$29&lt;=4, 0,1),AD$29+1,0),
INDIRECT($B32&amp;"年度出願!$AA:$AA"),"&lt;="&amp;日付設定!$B$1,INDIRECT($B32&amp;"年度出願!$T:$T"),"&lt;&gt;"&amp;日付設定!$F$8&amp;"*",INDIRECT($B32&amp;"年度出願!$AG:$AG"),日付設定!$E$2)</f>
        <v>0</v>
      </c>
      <c r="AG32" s="167">
        <f ca="1">COUNTIFS(INDIRECT($B32&amp;"年度出願!$M:$M"),"&gt;="&amp;DATE($B32-IF(AG$29&lt;=4, 0,1),AG$29,1),INDIRECT($B32&amp;"年度出願!$M:$M"),"&lt;="&amp;DATE($B32-IF(AG$29&lt;=4, 0,1),AG$29+1,0),
INDIRECT($B32&amp;"年度出願!$M:$M"),"&lt;="&amp;日付設定!$B$1,INDIRECT($B32&amp;"年度出願!$T:$T"),"&lt;&gt;"&amp;日付設定!$F$8&amp;"*",INDIRECT($B32&amp;"年度出願!$E:$E"),日付設定!$E$2)</f>
        <v>0</v>
      </c>
      <c r="AH32" s="158">
        <f ca="1">COUNTIFS(INDIRECT($B32&amp;"年度出願!$Y:$Y"),"&gt;="&amp;DATE($B32-IF(AG$29&lt;=4, 0,1),AG$29,1),INDIRECT($B32&amp;"年度出願!$Y:$Y"),"&lt;="&amp;DATE($B32-IF(AG$29&lt;=4, 0,1),AG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+COUNTIFS(INDIRECT($B32&amp;"年度出願!$AA:$AA"),"&gt;="&amp;DATE($B32-IF(AG$29&lt;=4, 0,1),AG$29,1),INDIRECT($B32&amp;"年度出願!$AA:$AA"),"&lt;="&amp;DATE($B32-IF(AG$29&lt;=4, 0,1),AG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AI32" s="162">
        <f ca="1">COUNTIFS(INDIRECT($B32&amp;"年度出願!$AA:$AA"),"&gt;="&amp;DATE($B32-IF(AG$29&lt;=4, 0,1),AG$29,1),INDIRECT($B32&amp;"年度出願!$AA:$AA"),"&lt;="&amp;DATE($B32-IF(AG$29&lt;=4, 0,1),AG$29+1,0),
INDIRECT($B32&amp;"年度出願!$AA:$AA"),"&lt;="&amp;日付設定!$B$1,INDIRECT($B32&amp;"年度出願!$T:$T"),"&lt;&gt;"&amp;日付設定!$F$8&amp;"*",INDIRECT($B32&amp;"年度出願!$AG:$AG"),日付設定!$E$2)</f>
        <v>0</v>
      </c>
      <c r="AJ32" s="167">
        <f t="shared" ca="1" si="13"/>
        <v>240</v>
      </c>
      <c r="AK32" s="158">
        <f ca="1">SUM(D32,G32,J32,M32,P32,S32,V32,Y32,AB32,AE32,AH32)</f>
        <v>64</v>
      </c>
      <c r="AL32" s="162">
        <f t="shared" ca="1" si="13"/>
        <v>139</v>
      </c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9"/>
      <c r="BK32" s="169"/>
      <c r="BL32" s="169"/>
      <c r="BM32" s="169"/>
      <c r="BN32" s="169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  <c r="DG32" s="169"/>
      <c r="DH32" s="169"/>
    </row>
    <row r="33" spans="1:112" ht="51.75" customHeight="1" thickBot="1" x14ac:dyDescent="0.5">
      <c r="A33" s="183"/>
      <c r="B33" s="140" t="s">
        <v>1335</v>
      </c>
      <c r="C33" s="168">
        <f t="shared" ref="C33:AI33" ca="1" si="14">C31-C32</f>
        <v>0</v>
      </c>
      <c r="D33" s="163">
        <f t="shared" ca="1" si="14"/>
        <v>0</v>
      </c>
      <c r="E33" s="164">
        <f t="shared" ca="1" si="14"/>
        <v>0</v>
      </c>
      <c r="F33" s="168">
        <f t="shared" ca="1" si="14"/>
        <v>0</v>
      </c>
      <c r="G33" s="163">
        <f t="shared" ca="1" si="14"/>
        <v>0</v>
      </c>
      <c r="H33" s="164">
        <f t="shared" ca="1" si="14"/>
        <v>0</v>
      </c>
      <c r="I33" s="168">
        <f t="shared" ca="1" si="14"/>
        <v>0</v>
      </c>
      <c r="J33" s="163">
        <f t="shared" ca="1" si="14"/>
        <v>0</v>
      </c>
      <c r="K33" s="164">
        <f t="shared" ca="1" si="14"/>
        <v>0</v>
      </c>
      <c r="L33" s="168">
        <f t="shared" ca="1" si="14"/>
        <v>13</v>
      </c>
      <c r="M33" s="163">
        <f t="shared" ca="1" si="14"/>
        <v>0</v>
      </c>
      <c r="N33" s="164">
        <f t="shared" ca="1" si="14"/>
        <v>-5</v>
      </c>
      <c r="O33" s="168">
        <f t="shared" ca="1" si="14"/>
        <v>-58</v>
      </c>
      <c r="P33" s="163">
        <f t="shared" ca="1" si="14"/>
        <v>-8</v>
      </c>
      <c r="Q33" s="164">
        <f t="shared" ca="1" si="14"/>
        <v>10</v>
      </c>
      <c r="R33" s="168">
        <f t="shared" ca="1" si="14"/>
        <v>-55</v>
      </c>
      <c r="S33" s="163">
        <f t="shared" ca="1" si="14"/>
        <v>-36</v>
      </c>
      <c r="T33" s="164">
        <f t="shared" ca="1" si="14"/>
        <v>-34</v>
      </c>
      <c r="U33" s="168">
        <f t="shared" ca="1" si="14"/>
        <v>-8</v>
      </c>
      <c r="V33" s="163">
        <f t="shared" ca="1" si="14"/>
        <v>-11</v>
      </c>
      <c r="W33" s="164">
        <f t="shared" ca="1" si="14"/>
        <v>-34</v>
      </c>
      <c r="X33" s="168">
        <f t="shared" ca="1" si="14"/>
        <v>-11</v>
      </c>
      <c r="Y33" s="163">
        <f t="shared" ca="1" si="14"/>
        <v>-8</v>
      </c>
      <c r="Z33" s="164">
        <f t="shared" ca="1" si="14"/>
        <v>-28</v>
      </c>
      <c r="AA33" s="168">
        <f t="shared" ca="1" si="14"/>
        <v>-2</v>
      </c>
      <c r="AB33" s="163">
        <f t="shared" ca="1" si="14"/>
        <v>0</v>
      </c>
      <c r="AC33" s="164">
        <f t="shared" ca="1" si="14"/>
        <v>-8</v>
      </c>
      <c r="AD33" s="168">
        <f t="shared" ca="1" si="14"/>
        <v>0</v>
      </c>
      <c r="AE33" s="163">
        <f t="shared" ca="1" si="14"/>
        <v>0</v>
      </c>
      <c r="AF33" s="164">
        <f t="shared" ca="1" si="14"/>
        <v>0</v>
      </c>
      <c r="AG33" s="168">
        <f t="shared" ca="1" si="14"/>
        <v>0</v>
      </c>
      <c r="AH33" s="163">
        <f t="shared" ca="1" si="14"/>
        <v>0</v>
      </c>
      <c r="AI33" s="164">
        <f t="shared" ca="1" si="14"/>
        <v>0</v>
      </c>
      <c r="AJ33" s="168">
        <f t="shared" ca="1" si="13"/>
        <v>-121</v>
      </c>
      <c r="AK33" s="163">
        <f t="shared" ca="1" si="13"/>
        <v>-63</v>
      </c>
      <c r="AL33" s="164">
        <f t="shared" ca="1" si="13"/>
        <v>-99</v>
      </c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69"/>
      <c r="BK33" s="169"/>
      <c r="BL33" s="169"/>
      <c r="BM33" s="169"/>
      <c r="BN33" s="169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  <c r="DG33" s="169"/>
      <c r="DH33" s="169"/>
    </row>
    <row r="34" spans="1:112" ht="51.75" customHeight="1" x14ac:dyDescent="0.45">
      <c r="A34" s="184" t="s">
        <v>1334</v>
      </c>
      <c r="B34" s="150">
        <v>2027</v>
      </c>
      <c r="C34" s="166">
        <f ca="1">COUNTIFS(INDIRECT($B34&amp;"年度出願!$M:$M"),"&gt;="&amp;DATE($B34-IF(C$29&lt;=4, 0,1),C$29,1),INDIRECT($B34&amp;"年度出願!$M:$M"),"&lt;="&amp;DATE($B34-IF(C$29&lt;=4, 0,1),C$29+1,0),
INDIRECT($B34&amp;"年度出願!$M:$M"),"&lt;="&amp;日付設定!$B$1,INDIRECT($B34&amp;"年度出願!$T:$T"),"&lt;&gt;"&amp;日付設定!$F$8&amp;"*",INDIRECT($B34&amp;"年度出願!$E:$E"),日付設定!$E$3)</f>
        <v>0</v>
      </c>
      <c r="D34" s="159">
        <f ca="1">COUNTIFS(INDIRECT($B34&amp;"年度出願!$Y:$Y"),"&gt;="&amp;DATE($B34-IF(C$29&lt;=4, 0,1),C$29,1),INDIRECT($B34&amp;"年度出願!$Y:$Y"),"&lt;="&amp;DATE($B34-IF(C$29&lt;=4, 0,1),C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+COUNTIFS(INDIRECT($B34&amp;"年度出願!$M:$M"),"&gt;="&amp;DATE($B34-IF(C$29&lt;=4, 0,1),C$29,1),INDIRECT($B34&amp;"年度出願!$M:$M"),"&lt;="&amp;DATE($B34-IF(C$29&lt;=4, 0,1),C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+COUNTIFS(INDIRECT($B34&amp;"年度出願!$M:$M"),"&gt;="&amp;DATE($B34-IF(C$29&lt;=4, 0,1),C$29,1),INDIRECT($B34&amp;"年度出願!$M:$M"),"&lt;="&amp;DATE($B34-IF(C$29&lt;=4, 0,1),C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+COUNTIFS(INDIRECT($B34&amp;"年度出願!$AA:$AA"),"&gt;="&amp;DATE($B34-IF(C$29&lt;=4, 0,1),C$29,1),INDIRECT($B34&amp;"年度出願!$AA:$AA"),"&lt;="&amp;DATE($B34-IF(C$29&lt;=4, 0,1),C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+COUNTIFS(INDIRECT($B34&amp;"年度出願!$M:$M"),"&gt;="&amp;DATE($B34-IF(C$29&lt;=4, 0,1),C$29,1),INDIRECT($B34&amp;"年度出願!$M:$M"),"&lt;="&amp;DATE($B34-IF(C$29&lt;=4, 0,1),C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E34" s="160">
        <f ca="1">COUNTIFS(INDIRECT($B34&amp;"年度出願!$AA:$AA"),"&gt;="&amp;DATE($B34-IF(C$29&lt;=4, 0,1),C$29,1),INDIRECT($B34&amp;"年度出願!$AA:$AA"),"&lt;="&amp;DATE($B34-IF(C$29&lt;=4, 0,1),C$29+1,0),
INDIRECT($B34&amp;"年度出願!$AA:$AA"),"&lt;="&amp;日付設定!$B$1,INDIRECT($B34&amp;"年度出願!$T:$T"),"&lt;&gt;"&amp;日付設定!$F$8&amp;"*",INDIRECT($B34&amp;"年度出願!$AG:$AG"),日付設定!$E$3)</f>
        <v>0</v>
      </c>
      <c r="F34" s="166">
        <f ca="1">COUNTIFS(INDIRECT($B34&amp;"年度出願!$M:$M"),"&gt;="&amp;DATE($B34-IF(F$29&lt;=4, 0,1),F$29,1),INDIRECT($B34&amp;"年度出願!$M:$M"),"&lt;="&amp;DATE($B34-IF(F$29&lt;=4, 0,1),F$29+1,0),
INDIRECT($B34&amp;"年度出願!$M:$M"),"&lt;="&amp;日付設定!$B$1,INDIRECT($B34&amp;"年度出願!$T:$T"),"&lt;&gt;"&amp;日付設定!$F$8&amp;"*",INDIRECT($B34&amp;"年度出願!$E:$E"),日付設定!$E$3)</f>
        <v>0</v>
      </c>
      <c r="G34" s="159">
        <f ca="1">COUNTIFS(INDIRECT($B34&amp;"年度出願!$Y:$Y"),"&gt;="&amp;DATE($B34-IF(F$29&lt;=4, 0,1),F$29,1),INDIRECT($B34&amp;"年度出願!$Y:$Y"),"&lt;="&amp;DATE($B34-IF(F$29&lt;=4, 0,1),F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+COUNTIFS(INDIRECT($B34&amp;"年度出願!$M:$M"),"&gt;="&amp;DATE($B34-IF(F$29&lt;=4, 0,1),F$29,1),INDIRECT($B34&amp;"年度出願!$M:$M"),"&lt;="&amp;DATE($B34-IF(F$29&lt;=4, 0,1),F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+COUNTIFS(INDIRECT($B34&amp;"年度出願!$M:$M"),"&gt;="&amp;DATE($B34-IF(F$29&lt;=4, 0,1),F$29,1),INDIRECT($B34&amp;"年度出願!$M:$M"),"&lt;="&amp;DATE($B34-IF(F$29&lt;=4, 0,1),F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+COUNTIFS(INDIRECT($B34&amp;"年度出願!$AA:$AA"),"&gt;="&amp;DATE($B34-IF(F$29&lt;=4, 0,1),F$29,1),INDIRECT($B34&amp;"年度出願!$AA:$AA"),"&lt;="&amp;DATE($B34-IF(F$29&lt;=4, 0,1),F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+COUNTIFS(INDIRECT($B34&amp;"年度出願!$M:$M"),"&gt;="&amp;DATE($B34-IF(F$29&lt;=4, 0,1),F$29,1),INDIRECT($B34&amp;"年度出願!$M:$M"),"&lt;="&amp;DATE($B34-IF(F$29&lt;=4, 0,1),F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H34" s="160">
        <f ca="1">COUNTIFS(INDIRECT($B34&amp;"年度出願!$AA:$AA"),"&gt;="&amp;DATE($B34-IF(F$29&lt;=4, 0,1),F$29,1),INDIRECT($B34&amp;"年度出願!$AA:$AA"),"&lt;="&amp;DATE($B34-IF(F$29&lt;=4, 0,1),F$29+1,0),
INDIRECT($B34&amp;"年度出願!$AA:$AA"),"&lt;="&amp;日付設定!$B$1,INDIRECT($B34&amp;"年度出願!$T:$T"),"&lt;&gt;"&amp;日付設定!$F$8&amp;"*",INDIRECT($B34&amp;"年度出願!$AG:$AG"),日付設定!$E$3)</f>
        <v>0</v>
      </c>
      <c r="I34" s="166">
        <f ca="1">COUNTIFS(INDIRECT($B34&amp;"年度出願!$M:$M"),"&gt;="&amp;DATE($B34-IF(I$29&lt;=4, 0,1),I$29,1),INDIRECT($B34&amp;"年度出願!$M:$M"),"&lt;="&amp;DATE($B34-IF(I$29&lt;=4, 0,1),I$29+1,0),
INDIRECT($B34&amp;"年度出願!$M:$M"),"&lt;="&amp;日付設定!$B$1,INDIRECT($B34&amp;"年度出願!$T:$T"),"&lt;&gt;"&amp;日付設定!$F$8&amp;"*",INDIRECT($B34&amp;"年度出願!$E:$E"),日付設定!$E$3)</f>
        <v>0</v>
      </c>
      <c r="J34" s="159">
        <f ca="1">COUNTIFS(INDIRECT($B34&amp;"年度出願!$Y:$Y"),"&gt;="&amp;DATE($B34-IF(I$29&lt;=4, 0,1),I$29,1),INDIRECT($B34&amp;"年度出願!$Y:$Y"),"&lt;="&amp;DATE($B34-IF(I$29&lt;=4, 0,1),I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+COUNTIFS(INDIRECT($B34&amp;"年度出願!$M:$M"),"&gt;="&amp;DATE($B34-IF(I$29&lt;=4, 0,1),I$29,1),INDIRECT($B34&amp;"年度出願!$M:$M"),"&lt;="&amp;DATE($B34-IF(I$29&lt;=4, 0,1),I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+COUNTIFS(INDIRECT($B34&amp;"年度出願!$M:$M"),"&gt;="&amp;DATE($B34-IF(I$29&lt;=4, 0,1),I$29,1),INDIRECT($B34&amp;"年度出願!$M:$M"),"&lt;="&amp;DATE($B34-IF(I$29&lt;=4, 0,1),I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+COUNTIFS(INDIRECT($B34&amp;"年度出願!$AA:$AA"),"&gt;="&amp;DATE($B34-IF(I$29&lt;=4, 0,1),I$29,1),INDIRECT($B34&amp;"年度出願!$AA:$AA"),"&lt;="&amp;DATE($B34-IF(I$29&lt;=4, 0,1),I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+COUNTIFS(INDIRECT($B34&amp;"年度出願!$M:$M"),"&gt;="&amp;DATE($B34-IF(I$29&lt;=4, 0,1),I$29,1),INDIRECT($B34&amp;"年度出願!$M:$M"),"&lt;="&amp;DATE($B34-IF(I$29&lt;=4, 0,1),I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K34" s="160">
        <f ca="1">COUNTIFS(INDIRECT($B34&amp;"年度出願!$AA:$AA"),"&gt;="&amp;DATE($B34-IF(I$29&lt;=4, 0,1),I$29,1),INDIRECT($B34&amp;"年度出願!$AA:$AA"),"&lt;="&amp;DATE($B34-IF(I$29&lt;=4, 0,1),I$29+1,0),
INDIRECT($B34&amp;"年度出願!$AA:$AA"),"&lt;="&amp;日付設定!$B$1,INDIRECT($B34&amp;"年度出願!$T:$T"),"&lt;&gt;"&amp;日付設定!$F$8&amp;"*",INDIRECT($B34&amp;"年度出願!$AG:$AG"),日付設定!$E$3)</f>
        <v>0</v>
      </c>
      <c r="L34" s="166">
        <f ca="1">COUNTIFS(INDIRECT($B34&amp;"年度出願!$M:$M"),"&gt;="&amp;DATE($B34-IF(L$29&lt;=4, 0,1),L$29,1),INDIRECT($B34&amp;"年度出願!$M:$M"),"&lt;="&amp;DATE($B34-IF(L$29&lt;=4, 0,1),L$29+1,0),
INDIRECT($B34&amp;"年度出願!$M:$M"),"&lt;="&amp;日付設定!$B$1,INDIRECT($B34&amp;"年度出願!$T:$T"),"&lt;&gt;"&amp;日付設定!$F$8&amp;"*",INDIRECT($B34&amp;"年度出願!$E:$E"),日付設定!$E$3)</f>
        <v>73</v>
      </c>
      <c r="M34" s="159">
        <f ca="1">COUNTIFS(INDIRECT($B34&amp;"年度出願!$Y:$Y"),"&gt;="&amp;DATE($B34-IF(L$29&lt;=4, 0,1),L$29,1),INDIRECT($B34&amp;"年度出願!$Y:$Y"),"&lt;="&amp;DATE($B34-IF(L$29&lt;=4, 0,1),L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+COUNTIFS(INDIRECT($B34&amp;"年度出願!$M:$M"),"&gt;="&amp;DATE($B34-IF(L$29&lt;=4, 0,1),L$29,1),INDIRECT($B34&amp;"年度出願!$M:$M"),"&lt;="&amp;DATE($B34-IF(L$29&lt;=4, 0,1),L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+COUNTIFS(INDIRECT($B34&amp;"年度出願!$M:$M"),"&gt;="&amp;DATE($B34-IF(L$29&lt;=4, 0,1),L$29,1),INDIRECT($B34&amp;"年度出願!$M:$M"),"&lt;="&amp;DATE($B34-IF(L$29&lt;=4, 0,1),L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+COUNTIFS(INDIRECT($B34&amp;"年度出願!$AA:$AA"),"&gt;="&amp;DATE($B34-IF(L$29&lt;=4, 0,1),L$29,1),INDIRECT($B34&amp;"年度出願!$AA:$AA"),"&lt;="&amp;DATE($B34-IF(L$29&lt;=4, 0,1),L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+COUNTIFS(INDIRECT($B34&amp;"年度出願!$M:$M"),"&gt;="&amp;DATE($B34-IF(L$29&lt;=4, 0,1),L$29,1),INDIRECT($B34&amp;"年度出願!$M:$M"),"&lt;="&amp;DATE($B34-IF(L$29&lt;=4, 0,1),L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N34" s="160">
        <f ca="1">COUNTIFS(INDIRECT($B34&amp;"年度出願!$AA:$AA"),"&gt;="&amp;DATE($B34-IF(L$29&lt;=4, 0,1),L$29,1),INDIRECT($B34&amp;"年度出願!$AA:$AA"),"&lt;="&amp;DATE($B34-IF(L$29&lt;=4, 0,1),L$29+1,0),
INDIRECT($B34&amp;"年度出願!$AA:$AA"),"&lt;="&amp;日付設定!$B$1,INDIRECT($B34&amp;"年度出願!$T:$T"),"&lt;&gt;"&amp;日付設定!$F$8&amp;"*",INDIRECT($B34&amp;"年度出願!$AG:$AG"),日付設定!$E$3)</f>
        <v>4</v>
      </c>
      <c r="O34" s="166">
        <f ca="1">COUNTIFS(INDIRECT($B34&amp;"年度出願!$M:$M"),"&gt;="&amp;DATE($B34-IF(O$29&lt;=4, 0,1),O$29,1),INDIRECT($B34&amp;"年度出願!$M:$M"),"&lt;="&amp;DATE($B34-IF(O$29&lt;=4, 0,1),O$29+1,0),
INDIRECT($B34&amp;"年度出願!$M:$M"),"&lt;="&amp;日付設定!$B$1,INDIRECT($B34&amp;"年度出願!$T:$T"),"&lt;&gt;"&amp;日付設定!$F$8&amp;"*",INDIRECT($B34&amp;"年度出願!$E:$E"),日付設定!$E$3)</f>
        <v>43</v>
      </c>
      <c r="P34" s="159">
        <f ca="1">COUNTIFS(INDIRECT($B34&amp;"年度出願!$Y:$Y"),"&gt;="&amp;DATE($B34-IF(O$29&lt;=4, 0,1),O$29,1),INDIRECT($B34&amp;"年度出願!$Y:$Y"),"&lt;="&amp;DATE($B34-IF(O$29&lt;=4, 0,1),O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+COUNTIFS(INDIRECT($B34&amp;"年度出願!$M:$M"),"&gt;="&amp;DATE($B34-IF(O$29&lt;=4, 0,1),O$29,1),INDIRECT($B34&amp;"年度出願!$M:$M"),"&lt;="&amp;DATE($B34-IF(O$29&lt;=4, 0,1),O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+COUNTIFS(INDIRECT($B34&amp;"年度出願!$M:$M"),"&gt;="&amp;DATE($B34-IF(O$29&lt;=4, 0,1),O$29,1),INDIRECT($B34&amp;"年度出願!$M:$M"),"&lt;="&amp;DATE($B34-IF(O$29&lt;=4, 0,1),O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+COUNTIFS(INDIRECT($B34&amp;"年度出願!$AA:$AA"),"&gt;="&amp;DATE($B34-IF(O$29&lt;=4, 0,1),O$29,1),INDIRECT($B34&amp;"年度出願!$AA:$AA"),"&lt;="&amp;DATE($B34-IF(O$29&lt;=4, 0,1),O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+COUNTIFS(INDIRECT($B34&amp;"年度出願!$M:$M"),"&gt;="&amp;DATE($B34-IF(O$29&lt;=4, 0,1),O$29,1),INDIRECT($B34&amp;"年度出願!$M:$M"),"&lt;="&amp;DATE($B34-IF(O$29&lt;=4, 0,1),O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Q34" s="160">
        <f ca="1">COUNTIFS(INDIRECT($B34&amp;"年度出願!$AA:$AA"),"&gt;="&amp;DATE($B34-IF(O$29&lt;=4, 0,1),O$29,1),INDIRECT($B34&amp;"年度出願!$AA:$AA"),"&lt;="&amp;DATE($B34-IF(O$29&lt;=4, 0,1),O$29+1,0),
INDIRECT($B34&amp;"年度出願!$AA:$AA"),"&lt;="&amp;日付設定!$B$1,INDIRECT($B34&amp;"年度出願!$T:$T"),"&lt;&gt;"&amp;日付設定!$F$8&amp;"*",INDIRECT($B34&amp;"年度出願!$AG:$AG"),日付設定!$E$3)</f>
        <v>34</v>
      </c>
      <c r="R34" s="166">
        <f ca="1">COUNTIFS(INDIRECT($B34&amp;"年度出願!$M:$M"),"&gt;="&amp;DATE($B34-IF(R$29&lt;=4, 0,1),R$29,1),INDIRECT($B34&amp;"年度出願!$M:$M"),"&lt;="&amp;DATE($B34-IF(R$29&lt;=4, 0,1),R$29+1,0),
INDIRECT($B34&amp;"年度出願!$M:$M"),"&lt;="&amp;日付設定!$B$1,INDIRECT($B34&amp;"年度出願!$T:$T"),"&lt;&gt;"&amp;日付設定!$F$8&amp;"*",INDIRECT($B34&amp;"年度出願!$E:$E"),日付設定!$E$3)</f>
        <v>0</v>
      </c>
      <c r="S34" s="159">
        <f ca="1">COUNTIFS(INDIRECT($B34&amp;"年度出願!$Y:$Y"),"&gt;="&amp;DATE($B34-IF(R$29&lt;=4, 0,1),R$29,1),INDIRECT($B34&amp;"年度出願!$Y:$Y"),"&lt;="&amp;DATE($B34-IF(R$29&lt;=4, 0,1),R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+COUNTIFS(INDIRECT($B34&amp;"年度出願!$M:$M"),"&gt;="&amp;DATE($B34-IF(R$29&lt;=4, 0,1),R$29,1),INDIRECT($B34&amp;"年度出願!$M:$M"),"&lt;="&amp;DATE($B34-IF(R$29&lt;=4, 0,1),R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+COUNTIFS(INDIRECT($B34&amp;"年度出願!$M:$M"),"&gt;="&amp;DATE($B34-IF(R$29&lt;=4, 0,1),R$29,1),INDIRECT($B34&amp;"年度出願!$M:$M"),"&lt;="&amp;DATE($B34-IF(R$29&lt;=4, 0,1),R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+COUNTIFS(INDIRECT($B34&amp;"年度出願!$AA:$AA"),"&gt;="&amp;DATE($B34-IF(R$29&lt;=4, 0,1),R$29,1),INDIRECT($B34&amp;"年度出願!$AA:$AA"),"&lt;="&amp;DATE($B34-IF(R$29&lt;=4, 0,1),R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+COUNTIFS(INDIRECT($B34&amp;"年度出願!$M:$M"),"&gt;="&amp;DATE($B34-IF(R$29&lt;=4, 0,1),R$29,1),INDIRECT($B34&amp;"年度出願!$M:$M"),"&lt;="&amp;DATE($B34-IF(R$29&lt;=4, 0,1),R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T34" s="160">
        <f ca="1">COUNTIFS(INDIRECT($B34&amp;"年度出願!$AA:$AA"),"&gt;="&amp;DATE($B34-IF(R$29&lt;=4, 0,1),R$29,1),INDIRECT($B34&amp;"年度出願!$AA:$AA"),"&lt;="&amp;DATE($B34-IF(R$29&lt;=4, 0,1),R$29+1,0),
INDIRECT($B34&amp;"年度出願!$AA:$AA"),"&lt;="&amp;日付設定!$B$1,INDIRECT($B34&amp;"年度出願!$T:$T"),"&lt;&gt;"&amp;日付設定!$F$8&amp;"*",INDIRECT($B34&amp;"年度出願!$AG:$AG"),日付設定!$E$3)</f>
        <v>0</v>
      </c>
      <c r="U34" s="166">
        <f ca="1">COUNTIFS(INDIRECT($B34&amp;"年度出願!$M:$M"),"&gt;="&amp;DATE($B34-IF(U$29&lt;=4, 0,1),U$29,1),INDIRECT($B34&amp;"年度出願!$M:$M"),"&lt;="&amp;DATE($B34-IF(U$29&lt;=4, 0,1),U$29+1,0),
INDIRECT($B34&amp;"年度出願!$M:$M"),"&lt;="&amp;日付設定!$B$1,INDIRECT($B34&amp;"年度出願!$T:$T"),"&lt;&gt;"&amp;日付設定!$F$8&amp;"*",INDIRECT($B34&amp;"年度出願!$E:$E"),日付設定!$E$3)</f>
        <v>0</v>
      </c>
      <c r="V34" s="159">
        <f ca="1">COUNTIFS(INDIRECT($B34&amp;"年度出願!$Y:$Y"),"&gt;="&amp;DATE($B34-IF(U$29&lt;=4, 0,1),U$29,1),INDIRECT($B34&amp;"年度出願!$Y:$Y"),"&lt;="&amp;DATE($B34-IF(U$29&lt;=4, 0,1),U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+COUNTIFS(INDIRECT($B34&amp;"年度出願!$M:$M"),"&gt;="&amp;DATE($B34-IF(U$29&lt;=4, 0,1),U$29,1),INDIRECT($B34&amp;"年度出願!$M:$M"),"&lt;="&amp;DATE($B34-IF(U$29&lt;=4, 0,1),U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+COUNTIFS(INDIRECT($B34&amp;"年度出願!$M:$M"),"&gt;="&amp;DATE($B34-IF(U$29&lt;=4, 0,1),U$29,1),INDIRECT($B34&amp;"年度出願!$M:$M"),"&lt;="&amp;DATE($B34-IF(U$29&lt;=4, 0,1),U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+COUNTIFS(INDIRECT($B34&amp;"年度出願!$AA:$AA"),"&gt;="&amp;DATE($B34-IF(U$29&lt;=4, 0,1),U$29,1),INDIRECT($B34&amp;"年度出願!$AA:$AA"),"&lt;="&amp;DATE($B34-IF(U$29&lt;=4, 0,1),U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+COUNTIFS(INDIRECT($B34&amp;"年度出願!$M:$M"),"&gt;="&amp;DATE($B34-IF(U$29&lt;=4, 0,1),U$29,1),INDIRECT($B34&amp;"年度出願!$M:$M"),"&lt;="&amp;DATE($B34-IF(U$29&lt;=4, 0,1),U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W34" s="160">
        <f ca="1">COUNTIFS(INDIRECT($B34&amp;"年度出願!$AA:$AA"),"&gt;="&amp;DATE($B34-IF(U$29&lt;=4, 0,1),U$29,1),INDIRECT($B34&amp;"年度出願!$AA:$AA"),"&lt;="&amp;DATE($B34-IF(U$29&lt;=4, 0,1),U$29+1,0),
INDIRECT($B34&amp;"年度出願!$AA:$AA"),"&lt;="&amp;日付設定!$B$1,INDIRECT($B34&amp;"年度出願!$T:$T"),"&lt;&gt;"&amp;日付設定!$F$8&amp;"*",INDIRECT($B34&amp;"年度出願!$AG:$AG"),日付設定!$E$3)</f>
        <v>0</v>
      </c>
      <c r="X34" s="166">
        <f ca="1">COUNTIFS(INDIRECT($B34&amp;"年度出願!$M:$M"),"&gt;="&amp;DATE($B34-IF(X$29&lt;=4, 0,1),X$29,1),INDIRECT($B34&amp;"年度出願!$M:$M"),"&lt;="&amp;DATE($B34-IF(X$29&lt;=4, 0,1),X$29+1,0),
INDIRECT($B34&amp;"年度出願!$M:$M"),"&lt;="&amp;日付設定!$B$1,INDIRECT($B34&amp;"年度出願!$T:$T"),"&lt;&gt;"&amp;日付設定!$F$8&amp;"*",INDIRECT($B34&amp;"年度出願!$E:$E"),日付設定!$E$3)</f>
        <v>0</v>
      </c>
      <c r="Y34" s="159">
        <f ca="1">COUNTIFS(INDIRECT($B34&amp;"年度出願!$Y:$Y"),"&gt;="&amp;DATE($B34-IF(X$29&lt;=4, 0,1),X$29,1),INDIRECT($B34&amp;"年度出願!$Y:$Y"),"&lt;="&amp;DATE($B34-IF(X$29&lt;=4, 0,1),X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+COUNTIFS(INDIRECT($B34&amp;"年度出願!$M:$M"),"&gt;="&amp;DATE($B34-IF(X$29&lt;=4, 0,1),X$29,1),INDIRECT($B34&amp;"年度出願!$M:$M"),"&lt;="&amp;DATE($B34-IF(X$29&lt;=4, 0,1),X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+COUNTIFS(INDIRECT($B34&amp;"年度出願!$M:$M"),"&gt;="&amp;DATE($B34-IF(X$29&lt;=4, 0,1),X$29,1),INDIRECT($B34&amp;"年度出願!$M:$M"),"&lt;="&amp;DATE($B34-IF(X$29&lt;=4, 0,1),X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+COUNTIFS(INDIRECT($B34&amp;"年度出願!$AA:$AA"),"&gt;="&amp;DATE($B34-IF(X$29&lt;=4, 0,1),X$29,1),INDIRECT($B34&amp;"年度出願!$AA:$AA"),"&lt;="&amp;DATE($B34-IF(X$29&lt;=4, 0,1),X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+COUNTIFS(INDIRECT($B34&amp;"年度出願!$M:$M"),"&gt;="&amp;DATE($B34-IF(X$29&lt;=4, 0,1),X$29,1),INDIRECT($B34&amp;"年度出願!$M:$M"),"&lt;="&amp;DATE($B34-IF(X$29&lt;=4, 0,1),X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Z34" s="160">
        <f ca="1">COUNTIFS(INDIRECT($B34&amp;"年度出願!$AA:$AA"),"&gt;="&amp;DATE($B34-IF(X$29&lt;=4, 0,1),X$29,1),INDIRECT($B34&amp;"年度出願!$AA:$AA"),"&lt;="&amp;DATE($B34-IF(X$29&lt;=4, 0,1),X$29+1,0),
INDIRECT($B34&amp;"年度出願!$AA:$AA"),"&lt;="&amp;日付設定!$B$1,INDIRECT($B34&amp;"年度出願!$T:$T"),"&lt;&gt;"&amp;日付設定!$F$8&amp;"*",INDIRECT($B34&amp;"年度出願!$AG:$AG"),日付設定!$E$3)</f>
        <v>0</v>
      </c>
      <c r="AA34" s="166">
        <f ca="1">COUNTIFS(INDIRECT($B34&amp;"年度出願!$M:$M"),"&gt;="&amp;DATE($B34-IF(AA$29&lt;=4, 0,1),AA$29,1),INDIRECT($B34&amp;"年度出願!$M:$M"),"&lt;="&amp;DATE($B34-IF(AA$29&lt;=4, 0,1),AA$29+1,0),
INDIRECT($B34&amp;"年度出願!$M:$M"),"&lt;="&amp;日付設定!$B$1,INDIRECT($B34&amp;"年度出願!$T:$T"),"&lt;&gt;"&amp;日付設定!$F$8&amp;"*",INDIRECT($B34&amp;"年度出願!$E:$E"),日付設定!$E$3)</f>
        <v>0</v>
      </c>
      <c r="AB34" s="159">
        <f ca="1">COUNTIFS(INDIRECT($B34&amp;"年度出願!$Y:$Y"),"&gt;="&amp;DATE($B34-IF(AA$29&lt;=4, 0,1),AA$29,1),INDIRECT($B34&amp;"年度出願!$Y:$Y"),"&lt;="&amp;DATE($B34-IF(AA$29&lt;=4, 0,1),AA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+COUNTIFS(INDIRECT($B34&amp;"年度出願!$M:$M"),"&gt;="&amp;DATE($B34-IF(AA$29&lt;=4, 0,1),AA$29,1),INDIRECT($B34&amp;"年度出願!$M:$M"),"&lt;="&amp;DATE($B34-IF(AA$29&lt;=4, 0,1),AA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+COUNTIFS(INDIRECT($B34&amp;"年度出願!$M:$M"),"&gt;="&amp;DATE($B34-IF(AA$29&lt;=4, 0,1),AA$29,1),INDIRECT($B34&amp;"年度出願!$M:$M"),"&lt;="&amp;DATE($B34-IF(AA$29&lt;=4, 0,1),AA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+COUNTIFS(INDIRECT($B34&amp;"年度出願!$AA:$AA"),"&gt;="&amp;DATE($B34-IF(AA$29&lt;=4, 0,1),AA$29,1),INDIRECT($B34&amp;"年度出願!$AA:$AA"),"&lt;="&amp;DATE($B34-IF(AA$29&lt;=4, 0,1),AA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+COUNTIFS(INDIRECT($B34&amp;"年度出願!$M:$M"),"&gt;="&amp;DATE($B34-IF(AA$29&lt;=4, 0,1),AA$29,1),INDIRECT($B34&amp;"年度出願!$M:$M"),"&lt;="&amp;DATE($B34-IF(AA$29&lt;=4, 0,1),AA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AC34" s="160">
        <f ca="1">COUNTIFS(INDIRECT($B34&amp;"年度出願!$AA:$AA"),"&gt;="&amp;DATE($B34-IF(AA$29&lt;=4, 0,1),AA$29,1),INDIRECT($B34&amp;"年度出願!$AA:$AA"),"&lt;="&amp;DATE($B34-IF(AA$29&lt;=4, 0,1),AA$29+1,0),
INDIRECT($B34&amp;"年度出願!$AA:$AA"),"&lt;="&amp;日付設定!$B$1,INDIRECT($B34&amp;"年度出願!$T:$T"),"&lt;&gt;"&amp;日付設定!$F$8&amp;"*",INDIRECT($B34&amp;"年度出願!$AG:$AG"),日付設定!$E$3)</f>
        <v>0</v>
      </c>
      <c r="AD34" s="166">
        <f ca="1">COUNTIFS(INDIRECT($B34&amp;"年度出願!$M:$M"),"&gt;="&amp;DATE($B34-IF(AD$29&lt;=4, 0,1),AD$29,1),INDIRECT($B34&amp;"年度出願!$M:$M"),"&lt;="&amp;DATE($B34-IF(AD$29&lt;=4, 0,1),AD$29+1,0),
INDIRECT($B34&amp;"年度出願!$M:$M"),"&lt;="&amp;日付設定!$B$1,INDIRECT($B34&amp;"年度出願!$T:$T"),"&lt;&gt;"&amp;日付設定!$F$8&amp;"*",INDIRECT($B34&amp;"年度出願!$E:$E"),日付設定!$E$3)</f>
        <v>0</v>
      </c>
      <c r="AE34" s="159">
        <f ca="1">COUNTIFS(INDIRECT($B34&amp;"年度出願!$Y:$Y"),"&gt;="&amp;DATE($B34-IF(AD$29&lt;=4, 0,1),AD$29,1),INDIRECT($B34&amp;"年度出願!$Y:$Y"),"&lt;="&amp;DATE($B34-IF(AD$29&lt;=4, 0,1),AD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+COUNTIFS(INDIRECT($B34&amp;"年度出願!$M:$M"),"&gt;="&amp;DATE($B34-IF(AD$29&lt;=4, 0,1),AD$29,1),INDIRECT($B34&amp;"年度出願!$M:$M"),"&lt;="&amp;DATE($B34-IF(AD$29&lt;=4, 0,1),AD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+COUNTIFS(INDIRECT($B34&amp;"年度出願!$M:$M"),"&gt;="&amp;DATE($B34-IF(AD$29&lt;=4, 0,1),AD$29,1),INDIRECT($B34&amp;"年度出願!$M:$M"),"&lt;="&amp;DATE($B34-IF(AD$29&lt;=4, 0,1),AD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+COUNTIFS(INDIRECT($B34&amp;"年度出願!$AA:$AA"),"&gt;="&amp;DATE($B34-IF(AD$29&lt;=4, 0,1),AD$29,1),INDIRECT($B34&amp;"年度出願!$AA:$AA"),"&lt;="&amp;DATE($B34-IF(AD$29&lt;=4, 0,1),AD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+COUNTIFS(INDIRECT($B34&amp;"年度出願!$M:$M"),"&gt;="&amp;DATE($B34-IF(AD$29&lt;=4, 0,1),AD$29,1),INDIRECT($B34&amp;"年度出願!$M:$M"),"&lt;="&amp;DATE($B34-IF(AD$29&lt;=4, 0,1),AD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AF34" s="160">
        <f ca="1">COUNTIFS(INDIRECT($B34&amp;"年度出願!$AA:$AA"),"&gt;="&amp;DATE($B34-IF(AD$29&lt;=4, 0,1),AD$29,1),INDIRECT($B34&amp;"年度出願!$AA:$AA"),"&lt;="&amp;DATE($B34-IF(AD$29&lt;=4, 0,1),AD$29+1,0),
INDIRECT($B34&amp;"年度出願!$AA:$AA"),"&lt;="&amp;日付設定!$B$1,INDIRECT($B34&amp;"年度出願!$T:$T"),"&lt;&gt;"&amp;日付設定!$F$8&amp;"*",INDIRECT($B34&amp;"年度出願!$AG:$AG"),日付設定!$E$3)</f>
        <v>0</v>
      </c>
      <c r="AG34" s="166">
        <f ca="1">COUNTIFS(INDIRECT($B34&amp;"年度出願!$M:$M"),"&gt;="&amp;DATE($B34-IF(AG$29&lt;=4, 0,1),AG$29,1),INDIRECT($B34&amp;"年度出願!$M:$M"),"&lt;="&amp;DATE($B34-IF(AG$29&lt;=4, 0,1),AG$29+1,0),
INDIRECT($B34&amp;"年度出願!$M:$M"),"&lt;="&amp;日付設定!$B$1,INDIRECT($B34&amp;"年度出願!$T:$T"),"&lt;&gt;"&amp;日付設定!$F$8&amp;"*",INDIRECT($B34&amp;"年度出願!$E:$E"),日付設定!$E$3)</f>
        <v>0</v>
      </c>
      <c r="AH34" s="159">
        <f ca="1">COUNTIFS(INDIRECT($B34&amp;"年度出願!$Y:$Y"),"&gt;="&amp;DATE($B34-IF(AG$29&lt;=4, 0,1),AG$29,1),INDIRECT($B34&amp;"年度出願!$Y:$Y"),"&lt;="&amp;DATE($B34-IF(AG$29&lt;=4, 0,1),AG$29+1,0),INDIRECT($B34&amp;"年度出願!$Y:$Y"),"&lt;="&amp;日付設定!$B$1,INDIRECT($B34&amp;"年度出願!$T:$T"),"&lt;&gt;"&amp;日付設定!$F$8&amp;"*",INDIRECT($B34&amp;"年度出願!$E:$E"),日付設定!$E$3,INDIRECT($B34&amp;"年度出願!$Y:$Y"),"&lt;&gt;"&amp;"")
+COUNTIFS(INDIRECT($B34&amp;"年度出願!$M:$M"),"&gt;="&amp;DATE($B34-IF(AG$29&lt;=4, 0,1),AG$29,1),INDIRECT($B34&amp;"年度出願!$M:$M"),"&lt;="&amp;DATE($B34-IF(AG$29&lt;=4, 0,1),AG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N")
+COUNTIFS(INDIRECT($B34&amp;"年度出願!$M:$M"),"&gt;="&amp;DATE($B34-IF(AG$29&lt;=4, 0,1),AG$29,1),INDIRECT($B34&amp;"年度出願!$M:$M"),"&lt;="&amp;DATE($B34-IF(AG$29&lt;=4, 0,1),AG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S",INDIRECT($B34&amp;"年度出願!$AS:$AS"),"N")
+COUNTIFS(INDIRECT($B34&amp;"年度出願!$AA:$AA"),"&gt;="&amp;DATE($B34-IF(AG$29&lt;=4, 0,1),AG$29,1),INDIRECT($B34&amp;"年度出願!$AA:$AA"),"&lt;="&amp;DATE($B34-IF(AG$29&lt;=4, 0,1),AG$29+1,0),INDIRECT($B34&amp;"年度出願!$AA:$AA"),"&lt;="&amp;日付設定!$B$1,INDIRECT($B34&amp;"年度出願!$T:$T"),"&lt;&gt;"&amp;日付設定!$F$8&amp;"*",INDIRECT($B34&amp;"年度出願!$E:$E"),日付設定!$E$3,INDIRECT($B34&amp;"年度出願!$AG:$AG"),"&lt;&gt;"&amp;日付設定!$E$3)
+COUNTIFS(INDIRECT($B34&amp;"年度出願!$M:$M"),"&gt;="&amp;DATE($B34-IF(AG$29&lt;=4, 0,1),AG$29,1),INDIRECT($B34&amp;"年度出願!$M:$M"),"&lt;="&amp;DATE($B34-IF(AG$29&lt;=4, 0,1),AG$29+1,0),INDIRECT($B34&amp;"年度出願!$M:$M"),"&lt;="&amp;日付設定!$B$1,INDIRECT($B34&amp;"年度出願!$T:$T"),"&lt;&gt;"&amp;日付設定!$F$8&amp;"*",INDIRECT($B34&amp;"年度出願!$E:$E"),日付設定!$E$3,INDIRECT($B34&amp;"年度出願!$Y:$Y"),"",INDIRECT($B34&amp;"年度出願!$AR:$AR"),"",INDIRECT($B34&amp;"年度出願!$A:$A"),日付設定!$M$2)</f>
        <v>0</v>
      </c>
      <c r="AI34" s="160">
        <f ca="1">COUNTIFS(INDIRECT($B34&amp;"年度出願!$AA:$AA"),"&gt;="&amp;DATE($B34-IF(AG$29&lt;=4, 0,1),AG$29,1),INDIRECT($B34&amp;"年度出願!$AA:$AA"),"&lt;="&amp;DATE($B34-IF(AG$29&lt;=4, 0,1),AG$29+1,0),
INDIRECT($B34&amp;"年度出願!$AA:$AA"),"&lt;="&amp;日付設定!$B$1,INDIRECT($B34&amp;"年度出願!$T:$T"),"&lt;&gt;"&amp;日付設定!$F$8&amp;"*",INDIRECT($B34&amp;"年度出願!$AG:$AG"),日付設定!$E$3)</f>
        <v>0</v>
      </c>
      <c r="AJ34" s="166">
        <f t="shared" ca="1" si="13"/>
        <v>116</v>
      </c>
      <c r="AK34" s="159">
        <f t="shared" ca="1" si="13"/>
        <v>0</v>
      </c>
      <c r="AL34" s="160">
        <f t="shared" ca="1" si="13"/>
        <v>38</v>
      </c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  <c r="BK34" s="169"/>
      <c r="BL34" s="169"/>
      <c r="BM34" s="169"/>
      <c r="BN34" s="169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  <c r="DG34" s="169"/>
      <c r="DH34" s="169"/>
    </row>
    <row r="35" spans="1:112" ht="51.75" customHeight="1" x14ac:dyDescent="0.45">
      <c r="A35" s="182"/>
      <c r="B35" s="149">
        <v>2026</v>
      </c>
      <c r="C35" s="167">
        <f ca="1">COUNTIFS(INDIRECT($B35&amp;"年度出願!$M:$M"),"&gt;="&amp;DATE($B35-IF(C$29&lt;=4, 0,1),C$29,1),INDIRECT($B35&amp;"年度出願!$M:$M"),"&lt;="&amp;DATE($B35-IF(C$29&lt;=4, 0,1),C$29+1,0),
INDIRECT($B35&amp;"年度出願!$M:$M"),"&lt;="&amp;日付設定!$B$1,INDIRECT($B35&amp;"年度出願!$T:$T"),"&lt;&gt;"&amp;日付設定!$F$8&amp;"*",INDIRECT($B35&amp;"年度出願!$E:$E"),日付設定!$E$3)</f>
        <v>0</v>
      </c>
      <c r="D35" s="158">
        <f ca="1">COUNTIFS(INDIRECT($B35&amp;"年度出願!$Y:$Y"),"&gt;="&amp;DATE($B35-IF(C$29&lt;=4, 0,1),C$29,1),INDIRECT($B35&amp;"年度出願!$Y:$Y"),"&lt;="&amp;DATE($B35-IF(C$29&lt;=4, 0,1),C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+COUNTIFS(INDIRECT($B35&amp;"年度出願!$M:$M"),"&gt;="&amp;DATE($B35-IF(C$29&lt;=4, 0,1),C$29,1),INDIRECT($B35&amp;"年度出願!$M:$M"),"&lt;="&amp;DATE($B35-IF(C$29&lt;=4, 0,1),C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+COUNTIFS(INDIRECT($B35&amp;"年度出願!$M:$M"),"&gt;="&amp;DATE($B35-IF(C$29&lt;=4, 0,1),C$29,1),INDIRECT($B35&amp;"年度出願!$M:$M"),"&lt;="&amp;DATE($B35-IF(C$29&lt;=4, 0,1),C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+COUNTIFS(INDIRECT($B35&amp;"年度出願!$AA:$AA"),"&gt;="&amp;DATE($B35-IF(C$29&lt;=4, 0,1),C$29,1),INDIRECT($B35&amp;"年度出願!$AA:$AA"),"&lt;="&amp;DATE($B35-IF(C$29&lt;=4, 0,1),C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+COUNTIFS(INDIRECT($B35&amp;"年度出願!$M:$M"),"&gt;="&amp;DATE($B35-IF(C$29&lt;=4, 0,1),C$29,1),INDIRECT($B35&amp;"年度出願!$M:$M"),"&lt;="&amp;DATE($B35-IF(C$29&lt;=4, 0,1),C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0</v>
      </c>
      <c r="E35" s="162">
        <f ca="1">COUNTIFS(INDIRECT($B35&amp;"年度出願!$AA:$AA"),"&gt;="&amp;DATE($B35-IF(C$29&lt;=4, 0,1),C$29,1),INDIRECT($B35&amp;"年度出願!$AA:$AA"),"&lt;="&amp;DATE($B35-IF(C$29&lt;=4, 0,1),C$29+1,0),
INDIRECT($B35&amp;"年度出願!$AA:$AA"),"&lt;="&amp;日付設定!$B$1,INDIRECT($B35&amp;"年度出願!$T:$T"),"&lt;&gt;"&amp;日付設定!$F$8&amp;"*",INDIRECT($B35&amp;"年度出願!$AG:$AG"),日付設定!$E$3)</f>
        <v>0</v>
      </c>
      <c r="F35" s="167">
        <f ca="1">COUNTIFS(INDIRECT($B35&amp;"年度出願!$M:$M"),"&gt;="&amp;DATE($B35-IF(F$29&lt;=4, 0,1),F$29,1),INDIRECT($B35&amp;"年度出願!$M:$M"),"&lt;="&amp;DATE($B35-IF(F$29&lt;=4, 0,1),F$29+1,0),
INDIRECT($B35&amp;"年度出願!$M:$M"),"&lt;="&amp;日付設定!$B$1,INDIRECT($B35&amp;"年度出願!$T:$T"),"&lt;&gt;"&amp;日付設定!$F$8&amp;"*",INDIRECT($B35&amp;"年度出願!$E:$E"),日付設定!$E$3)</f>
        <v>0</v>
      </c>
      <c r="G35" s="158">
        <f ca="1">COUNTIFS(INDIRECT($B35&amp;"年度出願!$Y:$Y"),"&gt;="&amp;DATE($B35-IF(F$29&lt;=4, 0,1),F$29,1),INDIRECT($B35&amp;"年度出願!$Y:$Y"),"&lt;="&amp;DATE($B35-IF(F$29&lt;=4, 0,1),F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+COUNTIFS(INDIRECT($B35&amp;"年度出願!$M:$M"),"&gt;="&amp;DATE($B35-IF(F$29&lt;=4, 0,1),F$29,1),INDIRECT($B35&amp;"年度出願!$M:$M"),"&lt;="&amp;DATE($B35-IF(F$29&lt;=4, 0,1),F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+COUNTIFS(INDIRECT($B35&amp;"年度出願!$M:$M"),"&gt;="&amp;DATE($B35-IF(F$29&lt;=4, 0,1),F$29,1),INDIRECT($B35&amp;"年度出願!$M:$M"),"&lt;="&amp;DATE($B35-IF(F$29&lt;=4, 0,1),F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+COUNTIFS(INDIRECT($B35&amp;"年度出願!$AA:$AA"),"&gt;="&amp;DATE($B35-IF(F$29&lt;=4, 0,1),F$29,1),INDIRECT($B35&amp;"年度出願!$AA:$AA"),"&lt;="&amp;DATE($B35-IF(F$29&lt;=4, 0,1),F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+COUNTIFS(INDIRECT($B35&amp;"年度出願!$M:$M"),"&gt;="&amp;DATE($B35-IF(F$29&lt;=4, 0,1),F$29,1),INDIRECT($B35&amp;"年度出願!$M:$M"),"&lt;="&amp;DATE($B35-IF(F$29&lt;=4, 0,1),F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0</v>
      </c>
      <c r="H35" s="162">
        <f ca="1">COUNTIFS(INDIRECT($B35&amp;"年度出願!$AA:$AA"),"&gt;="&amp;DATE($B35-IF(F$29&lt;=4, 0,1),F$29,1),INDIRECT($B35&amp;"年度出願!$AA:$AA"),"&lt;="&amp;DATE($B35-IF(F$29&lt;=4, 0,1),F$29+1,0),
INDIRECT($B35&amp;"年度出願!$AA:$AA"),"&lt;="&amp;日付設定!$B$1,INDIRECT($B35&amp;"年度出願!$T:$T"),"&lt;&gt;"&amp;日付設定!$F$8&amp;"*",INDIRECT($B35&amp;"年度出願!$AG:$AG"),日付設定!$E$3)</f>
        <v>0</v>
      </c>
      <c r="I35" s="167">
        <f ca="1">COUNTIFS(INDIRECT($B35&amp;"年度出願!$M:$M"),"&gt;="&amp;DATE($B35-IF(I$29&lt;=4, 0,1),I$29,1),INDIRECT($B35&amp;"年度出願!$M:$M"),"&lt;="&amp;DATE($B35-IF(I$29&lt;=4, 0,1),I$29+1,0),
INDIRECT($B35&amp;"年度出願!$M:$M"),"&lt;="&amp;日付設定!$B$1,INDIRECT($B35&amp;"年度出願!$T:$T"),"&lt;&gt;"&amp;日付設定!$F$8&amp;"*",INDIRECT($B35&amp;"年度出願!$E:$E"),日付設定!$E$3)</f>
        <v>0</v>
      </c>
      <c r="J35" s="158">
        <f ca="1">COUNTIFS(INDIRECT($B35&amp;"年度出願!$Y:$Y"),"&gt;="&amp;DATE($B35-IF(I$29&lt;=4, 0,1),I$29,1),INDIRECT($B35&amp;"年度出願!$Y:$Y"),"&lt;="&amp;DATE($B35-IF(I$29&lt;=4, 0,1),I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+COUNTIFS(INDIRECT($B35&amp;"年度出願!$M:$M"),"&gt;="&amp;DATE($B35-IF(I$29&lt;=4, 0,1),I$29,1),INDIRECT($B35&amp;"年度出願!$M:$M"),"&lt;="&amp;DATE($B35-IF(I$29&lt;=4, 0,1),I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+COUNTIFS(INDIRECT($B35&amp;"年度出願!$M:$M"),"&gt;="&amp;DATE($B35-IF(I$29&lt;=4, 0,1),I$29,1),INDIRECT($B35&amp;"年度出願!$M:$M"),"&lt;="&amp;DATE($B35-IF(I$29&lt;=4, 0,1),I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+COUNTIFS(INDIRECT($B35&amp;"年度出願!$AA:$AA"),"&gt;="&amp;DATE($B35-IF(I$29&lt;=4, 0,1),I$29,1),INDIRECT($B35&amp;"年度出願!$AA:$AA"),"&lt;="&amp;DATE($B35-IF(I$29&lt;=4, 0,1),I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+COUNTIFS(INDIRECT($B35&amp;"年度出願!$M:$M"),"&gt;="&amp;DATE($B35-IF(I$29&lt;=4, 0,1),I$29,1),INDIRECT($B35&amp;"年度出願!$M:$M"),"&lt;="&amp;DATE($B35-IF(I$29&lt;=4, 0,1),I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0</v>
      </c>
      <c r="K35" s="162">
        <f ca="1">COUNTIFS(INDIRECT($B35&amp;"年度出願!$AA:$AA"),"&gt;="&amp;DATE($B35-IF(I$29&lt;=4, 0,1),I$29,1),INDIRECT($B35&amp;"年度出願!$AA:$AA"),"&lt;="&amp;DATE($B35-IF(I$29&lt;=4, 0,1),I$29+1,0),
INDIRECT($B35&amp;"年度出願!$AA:$AA"),"&lt;="&amp;日付設定!$B$1,INDIRECT($B35&amp;"年度出願!$T:$T"),"&lt;&gt;"&amp;日付設定!$F$8&amp;"*",INDIRECT($B35&amp;"年度出願!$AG:$AG"),日付設定!$E$3)</f>
        <v>0</v>
      </c>
      <c r="L35" s="167">
        <f ca="1">COUNTIFS(INDIRECT($B35&amp;"年度出願!$M:$M"),"&gt;="&amp;DATE($B35-IF(L$29&lt;=4, 0,1),L$29,1),INDIRECT($B35&amp;"年度出願!$M:$M"),"&lt;="&amp;DATE($B35-IF(L$29&lt;=4, 0,1),L$29+1,0),
INDIRECT($B35&amp;"年度出願!$M:$M"),"&lt;="&amp;日付設定!$B$1,INDIRECT($B35&amp;"年度出願!$T:$T"),"&lt;&gt;"&amp;日付設定!$F$8&amp;"*",INDIRECT($B35&amp;"年度出願!$E:$E"),日付設定!$E$3)</f>
        <v>76</v>
      </c>
      <c r="M35" s="158">
        <f ca="1">COUNTIFS(INDIRECT($B35&amp;"年度出願!$Y:$Y"),"&gt;="&amp;DATE($B35-IF(L$29&lt;=4, 0,1),L$29,1),INDIRECT($B35&amp;"年度出願!$Y:$Y"),"&lt;="&amp;DATE($B35-IF(L$29&lt;=4, 0,1),L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+COUNTIFS(INDIRECT($B35&amp;"年度出願!$M:$M"),"&gt;="&amp;DATE($B35-IF(L$29&lt;=4, 0,1),L$29,1),INDIRECT($B35&amp;"年度出願!$M:$M"),"&lt;="&amp;DATE($B35-IF(L$29&lt;=4, 0,1),L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+COUNTIFS(INDIRECT($B35&amp;"年度出願!$M:$M"),"&gt;="&amp;DATE($B35-IF(L$29&lt;=4, 0,1),L$29,1),INDIRECT($B35&amp;"年度出願!$M:$M"),"&lt;="&amp;DATE($B35-IF(L$29&lt;=4, 0,1),L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+COUNTIFS(INDIRECT($B35&amp;"年度出願!$AA:$AA"),"&gt;="&amp;DATE($B35-IF(L$29&lt;=4, 0,1),L$29,1),INDIRECT($B35&amp;"年度出願!$AA:$AA"),"&lt;="&amp;DATE($B35-IF(L$29&lt;=4, 0,1),L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+COUNTIFS(INDIRECT($B35&amp;"年度出願!$M:$M"),"&gt;="&amp;DATE($B35-IF(L$29&lt;=4, 0,1),L$29,1),INDIRECT($B35&amp;"年度出願!$M:$M"),"&lt;="&amp;DATE($B35-IF(L$29&lt;=4, 0,1),L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0</v>
      </c>
      <c r="N35" s="162">
        <f ca="1">COUNTIFS(INDIRECT($B35&amp;"年度出願!$AA:$AA"),"&gt;="&amp;DATE($B35-IF(L$29&lt;=4, 0,1),L$29,1),INDIRECT($B35&amp;"年度出願!$AA:$AA"),"&lt;="&amp;DATE($B35-IF(L$29&lt;=4, 0,1),L$29+1,0),
INDIRECT($B35&amp;"年度出願!$AA:$AA"),"&lt;="&amp;日付設定!$B$1,INDIRECT($B35&amp;"年度出願!$T:$T"),"&lt;&gt;"&amp;日付設定!$F$8&amp;"*",INDIRECT($B35&amp;"年度出願!$AG:$AG"),日付設定!$E$3)</f>
        <v>7</v>
      </c>
      <c r="O35" s="167">
        <f ca="1">COUNTIFS(INDIRECT($B35&amp;"年度出願!$M:$M"),"&gt;="&amp;DATE($B35-IF(O$29&lt;=4, 0,1),O$29,1),INDIRECT($B35&amp;"年度出願!$M:$M"),"&lt;="&amp;DATE($B35-IF(O$29&lt;=4, 0,1),O$29+1,0),
INDIRECT($B35&amp;"年度出願!$M:$M"),"&lt;="&amp;日付設定!$B$1,INDIRECT($B35&amp;"年度出願!$T:$T"),"&lt;&gt;"&amp;日付設定!$F$8&amp;"*",INDIRECT($B35&amp;"年度出願!$E:$E"),日付設定!$E$3)</f>
        <v>41</v>
      </c>
      <c r="P35" s="158">
        <f ca="1">COUNTIFS(INDIRECT($B35&amp;"年度出願!$Y:$Y"),"&gt;="&amp;DATE($B35-IF(O$29&lt;=4, 0,1),O$29,1),INDIRECT($B35&amp;"年度出願!$Y:$Y"),"&lt;="&amp;DATE($B35-IF(O$29&lt;=4, 0,1),O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+COUNTIFS(INDIRECT($B35&amp;"年度出願!$M:$M"),"&gt;="&amp;DATE($B35-IF(O$29&lt;=4, 0,1),O$29,1),INDIRECT($B35&amp;"年度出願!$M:$M"),"&lt;="&amp;DATE($B35-IF(O$29&lt;=4, 0,1),O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+COUNTIFS(INDIRECT($B35&amp;"年度出願!$M:$M"),"&gt;="&amp;DATE($B35-IF(O$29&lt;=4, 0,1),O$29,1),INDIRECT($B35&amp;"年度出願!$M:$M"),"&lt;="&amp;DATE($B35-IF(O$29&lt;=4, 0,1),O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+COUNTIFS(INDIRECT($B35&amp;"年度出願!$AA:$AA"),"&gt;="&amp;DATE($B35-IF(O$29&lt;=4, 0,1),O$29,1),INDIRECT($B35&amp;"年度出願!$AA:$AA"),"&lt;="&amp;DATE($B35-IF(O$29&lt;=4, 0,1),O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+COUNTIFS(INDIRECT($B35&amp;"年度出願!$M:$M"),"&gt;="&amp;DATE($B35-IF(O$29&lt;=4, 0,1),O$29,1),INDIRECT($B35&amp;"年度出願!$M:$M"),"&lt;="&amp;DATE($B35-IF(O$29&lt;=4, 0,1),O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1</v>
      </c>
      <c r="Q35" s="162">
        <f ca="1">COUNTIFS(INDIRECT($B35&amp;"年度出願!$AA:$AA"),"&gt;="&amp;DATE($B35-IF(O$29&lt;=4, 0,1),O$29,1),INDIRECT($B35&amp;"年度出願!$AA:$AA"),"&lt;="&amp;DATE($B35-IF(O$29&lt;=4, 0,1),O$29+1,0),
INDIRECT($B35&amp;"年度出願!$AA:$AA"),"&lt;="&amp;日付設定!$B$1,INDIRECT($B35&amp;"年度出願!$T:$T"),"&lt;&gt;"&amp;日付設定!$F$8&amp;"*",INDIRECT($B35&amp;"年度出願!$AG:$AG"),日付設定!$E$3)</f>
        <v>37</v>
      </c>
      <c r="R35" s="167">
        <f ca="1">COUNTIFS(INDIRECT($B35&amp;"年度出願!$M:$M"),"&gt;="&amp;DATE($B35-IF(R$29&lt;=4, 0,1),R$29,1),INDIRECT($B35&amp;"年度出願!$M:$M"),"&lt;="&amp;DATE($B35-IF(R$29&lt;=4, 0,1),R$29+1,0),
INDIRECT($B35&amp;"年度出願!$M:$M"),"&lt;="&amp;日付設定!$B$1,INDIRECT($B35&amp;"年度出願!$T:$T"),"&lt;&gt;"&amp;日付設定!$F$8&amp;"*",INDIRECT($B35&amp;"年度出願!$E:$E"),日付設定!$E$3)</f>
        <v>1</v>
      </c>
      <c r="S35" s="158">
        <f ca="1">COUNTIFS(INDIRECT($B35&amp;"年度出願!$Y:$Y"),"&gt;="&amp;DATE($B35-IF(R$29&lt;=4, 0,1),R$29,1),INDIRECT($B35&amp;"年度出願!$Y:$Y"),"&lt;="&amp;DATE($B35-IF(R$29&lt;=4, 0,1),R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+COUNTIFS(INDIRECT($B35&amp;"年度出願!$M:$M"),"&gt;="&amp;DATE($B35-IF(R$29&lt;=4, 0,1),R$29,1),INDIRECT($B35&amp;"年度出願!$M:$M"),"&lt;="&amp;DATE($B35-IF(R$29&lt;=4, 0,1),R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+COUNTIFS(INDIRECT($B35&amp;"年度出願!$M:$M"),"&gt;="&amp;DATE($B35-IF(R$29&lt;=4, 0,1),R$29,1),INDIRECT($B35&amp;"年度出願!$M:$M"),"&lt;="&amp;DATE($B35-IF(R$29&lt;=4, 0,1),R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+COUNTIFS(INDIRECT($B35&amp;"年度出願!$AA:$AA"),"&gt;="&amp;DATE($B35-IF(R$29&lt;=4, 0,1),R$29,1),INDIRECT($B35&amp;"年度出願!$AA:$AA"),"&lt;="&amp;DATE($B35-IF(R$29&lt;=4, 0,1),R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+COUNTIFS(INDIRECT($B35&amp;"年度出願!$M:$M"),"&gt;="&amp;DATE($B35-IF(R$29&lt;=4, 0,1),R$29,1),INDIRECT($B35&amp;"年度出願!$M:$M"),"&lt;="&amp;DATE($B35-IF(R$29&lt;=4, 0,1),R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8</v>
      </c>
      <c r="T35" s="162">
        <f ca="1">COUNTIFS(INDIRECT($B35&amp;"年度出願!$AA:$AA"),"&gt;="&amp;DATE($B35-IF(R$29&lt;=4, 0,1),R$29,1),INDIRECT($B35&amp;"年度出願!$AA:$AA"),"&lt;="&amp;DATE($B35-IF(R$29&lt;=4, 0,1),R$29+1,0),
INDIRECT($B35&amp;"年度出願!$AA:$AA"),"&lt;="&amp;日付設定!$B$1,INDIRECT($B35&amp;"年度出願!$T:$T"),"&lt;&gt;"&amp;日付設定!$F$8&amp;"*",INDIRECT($B35&amp;"年度出願!$AG:$AG"),日付設定!$E$3)</f>
        <v>14</v>
      </c>
      <c r="U35" s="167">
        <f ca="1">COUNTIFS(INDIRECT($B35&amp;"年度出願!$M:$M"),"&gt;="&amp;DATE($B35-IF(U$29&lt;=4, 0,1),U$29,1),INDIRECT($B35&amp;"年度出願!$M:$M"),"&lt;="&amp;DATE($B35-IF(U$29&lt;=4, 0,1),U$29+1,0),
INDIRECT($B35&amp;"年度出願!$M:$M"),"&lt;="&amp;日付設定!$B$1,INDIRECT($B35&amp;"年度出願!$T:$T"),"&lt;&gt;"&amp;日付設定!$F$8&amp;"*",INDIRECT($B35&amp;"年度出願!$E:$E"),日付設定!$E$3)</f>
        <v>8</v>
      </c>
      <c r="V35" s="158">
        <f ca="1">COUNTIFS(INDIRECT($B35&amp;"年度出願!$Y:$Y"),"&gt;="&amp;DATE($B35-IF(U$29&lt;=4, 0,1),U$29,1),INDIRECT($B35&amp;"年度出願!$Y:$Y"),"&lt;="&amp;DATE($B35-IF(U$29&lt;=4, 0,1),U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+COUNTIFS(INDIRECT($B35&amp;"年度出願!$M:$M"),"&gt;="&amp;DATE($B35-IF(U$29&lt;=4, 0,1),U$29,1),INDIRECT($B35&amp;"年度出願!$M:$M"),"&lt;="&amp;DATE($B35-IF(U$29&lt;=4, 0,1),U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+COUNTIFS(INDIRECT($B35&amp;"年度出願!$M:$M"),"&gt;="&amp;DATE($B35-IF(U$29&lt;=4, 0,1),U$29,1),INDIRECT($B35&amp;"年度出願!$M:$M"),"&lt;="&amp;DATE($B35-IF(U$29&lt;=4, 0,1),U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+COUNTIFS(INDIRECT($B35&amp;"年度出願!$AA:$AA"),"&gt;="&amp;DATE($B35-IF(U$29&lt;=4, 0,1),U$29,1),INDIRECT($B35&amp;"年度出願!$AA:$AA"),"&lt;="&amp;DATE($B35-IF(U$29&lt;=4, 0,1),U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+COUNTIFS(INDIRECT($B35&amp;"年度出願!$M:$M"),"&gt;="&amp;DATE($B35-IF(U$29&lt;=4, 0,1),U$29,1),INDIRECT($B35&amp;"年度出願!$M:$M"),"&lt;="&amp;DATE($B35-IF(U$29&lt;=4, 0,1),U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10</v>
      </c>
      <c r="W35" s="162">
        <f ca="1">COUNTIFS(INDIRECT($B35&amp;"年度出願!$AA:$AA"),"&gt;="&amp;DATE($B35-IF(U$29&lt;=4, 0,1),U$29,1),INDIRECT($B35&amp;"年度出願!$AA:$AA"),"&lt;="&amp;DATE($B35-IF(U$29&lt;=4, 0,1),U$29+1,0),
INDIRECT($B35&amp;"年度出願!$AA:$AA"),"&lt;="&amp;日付設定!$B$1,INDIRECT($B35&amp;"年度出願!$T:$T"),"&lt;&gt;"&amp;日付設定!$F$8&amp;"*",INDIRECT($B35&amp;"年度出願!$AG:$AG"),日付設定!$E$3)</f>
        <v>13</v>
      </c>
      <c r="X35" s="167">
        <f ca="1">COUNTIFS(INDIRECT($B35&amp;"年度出願!$M:$M"),"&gt;="&amp;DATE($B35-IF(X$29&lt;=4, 0,1),X$29,1),INDIRECT($B35&amp;"年度出願!$M:$M"),"&lt;="&amp;DATE($B35-IF(X$29&lt;=4, 0,1),X$29+1,0),
INDIRECT($B35&amp;"年度出願!$M:$M"),"&lt;="&amp;日付設定!$B$1,INDIRECT($B35&amp;"年度出願!$T:$T"),"&lt;&gt;"&amp;日付設定!$F$8&amp;"*",INDIRECT($B35&amp;"年度出願!$E:$E"),日付設定!$E$3)</f>
        <v>8</v>
      </c>
      <c r="Y35" s="158">
        <f ca="1">COUNTIFS(INDIRECT($B35&amp;"年度出願!$Y:$Y"),"&gt;="&amp;DATE($B35-IF(X$29&lt;=4, 0,1),X$29,1),INDIRECT($B35&amp;"年度出願!$Y:$Y"),"&lt;="&amp;DATE($B35-IF(X$29&lt;=4, 0,1),X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+COUNTIFS(INDIRECT($B35&amp;"年度出願!$M:$M"),"&gt;="&amp;DATE($B35-IF(X$29&lt;=4, 0,1),X$29,1),INDIRECT($B35&amp;"年度出願!$M:$M"),"&lt;="&amp;DATE($B35-IF(X$29&lt;=4, 0,1),X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+COUNTIFS(INDIRECT($B35&amp;"年度出願!$M:$M"),"&gt;="&amp;DATE($B35-IF(X$29&lt;=4, 0,1),X$29,1),INDIRECT($B35&amp;"年度出願!$M:$M"),"&lt;="&amp;DATE($B35-IF(X$29&lt;=4, 0,1),X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+COUNTIFS(INDIRECT($B35&amp;"年度出願!$AA:$AA"),"&gt;="&amp;DATE($B35-IF(X$29&lt;=4, 0,1),X$29,1),INDIRECT($B35&amp;"年度出願!$AA:$AA"),"&lt;="&amp;DATE($B35-IF(X$29&lt;=4, 0,1),X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+COUNTIFS(INDIRECT($B35&amp;"年度出願!$M:$M"),"&gt;="&amp;DATE($B35-IF(X$29&lt;=4, 0,1),X$29,1),INDIRECT($B35&amp;"年度出願!$M:$M"),"&lt;="&amp;DATE($B35-IF(X$29&lt;=4, 0,1),X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4</v>
      </c>
      <c r="Z35" s="162">
        <f ca="1">COUNTIFS(INDIRECT($B35&amp;"年度出願!$AA:$AA"),"&gt;="&amp;DATE($B35-IF(X$29&lt;=4, 0,1),X$29,1),INDIRECT($B35&amp;"年度出願!$AA:$AA"),"&lt;="&amp;DATE($B35-IF(X$29&lt;=4, 0,1),X$29+1,0),
INDIRECT($B35&amp;"年度出願!$AA:$AA"),"&lt;="&amp;日付設定!$B$1,INDIRECT($B35&amp;"年度出願!$T:$T"),"&lt;&gt;"&amp;日付設定!$F$8&amp;"*",INDIRECT($B35&amp;"年度出願!$AG:$AG"),日付設定!$E$3)</f>
        <v>15</v>
      </c>
      <c r="AA35" s="167">
        <f ca="1">COUNTIFS(INDIRECT($B35&amp;"年度出願!$M:$M"),"&gt;="&amp;DATE($B35-IF(AA$29&lt;=4, 0,1),AA$29,1),INDIRECT($B35&amp;"年度出願!$M:$M"),"&lt;="&amp;DATE($B35-IF(AA$29&lt;=4, 0,1),AA$29+1,0),
INDIRECT($B35&amp;"年度出願!$M:$M"),"&lt;="&amp;日付設定!$B$1,INDIRECT($B35&amp;"年度出願!$T:$T"),"&lt;&gt;"&amp;日付設定!$F$8&amp;"*",INDIRECT($B35&amp;"年度出願!$E:$E"),日付設定!$E$3)</f>
        <v>1</v>
      </c>
      <c r="AB35" s="158">
        <f ca="1">COUNTIFS(INDIRECT($B35&amp;"年度出願!$Y:$Y"),"&gt;="&amp;DATE($B35-IF(AA$29&lt;=4, 0,1),AA$29,1),INDIRECT($B35&amp;"年度出願!$Y:$Y"),"&lt;="&amp;DATE($B35-IF(AA$29&lt;=4, 0,1),AA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+COUNTIFS(INDIRECT($B35&amp;"年度出願!$M:$M"),"&gt;="&amp;DATE($B35-IF(AA$29&lt;=4, 0,1),AA$29,1),INDIRECT($B35&amp;"年度出願!$M:$M"),"&lt;="&amp;DATE($B35-IF(AA$29&lt;=4, 0,1),AA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+COUNTIFS(INDIRECT($B35&amp;"年度出願!$M:$M"),"&gt;="&amp;DATE($B35-IF(AA$29&lt;=4, 0,1),AA$29,1),INDIRECT($B35&amp;"年度出願!$M:$M"),"&lt;="&amp;DATE($B35-IF(AA$29&lt;=4, 0,1),AA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+COUNTIFS(INDIRECT($B35&amp;"年度出願!$AA:$AA"),"&gt;="&amp;DATE($B35-IF(AA$29&lt;=4, 0,1),AA$29,1),INDIRECT($B35&amp;"年度出願!$AA:$AA"),"&lt;="&amp;DATE($B35-IF(AA$29&lt;=4, 0,1),AA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+COUNTIFS(INDIRECT($B35&amp;"年度出願!$M:$M"),"&gt;="&amp;DATE($B35-IF(AA$29&lt;=4, 0,1),AA$29,1),INDIRECT($B35&amp;"年度出願!$M:$M"),"&lt;="&amp;DATE($B35-IF(AA$29&lt;=4, 0,1),AA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0</v>
      </c>
      <c r="AC35" s="162">
        <f ca="1">COUNTIFS(INDIRECT($B35&amp;"年度出願!$AA:$AA"),"&gt;="&amp;DATE($B35-IF(AA$29&lt;=4, 0,1),AA$29,1),INDIRECT($B35&amp;"年度出願!$AA:$AA"),"&lt;="&amp;DATE($B35-IF(AA$29&lt;=4, 0,1),AA$29+1,0),
INDIRECT($B35&amp;"年度出願!$AA:$AA"),"&lt;="&amp;日付設定!$B$1,INDIRECT($B35&amp;"年度出願!$T:$T"),"&lt;&gt;"&amp;日付設定!$F$8&amp;"*",INDIRECT($B35&amp;"年度出願!$AG:$AG"),日付設定!$E$3)</f>
        <v>7</v>
      </c>
      <c r="AD35" s="167">
        <f ca="1">COUNTIFS(INDIRECT($B35&amp;"年度出願!$M:$M"),"&gt;="&amp;DATE($B35-IF(AD$29&lt;=4, 0,1),AD$29,1),INDIRECT($B35&amp;"年度出願!$M:$M"),"&lt;="&amp;DATE($B35-IF(AD$29&lt;=4, 0,1),AD$29+1,0),
INDIRECT($B35&amp;"年度出願!$M:$M"),"&lt;="&amp;日付設定!$B$1,INDIRECT($B35&amp;"年度出願!$T:$T"),"&lt;&gt;"&amp;日付設定!$F$8&amp;"*",INDIRECT($B35&amp;"年度出願!$E:$E"),日付設定!$E$3)</f>
        <v>0</v>
      </c>
      <c r="AE35" s="158">
        <f ca="1">COUNTIFS(INDIRECT($B35&amp;"年度出願!$Y:$Y"),"&gt;="&amp;DATE($B35-IF(AD$29&lt;=4, 0,1),AD$29,1),INDIRECT($B35&amp;"年度出願!$Y:$Y"),"&lt;="&amp;DATE($B35-IF(AD$29&lt;=4, 0,1),AD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+COUNTIFS(INDIRECT($B35&amp;"年度出願!$M:$M"),"&gt;="&amp;DATE($B35-IF(AD$29&lt;=4, 0,1),AD$29,1),INDIRECT($B35&amp;"年度出願!$M:$M"),"&lt;="&amp;DATE($B35-IF(AD$29&lt;=4, 0,1),AD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+COUNTIFS(INDIRECT($B35&amp;"年度出願!$M:$M"),"&gt;="&amp;DATE($B35-IF(AD$29&lt;=4, 0,1),AD$29,1),INDIRECT($B35&amp;"年度出願!$M:$M"),"&lt;="&amp;DATE($B35-IF(AD$29&lt;=4, 0,1),AD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+COUNTIFS(INDIRECT($B35&amp;"年度出願!$AA:$AA"),"&gt;="&amp;DATE($B35-IF(AD$29&lt;=4, 0,1),AD$29,1),INDIRECT($B35&amp;"年度出願!$AA:$AA"),"&lt;="&amp;DATE($B35-IF(AD$29&lt;=4, 0,1),AD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+COUNTIFS(INDIRECT($B35&amp;"年度出願!$M:$M"),"&gt;="&amp;DATE($B35-IF(AD$29&lt;=4, 0,1),AD$29,1),INDIRECT($B35&amp;"年度出願!$M:$M"),"&lt;="&amp;DATE($B35-IF(AD$29&lt;=4, 0,1),AD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0</v>
      </c>
      <c r="AF35" s="162">
        <f ca="1">COUNTIFS(INDIRECT($B35&amp;"年度出願!$AA:$AA"),"&gt;="&amp;DATE($B35-IF(AD$29&lt;=4, 0,1),AD$29,1),INDIRECT($B35&amp;"年度出願!$AA:$AA"),"&lt;="&amp;DATE($B35-IF(AD$29&lt;=4, 0,1),AD$29+1,0),
INDIRECT($B35&amp;"年度出願!$AA:$AA"),"&lt;="&amp;日付設定!$B$1,INDIRECT($B35&amp;"年度出願!$T:$T"),"&lt;&gt;"&amp;日付設定!$F$8&amp;"*",INDIRECT($B35&amp;"年度出願!$AG:$AG"),日付設定!$E$3)</f>
        <v>0</v>
      </c>
      <c r="AG35" s="167">
        <f ca="1">COUNTIFS(INDIRECT($B35&amp;"年度出願!$M:$M"),"&gt;="&amp;DATE($B35-IF(AG$29&lt;=4, 0,1),AG$29,1),INDIRECT($B35&amp;"年度出願!$M:$M"),"&lt;="&amp;DATE($B35-IF(AG$29&lt;=4, 0,1),AG$29+1,0),
INDIRECT($B35&amp;"年度出願!$M:$M"),"&lt;="&amp;日付設定!$B$1,INDIRECT($B35&amp;"年度出願!$T:$T"),"&lt;&gt;"&amp;日付設定!$F$8&amp;"*",INDIRECT($B35&amp;"年度出願!$E:$E"),日付設定!$E$3)</f>
        <v>0</v>
      </c>
      <c r="AH35" s="158">
        <f ca="1">COUNTIFS(INDIRECT($B35&amp;"年度出願!$Y:$Y"),"&gt;="&amp;DATE($B35-IF(AG$29&lt;=4, 0,1),AG$29,1),INDIRECT($B35&amp;"年度出願!$Y:$Y"),"&lt;="&amp;DATE($B35-IF(AG$29&lt;=4, 0,1),AG$29+1,0),INDIRECT($B35&amp;"年度出願!$Y:$Y"),"&lt;="&amp;日付設定!$B$1,INDIRECT($B35&amp;"年度出願!$T:$T"),"&lt;&gt;"&amp;日付設定!$F$8&amp;"*",INDIRECT($B35&amp;"年度出願!$E:$E"),日付設定!$E$3,INDIRECT($B35&amp;"年度出願!$Y:$Y"),"&lt;&gt;"&amp;"")
+COUNTIFS(INDIRECT($B35&amp;"年度出願!$M:$M"),"&gt;="&amp;DATE($B35-IF(AG$29&lt;=4, 0,1),AG$29,1),INDIRECT($B35&amp;"年度出願!$M:$M"),"&lt;="&amp;DATE($B35-IF(AG$29&lt;=4, 0,1),AG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N")
+COUNTIFS(INDIRECT($B35&amp;"年度出願!$M:$M"),"&gt;="&amp;DATE($B35-IF(AG$29&lt;=4, 0,1),AG$29,1),INDIRECT($B35&amp;"年度出願!$M:$M"),"&lt;="&amp;DATE($B35-IF(AG$29&lt;=4, 0,1),AG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S",INDIRECT($B35&amp;"年度出願!$AS:$AS"),"N")
+COUNTIFS(INDIRECT($B35&amp;"年度出願!$AA:$AA"),"&gt;="&amp;DATE($B35-IF(AG$29&lt;=4, 0,1),AG$29,1),INDIRECT($B35&amp;"年度出願!$AA:$AA"),"&lt;="&amp;DATE($B35-IF(AG$29&lt;=4, 0,1),AG$29+1,0),INDIRECT($B35&amp;"年度出願!$AA:$AA"),"&lt;="&amp;日付設定!$B$1,INDIRECT($B35&amp;"年度出願!$T:$T"),"&lt;&gt;"&amp;日付設定!$F$8&amp;"*",INDIRECT($B35&amp;"年度出願!$E:$E"),日付設定!$E$3,INDIRECT($B35&amp;"年度出願!$AG:$AG"),"&lt;&gt;"&amp;日付設定!$E$3)
+COUNTIFS(INDIRECT($B35&amp;"年度出願!$M:$M"),"&gt;="&amp;DATE($B35-IF(AG$29&lt;=4, 0,1),AG$29,1),INDIRECT($B35&amp;"年度出願!$M:$M"),"&lt;="&amp;DATE($B35-IF(AG$29&lt;=4, 0,1),AG$29+1,0),INDIRECT($B35&amp;"年度出願!$M:$M"),"&lt;="&amp;日付設定!$B$1,INDIRECT($B35&amp;"年度出願!$T:$T"),"&lt;&gt;"&amp;日付設定!$F$8&amp;"*",INDIRECT($B35&amp;"年度出願!$E:$E"),日付設定!$E$3,INDIRECT($B35&amp;"年度出願!$Y:$Y"),"",INDIRECT($B35&amp;"年度出願!$AR:$AR"),"",INDIRECT($B35&amp;"年度出願!$A:$A"),日付設定!$M$2)</f>
        <v>0</v>
      </c>
      <c r="AI35" s="162">
        <f ca="1">COUNTIFS(INDIRECT($B35&amp;"年度出願!$AA:$AA"),"&gt;="&amp;DATE($B35-IF(AG$29&lt;=4, 0,1),AG$29,1),INDIRECT($B35&amp;"年度出願!$AA:$AA"),"&lt;="&amp;DATE($B35-IF(AG$29&lt;=4, 0,1),AG$29+1,0),
INDIRECT($B35&amp;"年度出願!$AA:$AA"),"&lt;="&amp;日付設定!$B$1,INDIRECT($B35&amp;"年度出願!$T:$T"),"&lt;&gt;"&amp;日付設定!$F$8&amp;"*",INDIRECT($B35&amp;"年度出願!$AG:$AG"),日付設定!$E$3)</f>
        <v>0</v>
      </c>
      <c r="AJ35" s="167">
        <f t="shared" ca="1" si="13"/>
        <v>135</v>
      </c>
      <c r="AK35" s="158">
        <f t="shared" ca="1" si="13"/>
        <v>23</v>
      </c>
      <c r="AL35" s="162">
        <f t="shared" ca="1" si="13"/>
        <v>93</v>
      </c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</row>
    <row r="36" spans="1:112" ht="51.75" customHeight="1" thickBot="1" x14ac:dyDescent="0.5">
      <c r="A36" s="183"/>
      <c r="B36" s="140" t="s">
        <v>1335</v>
      </c>
      <c r="C36" s="168">
        <f ca="1">C34-C35</f>
        <v>0</v>
      </c>
      <c r="D36" s="163">
        <f t="shared" ref="D36:J36" ca="1" si="15">D34-D35</f>
        <v>0</v>
      </c>
      <c r="E36" s="164">
        <f ca="1">E34-E35</f>
        <v>0</v>
      </c>
      <c r="F36" s="168">
        <f ca="1">F34-F35</f>
        <v>0</v>
      </c>
      <c r="G36" s="163">
        <f t="shared" ca="1" si="15"/>
        <v>0</v>
      </c>
      <c r="H36" s="164">
        <f ca="1">H34-H35</f>
        <v>0</v>
      </c>
      <c r="I36" s="168">
        <f ca="1">I34-I35</f>
        <v>0</v>
      </c>
      <c r="J36" s="163">
        <f t="shared" ca="1" si="15"/>
        <v>0</v>
      </c>
      <c r="K36" s="164">
        <f ca="1">K34-K35</f>
        <v>0</v>
      </c>
      <c r="L36" s="168">
        <f ca="1">L34-L35</f>
        <v>-3</v>
      </c>
      <c r="M36" s="163">
        <f t="shared" ref="M36" ca="1" si="16">M34-M35</f>
        <v>0</v>
      </c>
      <c r="N36" s="164">
        <f ca="1">N34-N35</f>
        <v>-3</v>
      </c>
      <c r="O36" s="168">
        <f ca="1">O34-O35</f>
        <v>2</v>
      </c>
      <c r="P36" s="163">
        <f t="shared" ref="P36" ca="1" si="17">P34-P35</f>
        <v>-1</v>
      </c>
      <c r="Q36" s="164">
        <f ca="1">Q34-Q35</f>
        <v>-3</v>
      </c>
      <c r="R36" s="168">
        <f ca="1">R34-R35</f>
        <v>-1</v>
      </c>
      <c r="S36" s="163">
        <f t="shared" ref="S36" ca="1" si="18">S34-S35</f>
        <v>-8</v>
      </c>
      <c r="T36" s="164">
        <f ca="1">T34-T35</f>
        <v>-14</v>
      </c>
      <c r="U36" s="168">
        <f ca="1">U34-U35</f>
        <v>-8</v>
      </c>
      <c r="V36" s="163">
        <f t="shared" ref="V36" ca="1" si="19">V34-V35</f>
        <v>-10</v>
      </c>
      <c r="W36" s="164">
        <f ca="1">W34-W35</f>
        <v>-13</v>
      </c>
      <c r="X36" s="168">
        <f ca="1">X34-X35</f>
        <v>-8</v>
      </c>
      <c r="Y36" s="163">
        <f t="shared" ref="Y36" ca="1" si="20">Y34-Y35</f>
        <v>-4</v>
      </c>
      <c r="Z36" s="164">
        <f ca="1">Z34-Z35</f>
        <v>-15</v>
      </c>
      <c r="AA36" s="168">
        <f ca="1">AA34-AA35</f>
        <v>-1</v>
      </c>
      <c r="AB36" s="163">
        <f t="shared" ref="AB36" ca="1" si="21">AB34-AB35</f>
        <v>0</v>
      </c>
      <c r="AC36" s="164">
        <f ca="1">AC34-AC35</f>
        <v>-7</v>
      </c>
      <c r="AD36" s="168">
        <f ca="1">AD34-AD35</f>
        <v>0</v>
      </c>
      <c r="AE36" s="163">
        <f t="shared" ref="AE36" ca="1" si="22">AE34-AE35</f>
        <v>0</v>
      </c>
      <c r="AF36" s="164">
        <f ca="1">AF34-AF35</f>
        <v>0</v>
      </c>
      <c r="AG36" s="168">
        <f t="shared" ref="AG36:AH36" ca="1" si="23">AG34-AG35</f>
        <v>0</v>
      </c>
      <c r="AH36" s="163">
        <f t="shared" ca="1" si="23"/>
        <v>0</v>
      </c>
      <c r="AI36" s="164">
        <f ca="1">AI34-AI35</f>
        <v>0</v>
      </c>
      <c r="AJ36" s="168">
        <f t="shared" ca="1" si="13"/>
        <v>-19</v>
      </c>
      <c r="AK36" s="163">
        <f t="shared" ca="1" si="13"/>
        <v>-23</v>
      </c>
      <c r="AL36" s="164">
        <f t="shared" ca="1" si="13"/>
        <v>-55</v>
      </c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</row>
    <row r="37" spans="1:112" x14ac:dyDescent="0.45"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</row>
    <row r="38" spans="1:112" x14ac:dyDescent="0.45"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  <c r="DG38" s="169"/>
      <c r="DH38" s="169"/>
    </row>
    <row r="39" spans="1:112" x14ac:dyDescent="0.45"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  <c r="BN39" s="169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  <c r="DG39" s="169"/>
      <c r="DH39" s="169"/>
    </row>
  </sheetData>
  <mergeCells count="32">
    <mergeCell ref="AJ29:AL29"/>
    <mergeCell ref="A31:A33"/>
    <mergeCell ref="A34:A36"/>
    <mergeCell ref="R29:T29"/>
    <mergeCell ref="U29:W29"/>
    <mergeCell ref="X29:Z29"/>
    <mergeCell ref="AA29:AC29"/>
    <mergeCell ref="AD29:AF29"/>
    <mergeCell ref="AG29:AI29"/>
    <mergeCell ref="C29:E29"/>
    <mergeCell ref="F29:H29"/>
    <mergeCell ref="I29:K29"/>
    <mergeCell ref="L29:N29"/>
    <mergeCell ref="O29:Q29"/>
    <mergeCell ref="AA14:AC14"/>
    <mergeCell ref="AD14:AF14"/>
    <mergeCell ref="AJ14:AL14"/>
    <mergeCell ref="A16:A20"/>
    <mergeCell ref="A21:A25"/>
    <mergeCell ref="I14:K14"/>
    <mergeCell ref="L14:N14"/>
    <mergeCell ref="O14:Q14"/>
    <mergeCell ref="R14:T14"/>
    <mergeCell ref="U14:W14"/>
    <mergeCell ref="X14:Z14"/>
    <mergeCell ref="AG14:AI14"/>
    <mergeCell ref="G1:H1"/>
    <mergeCell ref="B4:D4"/>
    <mergeCell ref="E4:G4"/>
    <mergeCell ref="C14:E14"/>
    <mergeCell ref="F14:H14"/>
    <mergeCell ref="A1:E1"/>
  </mergeCells>
  <phoneticPr fontId="2"/>
  <pageMargins left="0.7" right="0.7" top="0.75" bottom="0.75" header="0.3" footer="0.3"/>
  <pageSetup paperSize="12" scale="3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M498"/>
  <sheetViews>
    <sheetView workbookViewId="0">
      <selection activeCell="C5" sqref="C5"/>
    </sheetView>
  </sheetViews>
  <sheetFormatPr defaultRowHeight="18" x14ac:dyDescent="0.45"/>
  <cols>
    <col min="2" max="2" width="23.59765625" customWidth="1"/>
    <col min="4" max="4" width="20.59765625" bestFit="1" customWidth="1"/>
    <col min="5" max="8" width="8.59765625" style="14"/>
    <col min="9" max="9" width="17.59765625" style="4" bestFit="1" customWidth="1"/>
    <col min="10" max="10" width="21.59765625" bestFit="1" customWidth="1"/>
    <col min="13" max="13" width="12.09765625" bestFit="1" customWidth="1"/>
  </cols>
  <sheetData>
    <row r="1" spans="1:13" ht="36.6" customHeight="1" thickBot="1" x14ac:dyDescent="0.5">
      <c r="A1" s="9" t="s">
        <v>1329</v>
      </c>
      <c r="B1" s="10">
        <v>46534</v>
      </c>
      <c r="C1" t="str">
        <f>TEXT(B1,"AAAA")</f>
        <v>木曜日</v>
      </c>
      <c r="E1" s="14" t="s">
        <v>1369</v>
      </c>
      <c r="F1" s="14" t="s">
        <v>9</v>
      </c>
      <c r="I1" s="3" t="s">
        <v>0</v>
      </c>
      <c r="J1" s="7" t="s">
        <v>1312</v>
      </c>
      <c r="M1" s="152" t="s">
        <v>2871</v>
      </c>
    </row>
    <row r="2" spans="1:13" x14ac:dyDescent="0.45">
      <c r="A2" t="s">
        <v>1330</v>
      </c>
      <c r="B2" s="8">
        <f>B1-364</f>
        <v>46170</v>
      </c>
      <c r="C2" t="str">
        <f>TEXT(B2,"AAAA")</f>
        <v>木曜日</v>
      </c>
      <c r="E2" s="14" t="s">
        <v>1552</v>
      </c>
      <c r="F2" s="14" t="s">
        <v>1405</v>
      </c>
      <c r="G2" s="38" t="s">
        <v>1404</v>
      </c>
      <c r="H2" s="39" t="s">
        <v>1413</v>
      </c>
      <c r="I2" s="3" t="s">
        <v>25</v>
      </c>
      <c r="J2" s="7" t="s">
        <v>137</v>
      </c>
      <c r="M2" s="153">
        <v>2405750160</v>
      </c>
    </row>
    <row r="3" spans="1:13" s="169" customFormat="1" x14ac:dyDescent="0.45">
      <c r="A3" s="169" t="s">
        <v>4846</v>
      </c>
      <c r="B3" s="8">
        <f>B2-364</f>
        <v>45806</v>
      </c>
      <c r="C3" s="169" t="str">
        <f>TEXT(B3,"AAAA")</f>
        <v>木曜日</v>
      </c>
      <c r="E3" s="169" t="s">
        <v>1402</v>
      </c>
      <c r="F3" s="169" t="s">
        <v>1431</v>
      </c>
      <c r="I3" s="3" t="s">
        <v>471</v>
      </c>
      <c r="J3" s="7" t="s">
        <v>68</v>
      </c>
      <c r="M3" s="153">
        <v>2405750160</v>
      </c>
    </row>
    <row r="4" spans="1:13" x14ac:dyDescent="0.45">
      <c r="F4" s="14" t="s">
        <v>1464</v>
      </c>
      <c r="I4" s="3" t="s">
        <v>697</v>
      </c>
      <c r="J4" s="7" t="s">
        <v>29</v>
      </c>
    </row>
    <row r="5" spans="1:13" x14ac:dyDescent="0.45">
      <c r="E5"/>
      <c r="F5" s="14" t="s">
        <v>1470</v>
      </c>
      <c r="I5"/>
      <c r="J5" s="7" t="s">
        <v>39</v>
      </c>
    </row>
    <row r="6" spans="1:13" x14ac:dyDescent="0.45">
      <c r="E6"/>
      <c r="F6" s="14" t="s">
        <v>1477</v>
      </c>
      <c r="I6"/>
      <c r="J6" s="7" t="s">
        <v>96</v>
      </c>
    </row>
    <row r="7" spans="1:13" x14ac:dyDescent="0.45">
      <c r="E7"/>
      <c r="F7" s="14" t="s">
        <v>1490</v>
      </c>
      <c r="I7"/>
      <c r="J7" s="7" t="s">
        <v>475</v>
      </c>
      <c r="K7" s="38" t="s">
        <v>474</v>
      </c>
      <c r="L7" s="39" t="s">
        <v>486</v>
      </c>
    </row>
    <row r="8" spans="1:13" x14ac:dyDescent="0.45">
      <c r="E8"/>
      <c r="F8" s="14" t="s">
        <v>1492</v>
      </c>
      <c r="I8"/>
      <c r="J8" s="7" t="s">
        <v>503</v>
      </c>
      <c r="K8" s="14"/>
      <c r="L8" s="14"/>
    </row>
    <row r="9" spans="1:13" x14ac:dyDescent="0.45">
      <c r="E9"/>
      <c r="F9" s="14" t="s">
        <v>1503</v>
      </c>
      <c r="I9"/>
      <c r="J9" s="7" t="s">
        <v>744</v>
      </c>
    </row>
    <row r="10" spans="1:13" x14ac:dyDescent="0.45">
      <c r="E10"/>
      <c r="F10" s="14" t="s">
        <v>1527</v>
      </c>
      <c r="I10"/>
    </row>
    <row r="11" spans="1:13" x14ac:dyDescent="0.45">
      <c r="E11"/>
      <c r="F11" s="14" t="s">
        <v>1396</v>
      </c>
      <c r="I11"/>
    </row>
    <row r="12" spans="1:13" x14ac:dyDescent="0.45">
      <c r="E12"/>
      <c r="F12"/>
      <c r="I12"/>
    </row>
    <row r="13" spans="1:13" x14ac:dyDescent="0.45">
      <c r="E13"/>
      <c r="F13"/>
      <c r="I13"/>
    </row>
    <row r="14" spans="1:13" x14ac:dyDescent="0.45">
      <c r="E14"/>
      <c r="F14"/>
      <c r="I14"/>
    </row>
    <row r="15" spans="1:13" x14ac:dyDescent="0.45">
      <c r="E15"/>
      <c r="F15"/>
      <c r="I15"/>
    </row>
    <row r="16" spans="1:13" x14ac:dyDescent="0.45">
      <c r="E16"/>
      <c r="F16"/>
      <c r="I16"/>
    </row>
    <row r="17" spans="5:9" x14ac:dyDescent="0.45">
      <c r="E17"/>
      <c r="F17"/>
      <c r="I17"/>
    </row>
    <row r="18" spans="5:9" x14ac:dyDescent="0.45">
      <c r="E18"/>
      <c r="F18"/>
      <c r="I18"/>
    </row>
    <row r="19" spans="5:9" x14ac:dyDescent="0.45">
      <c r="E19"/>
      <c r="F19"/>
      <c r="I19"/>
    </row>
    <row r="20" spans="5:9" x14ac:dyDescent="0.45">
      <c r="E20"/>
      <c r="F20"/>
      <c r="I20"/>
    </row>
    <row r="21" spans="5:9" x14ac:dyDescent="0.45">
      <c r="E21"/>
      <c r="F21"/>
      <c r="I21"/>
    </row>
    <row r="22" spans="5:9" x14ac:dyDescent="0.45">
      <c r="E22"/>
      <c r="F22"/>
      <c r="I22"/>
    </row>
    <row r="23" spans="5:9" x14ac:dyDescent="0.45">
      <c r="E23"/>
      <c r="F23"/>
      <c r="I23"/>
    </row>
    <row r="24" spans="5:9" x14ac:dyDescent="0.45">
      <c r="E24"/>
      <c r="F24"/>
      <c r="I24"/>
    </row>
    <row r="25" spans="5:9" x14ac:dyDescent="0.45">
      <c r="E25"/>
      <c r="F25"/>
      <c r="I25"/>
    </row>
    <row r="26" spans="5:9" x14ac:dyDescent="0.45">
      <c r="E26"/>
      <c r="F26"/>
      <c r="I26"/>
    </row>
    <row r="27" spans="5:9" x14ac:dyDescent="0.45">
      <c r="E27"/>
      <c r="F27"/>
      <c r="I27"/>
    </row>
    <row r="28" spans="5:9" x14ac:dyDescent="0.45">
      <c r="E28"/>
      <c r="F28"/>
      <c r="I28"/>
    </row>
    <row r="29" spans="5:9" x14ac:dyDescent="0.45">
      <c r="E29"/>
      <c r="F29"/>
      <c r="I29"/>
    </row>
    <row r="30" spans="5:9" x14ac:dyDescent="0.45">
      <c r="E30"/>
      <c r="F30"/>
      <c r="I30"/>
    </row>
    <row r="31" spans="5:9" x14ac:dyDescent="0.45">
      <c r="E31"/>
      <c r="F31"/>
      <c r="I31"/>
    </row>
    <row r="32" spans="5:9" x14ac:dyDescent="0.45">
      <c r="E32"/>
      <c r="F32"/>
      <c r="I32"/>
    </row>
    <row r="33" spans="5:9" x14ac:dyDescent="0.45">
      <c r="E33"/>
      <c r="F33"/>
      <c r="I33"/>
    </row>
    <row r="34" spans="5:9" x14ac:dyDescent="0.45">
      <c r="E34"/>
      <c r="F34"/>
      <c r="I34"/>
    </row>
    <row r="35" spans="5:9" x14ac:dyDescent="0.45">
      <c r="E35"/>
      <c r="F35"/>
      <c r="I35"/>
    </row>
    <row r="36" spans="5:9" x14ac:dyDescent="0.45">
      <c r="E36"/>
      <c r="F36"/>
      <c r="I36"/>
    </row>
    <row r="37" spans="5:9" x14ac:dyDescent="0.45">
      <c r="E37"/>
      <c r="F37"/>
      <c r="I37"/>
    </row>
    <row r="38" spans="5:9" x14ac:dyDescent="0.45">
      <c r="E38"/>
      <c r="F38"/>
      <c r="I38"/>
    </row>
    <row r="39" spans="5:9" x14ac:dyDescent="0.45">
      <c r="E39"/>
      <c r="F39"/>
      <c r="I39"/>
    </row>
    <row r="40" spans="5:9" x14ac:dyDescent="0.45">
      <c r="E40"/>
      <c r="F40"/>
      <c r="I40"/>
    </row>
    <row r="41" spans="5:9" x14ac:dyDescent="0.45">
      <c r="E41"/>
      <c r="F41"/>
      <c r="I41"/>
    </row>
    <row r="42" spans="5:9" x14ac:dyDescent="0.45">
      <c r="E42"/>
      <c r="F42"/>
      <c r="I42"/>
    </row>
    <row r="43" spans="5:9" x14ac:dyDescent="0.45">
      <c r="E43"/>
      <c r="F43"/>
      <c r="I43"/>
    </row>
    <row r="44" spans="5:9" x14ac:dyDescent="0.45">
      <c r="E44"/>
      <c r="F44"/>
      <c r="I44"/>
    </row>
    <row r="45" spans="5:9" x14ac:dyDescent="0.45">
      <c r="E45"/>
      <c r="F45"/>
      <c r="I45"/>
    </row>
    <row r="46" spans="5:9" x14ac:dyDescent="0.45">
      <c r="E46"/>
      <c r="F46"/>
      <c r="I46"/>
    </row>
    <row r="47" spans="5:9" x14ac:dyDescent="0.45">
      <c r="E47"/>
      <c r="F47"/>
      <c r="I47"/>
    </row>
    <row r="48" spans="5:9" x14ac:dyDescent="0.45">
      <c r="E48"/>
      <c r="F48"/>
      <c r="I48"/>
    </row>
    <row r="49" spans="5:9" x14ac:dyDescent="0.45">
      <c r="E49"/>
      <c r="F49"/>
      <c r="I49"/>
    </row>
    <row r="50" spans="5:9" x14ac:dyDescent="0.45">
      <c r="E50"/>
      <c r="F50"/>
      <c r="I50"/>
    </row>
    <row r="51" spans="5:9" x14ac:dyDescent="0.45">
      <c r="E51"/>
      <c r="F51"/>
      <c r="I51"/>
    </row>
    <row r="52" spans="5:9" x14ac:dyDescent="0.45">
      <c r="E52"/>
      <c r="F52"/>
      <c r="I52"/>
    </row>
    <row r="53" spans="5:9" x14ac:dyDescent="0.45">
      <c r="E53"/>
      <c r="F53"/>
      <c r="I53"/>
    </row>
    <row r="54" spans="5:9" x14ac:dyDescent="0.45">
      <c r="E54"/>
      <c r="F54"/>
      <c r="I54"/>
    </row>
    <row r="55" spans="5:9" x14ac:dyDescent="0.45">
      <c r="E55"/>
      <c r="F55"/>
      <c r="I55"/>
    </row>
    <row r="56" spans="5:9" x14ac:dyDescent="0.45">
      <c r="E56"/>
      <c r="F56"/>
      <c r="I56"/>
    </row>
    <row r="57" spans="5:9" x14ac:dyDescent="0.45">
      <c r="E57"/>
      <c r="F57"/>
      <c r="I57"/>
    </row>
    <row r="58" spans="5:9" x14ac:dyDescent="0.45">
      <c r="E58"/>
      <c r="F58"/>
      <c r="I58"/>
    </row>
    <row r="59" spans="5:9" x14ac:dyDescent="0.45">
      <c r="E59"/>
      <c r="F59"/>
      <c r="I59"/>
    </row>
    <row r="60" spans="5:9" x14ac:dyDescent="0.45">
      <c r="E60"/>
      <c r="F60"/>
      <c r="I60"/>
    </row>
    <row r="61" spans="5:9" x14ac:dyDescent="0.45">
      <c r="E61"/>
      <c r="F61"/>
      <c r="I61"/>
    </row>
    <row r="62" spans="5:9" x14ac:dyDescent="0.45">
      <c r="E62"/>
      <c r="F62"/>
      <c r="I62"/>
    </row>
    <row r="63" spans="5:9" x14ac:dyDescent="0.45">
      <c r="E63"/>
      <c r="F63"/>
      <c r="I63"/>
    </row>
    <row r="64" spans="5:9" x14ac:dyDescent="0.45">
      <c r="E64"/>
      <c r="F64"/>
      <c r="I64"/>
    </row>
    <row r="65" spans="5:9" x14ac:dyDescent="0.45">
      <c r="E65"/>
      <c r="F65"/>
      <c r="I65"/>
    </row>
    <row r="66" spans="5:9" x14ac:dyDescent="0.45">
      <c r="E66"/>
      <c r="F66"/>
      <c r="I66"/>
    </row>
    <row r="67" spans="5:9" x14ac:dyDescent="0.45">
      <c r="E67"/>
      <c r="F67"/>
      <c r="I67"/>
    </row>
    <row r="68" spans="5:9" x14ac:dyDescent="0.45">
      <c r="E68"/>
      <c r="F68"/>
      <c r="I68"/>
    </row>
    <row r="69" spans="5:9" x14ac:dyDescent="0.45">
      <c r="E69"/>
      <c r="F69"/>
      <c r="I69"/>
    </row>
    <row r="70" spans="5:9" x14ac:dyDescent="0.45">
      <c r="E70"/>
      <c r="F70"/>
      <c r="I70"/>
    </row>
    <row r="71" spans="5:9" x14ac:dyDescent="0.45">
      <c r="E71"/>
      <c r="F71"/>
      <c r="I71"/>
    </row>
    <row r="72" spans="5:9" x14ac:dyDescent="0.45">
      <c r="E72"/>
      <c r="F72"/>
      <c r="I72"/>
    </row>
    <row r="73" spans="5:9" x14ac:dyDescent="0.45">
      <c r="E73"/>
      <c r="F73"/>
      <c r="I73"/>
    </row>
    <row r="74" spans="5:9" x14ac:dyDescent="0.45">
      <c r="E74"/>
      <c r="F74"/>
      <c r="I74"/>
    </row>
    <row r="75" spans="5:9" x14ac:dyDescent="0.45">
      <c r="E75"/>
      <c r="F75"/>
      <c r="I75"/>
    </row>
    <row r="76" spans="5:9" x14ac:dyDescent="0.45">
      <c r="E76"/>
      <c r="F76"/>
      <c r="I76"/>
    </row>
    <row r="77" spans="5:9" x14ac:dyDescent="0.45">
      <c r="E77"/>
      <c r="F77"/>
      <c r="I77"/>
    </row>
    <row r="78" spans="5:9" x14ac:dyDescent="0.45">
      <c r="E78"/>
      <c r="F78"/>
      <c r="I78"/>
    </row>
    <row r="79" spans="5:9" x14ac:dyDescent="0.45">
      <c r="E79"/>
      <c r="F79"/>
      <c r="I79"/>
    </row>
    <row r="80" spans="5:9" x14ac:dyDescent="0.45">
      <c r="E80"/>
      <c r="F80"/>
      <c r="I80"/>
    </row>
    <row r="81" spans="5:9" x14ac:dyDescent="0.45">
      <c r="E81"/>
      <c r="F81"/>
      <c r="I81"/>
    </row>
    <row r="82" spans="5:9" x14ac:dyDescent="0.45">
      <c r="E82"/>
      <c r="F82"/>
      <c r="I82"/>
    </row>
    <row r="83" spans="5:9" x14ac:dyDescent="0.45">
      <c r="E83"/>
      <c r="F83"/>
      <c r="I83"/>
    </row>
    <row r="84" spans="5:9" x14ac:dyDescent="0.45">
      <c r="E84"/>
      <c r="F84"/>
      <c r="I84"/>
    </row>
    <row r="85" spans="5:9" x14ac:dyDescent="0.45">
      <c r="E85"/>
      <c r="F85"/>
      <c r="I85"/>
    </row>
    <row r="86" spans="5:9" x14ac:dyDescent="0.45">
      <c r="E86"/>
      <c r="F86"/>
      <c r="I86"/>
    </row>
    <row r="87" spans="5:9" x14ac:dyDescent="0.45">
      <c r="E87"/>
      <c r="F87"/>
      <c r="I87"/>
    </row>
    <row r="88" spans="5:9" x14ac:dyDescent="0.45">
      <c r="E88"/>
      <c r="F88"/>
      <c r="I88"/>
    </row>
    <row r="89" spans="5:9" x14ac:dyDescent="0.45">
      <c r="E89"/>
      <c r="F89"/>
      <c r="I89"/>
    </row>
    <row r="90" spans="5:9" x14ac:dyDescent="0.45">
      <c r="E90"/>
      <c r="F90"/>
      <c r="I90"/>
    </row>
    <row r="91" spans="5:9" x14ac:dyDescent="0.45">
      <c r="E91"/>
      <c r="F91"/>
      <c r="I91"/>
    </row>
    <row r="92" spans="5:9" x14ac:dyDescent="0.45">
      <c r="E92"/>
      <c r="F92"/>
      <c r="I92"/>
    </row>
    <row r="93" spans="5:9" x14ac:dyDescent="0.45">
      <c r="E93"/>
      <c r="F93"/>
      <c r="I93"/>
    </row>
    <row r="94" spans="5:9" x14ac:dyDescent="0.45">
      <c r="E94"/>
      <c r="F94"/>
      <c r="I94"/>
    </row>
    <row r="95" spans="5:9" x14ac:dyDescent="0.45">
      <c r="E95"/>
      <c r="F95"/>
      <c r="I95"/>
    </row>
    <row r="96" spans="5:9" x14ac:dyDescent="0.45">
      <c r="E96"/>
      <c r="F96"/>
      <c r="I96"/>
    </row>
    <row r="97" spans="5:9" x14ac:dyDescent="0.45">
      <c r="E97"/>
      <c r="F97"/>
      <c r="I97"/>
    </row>
    <row r="98" spans="5:9" x14ac:dyDescent="0.45">
      <c r="E98"/>
      <c r="F98"/>
      <c r="I98"/>
    </row>
    <row r="99" spans="5:9" x14ac:dyDescent="0.45">
      <c r="E99"/>
      <c r="F99"/>
      <c r="I99"/>
    </row>
    <row r="100" spans="5:9" x14ac:dyDescent="0.45">
      <c r="E100"/>
      <c r="F100"/>
      <c r="I100"/>
    </row>
    <row r="101" spans="5:9" x14ac:dyDescent="0.45">
      <c r="E101"/>
      <c r="F101"/>
      <c r="I101"/>
    </row>
    <row r="102" spans="5:9" x14ac:dyDescent="0.45">
      <c r="E102"/>
      <c r="F102"/>
      <c r="I102"/>
    </row>
    <row r="103" spans="5:9" x14ac:dyDescent="0.45">
      <c r="E103"/>
      <c r="F103"/>
      <c r="I103"/>
    </row>
    <row r="104" spans="5:9" x14ac:dyDescent="0.45">
      <c r="E104"/>
      <c r="F104"/>
      <c r="I104"/>
    </row>
    <row r="105" spans="5:9" x14ac:dyDescent="0.45">
      <c r="E105"/>
      <c r="F105"/>
      <c r="I105"/>
    </row>
    <row r="106" spans="5:9" x14ac:dyDescent="0.45">
      <c r="E106"/>
      <c r="F106"/>
      <c r="I106"/>
    </row>
    <row r="107" spans="5:9" x14ac:dyDescent="0.45">
      <c r="E107"/>
      <c r="F107"/>
      <c r="I107"/>
    </row>
    <row r="108" spans="5:9" x14ac:dyDescent="0.45">
      <c r="E108"/>
      <c r="F108"/>
      <c r="I108"/>
    </row>
    <row r="109" spans="5:9" x14ac:dyDescent="0.45">
      <c r="E109"/>
      <c r="F109"/>
      <c r="I109"/>
    </row>
    <row r="110" spans="5:9" x14ac:dyDescent="0.45">
      <c r="E110"/>
      <c r="F110"/>
      <c r="I110"/>
    </row>
    <row r="111" spans="5:9" x14ac:dyDescent="0.45">
      <c r="E111"/>
      <c r="F111"/>
      <c r="I111"/>
    </row>
    <row r="112" spans="5:9" x14ac:dyDescent="0.45">
      <c r="E112"/>
      <c r="F112"/>
      <c r="I112"/>
    </row>
    <row r="113" spans="5:9" x14ac:dyDescent="0.45">
      <c r="E113"/>
      <c r="F113"/>
      <c r="I113"/>
    </row>
    <row r="114" spans="5:9" x14ac:dyDescent="0.45">
      <c r="E114"/>
      <c r="F114"/>
      <c r="I114"/>
    </row>
    <row r="115" spans="5:9" x14ac:dyDescent="0.45">
      <c r="E115"/>
      <c r="F115"/>
      <c r="I115"/>
    </row>
    <row r="116" spans="5:9" x14ac:dyDescent="0.45">
      <c r="E116"/>
      <c r="F116"/>
      <c r="I116"/>
    </row>
    <row r="117" spans="5:9" x14ac:dyDescent="0.45">
      <c r="E117"/>
      <c r="F117"/>
      <c r="I117"/>
    </row>
    <row r="118" spans="5:9" x14ac:dyDescent="0.45">
      <c r="E118"/>
      <c r="F118"/>
      <c r="I118"/>
    </row>
    <row r="119" spans="5:9" x14ac:dyDescent="0.45">
      <c r="E119"/>
      <c r="F119"/>
      <c r="I119"/>
    </row>
    <row r="120" spans="5:9" x14ac:dyDescent="0.45">
      <c r="E120"/>
      <c r="F120"/>
      <c r="I120"/>
    </row>
    <row r="121" spans="5:9" x14ac:dyDescent="0.45">
      <c r="E121"/>
      <c r="F121"/>
      <c r="I121"/>
    </row>
    <row r="122" spans="5:9" x14ac:dyDescent="0.45">
      <c r="E122"/>
      <c r="F122"/>
      <c r="I122"/>
    </row>
    <row r="123" spans="5:9" x14ac:dyDescent="0.45">
      <c r="E123"/>
      <c r="F123"/>
      <c r="I123"/>
    </row>
    <row r="124" spans="5:9" x14ac:dyDescent="0.45">
      <c r="E124"/>
      <c r="F124"/>
      <c r="I124"/>
    </row>
    <row r="125" spans="5:9" x14ac:dyDescent="0.45">
      <c r="E125"/>
      <c r="F125"/>
      <c r="I125"/>
    </row>
    <row r="126" spans="5:9" x14ac:dyDescent="0.45">
      <c r="E126"/>
      <c r="F126"/>
      <c r="I126"/>
    </row>
    <row r="127" spans="5:9" x14ac:dyDescent="0.45">
      <c r="E127"/>
      <c r="F127"/>
      <c r="I127"/>
    </row>
    <row r="128" spans="5:9" x14ac:dyDescent="0.45">
      <c r="E128"/>
      <c r="F128"/>
      <c r="I128"/>
    </row>
    <row r="129" spans="5:9" x14ac:dyDescent="0.45">
      <c r="E129"/>
      <c r="F129"/>
      <c r="I129"/>
    </row>
    <row r="130" spans="5:9" x14ac:dyDescent="0.45">
      <c r="E130"/>
      <c r="F130"/>
      <c r="I130"/>
    </row>
    <row r="131" spans="5:9" x14ac:dyDescent="0.45">
      <c r="E131"/>
      <c r="F131"/>
      <c r="I131"/>
    </row>
    <row r="132" spans="5:9" x14ac:dyDescent="0.45">
      <c r="E132"/>
      <c r="F132"/>
      <c r="I132"/>
    </row>
    <row r="133" spans="5:9" x14ac:dyDescent="0.45">
      <c r="E133"/>
      <c r="F133"/>
      <c r="I133"/>
    </row>
    <row r="134" spans="5:9" x14ac:dyDescent="0.45">
      <c r="E134"/>
      <c r="F134"/>
      <c r="I134"/>
    </row>
    <row r="135" spans="5:9" x14ac:dyDescent="0.45">
      <c r="E135"/>
      <c r="F135"/>
      <c r="I135"/>
    </row>
    <row r="136" spans="5:9" x14ac:dyDescent="0.45">
      <c r="E136"/>
      <c r="F136"/>
      <c r="I136"/>
    </row>
    <row r="137" spans="5:9" x14ac:dyDescent="0.45">
      <c r="E137"/>
      <c r="F137"/>
      <c r="I137"/>
    </row>
    <row r="138" spans="5:9" x14ac:dyDescent="0.45">
      <c r="E138"/>
      <c r="F138"/>
      <c r="I138"/>
    </row>
    <row r="139" spans="5:9" x14ac:dyDescent="0.45">
      <c r="E139"/>
      <c r="F139"/>
      <c r="I139"/>
    </row>
    <row r="140" spans="5:9" x14ac:dyDescent="0.45">
      <c r="E140"/>
      <c r="F140"/>
      <c r="I140"/>
    </row>
    <row r="141" spans="5:9" x14ac:dyDescent="0.45">
      <c r="E141"/>
      <c r="F141"/>
      <c r="I141"/>
    </row>
    <row r="142" spans="5:9" x14ac:dyDescent="0.45">
      <c r="E142"/>
      <c r="F142"/>
      <c r="I142"/>
    </row>
    <row r="143" spans="5:9" x14ac:dyDescent="0.45">
      <c r="E143"/>
      <c r="F143"/>
      <c r="I143"/>
    </row>
    <row r="144" spans="5:9" x14ac:dyDescent="0.45">
      <c r="E144"/>
      <c r="F144"/>
      <c r="I144"/>
    </row>
    <row r="145" spans="5:9" x14ac:dyDescent="0.45">
      <c r="E145"/>
      <c r="F145"/>
      <c r="I145"/>
    </row>
    <row r="146" spans="5:9" x14ac:dyDescent="0.45">
      <c r="E146"/>
      <c r="F146"/>
      <c r="I146"/>
    </row>
    <row r="147" spans="5:9" x14ac:dyDescent="0.45">
      <c r="E147"/>
      <c r="F147"/>
      <c r="I147"/>
    </row>
    <row r="148" spans="5:9" x14ac:dyDescent="0.45">
      <c r="E148"/>
      <c r="F148"/>
      <c r="I148"/>
    </row>
    <row r="149" spans="5:9" x14ac:dyDescent="0.45">
      <c r="E149"/>
      <c r="F149"/>
      <c r="I149"/>
    </row>
    <row r="150" spans="5:9" x14ac:dyDescent="0.45">
      <c r="E150"/>
      <c r="F150"/>
      <c r="I150"/>
    </row>
    <row r="151" spans="5:9" x14ac:dyDescent="0.45">
      <c r="E151"/>
      <c r="F151"/>
      <c r="I151"/>
    </row>
    <row r="152" spans="5:9" x14ac:dyDescent="0.45">
      <c r="E152"/>
      <c r="F152"/>
      <c r="I152"/>
    </row>
    <row r="153" spans="5:9" x14ac:dyDescent="0.45">
      <c r="E153"/>
      <c r="F153"/>
      <c r="I153"/>
    </row>
    <row r="154" spans="5:9" x14ac:dyDescent="0.45">
      <c r="E154"/>
      <c r="F154"/>
      <c r="I154"/>
    </row>
    <row r="155" spans="5:9" x14ac:dyDescent="0.45">
      <c r="E155"/>
      <c r="F155"/>
      <c r="I155"/>
    </row>
    <row r="156" spans="5:9" x14ac:dyDescent="0.45">
      <c r="E156"/>
      <c r="F156"/>
      <c r="I156"/>
    </row>
    <row r="157" spans="5:9" x14ac:dyDescent="0.45">
      <c r="E157"/>
      <c r="F157"/>
      <c r="I157"/>
    </row>
    <row r="158" spans="5:9" x14ac:dyDescent="0.45">
      <c r="E158"/>
      <c r="F158"/>
      <c r="I158"/>
    </row>
    <row r="159" spans="5:9" x14ac:dyDescent="0.45">
      <c r="E159"/>
      <c r="F159"/>
      <c r="I159"/>
    </row>
    <row r="160" spans="5:9" x14ac:dyDescent="0.45">
      <c r="E160"/>
      <c r="F160"/>
      <c r="I160"/>
    </row>
    <row r="161" spans="5:9" x14ac:dyDescent="0.45">
      <c r="E161"/>
      <c r="F161"/>
      <c r="I161"/>
    </row>
    <row r="162" spans="5:9" x14ac:dyDescent="0.45">
      <c r="E162"/>
      <c r="F162"/>
      <c r="I162"/>
    </row>
    <row r="163" spans="5:9" x14ac:dyDescent="0.45">
      <c r="E163"/>
      <c r="F163"/>
      <c r="I163"/>
    </row>
    <row r="164" spans="5:9" x14ac:dyDescent="0.45">
      <c r="E164"/>
      <c r="F164"/>
      <c r="I164"/>
    </row>
    <row r="165" spans="5:9" x14ac:dyDescent="0.45">
      <c r="E165"/>
      <c r="F165"/>
      <c r="I165"/>
    </row>
    <row r="166" spans="5:9" x14ac:dyDescent="0.45">
      <c r="E166"/>
      <c r="F166"/>
      <c r="I166"/>
    </row>
    <row r="167" spans="5:9" x14ac:dyDescent="0.45">
      <c r="E167"/>
      <c r="F167"/>
      <c r="I167"/>
    </row>
    <row r="168" spans="5:9" x14ac:dyDescent="0.45">
      <c r="E168"/>
      <c r="F168"/>
      <c r="I168"/>
    </row>
    <row r="169" spans="5:9" x14ac:dyDescent="0.45">
      <c r="E169"/>
      <c r="F169"/>
      <c r="I169"/>
    </row>
    <row r="170" spans="5:9" x14ac:dyDescent="0.45">
      <c r="E170"/>
      <c r="F170"/>
      <c r="I170"/>
    </row>
    <row r="171" spans="5:9" x14ac:dyDescent="0.45">
      <c r="E171"/>
      <c r="F171"/>
      <c r="I171"/>
    </row>
    <row r="172" spans="5:9" x14ac:dyDescent="0.45">
      <c r="E172"/>
      <c r="F172"/>
      <c r="I172"/>
    </row>
    <row r="173" spans="5:9" x14ac:dyDescent="0.45">
      <c r="E173"/>
      <c r="F173"/>
      <c r="I173"/>
    </row>
    <row r="174" spans="5:9" x14ac:dyDescent="0.45">
      <c r="E174"/>
      <c r="F174"/>
      <c r="I174"/>
    </row>
    <row r="175" spans="5:9" x14ac:dyDescent="0.45">
      <c r="E175"/>
      <c r="F175"/>
      <c r="I175"/>
    </row>
    <row r="176" spans="5:9" x14ac:dyDescent="0.45">
      <c r="E176"/>
      <c r="F176"/>
      <c r="I176"/>
    </row>
    <row r="177" spans="5:9" x14ac:dyDescent="0.45">
      <c r="E177"/>
      <c r="F177"/>
      <c r="I177"/>
    </row>
    <row r="178" spans="5:9" x14ac:dyDescent="0.45">
      <c r="E178"/>
      <c r="F178"/>
      <c r="I178"/>
    </row>
    <row r="179" spans="5:9" x14ac:dyDescent="0.45">
      <c r="E179"/>
      <c r="F179"/>
      <c r="I179"/>
    </row>
    <row r="180" spans="5:9" x14ac:dyDescent="0.45">
      <c r="E180"/>
      <c r="F180"/>
      <c r="I180"/>
    </row>
    <row r="181" spans="5:9" x14ac:dyDescent="0.45">
      <c r="E181"/>
      <c r="F181"/>
      <c r="I181"/>
    </row>
    <row r="182" spans="5:9" x14ac:dyDescent="0.45">
      <c r="E182"/>
      <c r="F182"/>
      <c r="I182"/>
    </row>
    <row r="183" spans="5:9" x14ac:dyDescent="0.45">
      <c r="E183"/>
      <c r="F183"/>
      <c r="I183"/>
    </row>
    <row r="184" spans="5:9" x14ac:dyDescent="0.45">
      <c r="E184"/>
      <c r="F184"/>
      <c r="I184"/>
    </row>
    <row r="185" spans="5:9" x14ac:dyDescent="0.45">
      <c r="E185"/>
      <c r="F185"/>
      <c r="I185"/>
    </row>
    <row r="186" spans="5:9" x14ac:dyDescent="0.45">
      <c r="E186"/>
      <c r="F186"/>
      <c r="I186"/>
    </row>
    <row r="187" spans="5:9" x14ac:dyDescent="0.45">
      <c r="E187"/>
      <c r="F187"/>
      <c r="I187"/>
    </row>
    <row r="188" spans="5:9" x14ac:dyDescent="0.45">
      <c r="E188"/>
      <c r="F188"/>
      <c r="I188"/>
    </row>
    <row r="189" spans="5:9" x14ac:dyDescent="0.45">
      <c r="E189"/>
      <c r="F189"/>
      <c r="I189"/>
    </row>
    <row r="190" spans="5:9" x14ac:dyDescent="0.45">
      <c r="E190"/>
      <c r="F190"/>
      <c r="I190"/>
    </row>
    <row r="191" spans="5:9" x14ac:dyDescent="0.45">
      <c r="E191"/>
      <c r="F191"/>
      <c r="I191"/>
    </row>
    <row r="192" spans="5:9" x14ac:dyDescent="0.45">
      <c r="E192"/>
      <c r="F192"/>
      <c r="I192"/>
    </row>
    <row r="193" spans="5:9" x14ac:dyDescent="0.45">
      <c r="E193"/>
      <c r="F193"/>
      <c r="I193"/>
    </row>
    <row r="194" spans="5:9" x14ac:dyDescent="0.45">
      <c r="E194"/>
      <c r="F194"/>
      <c r="I194"/>
    </row>
    <row r="195" spans="5:9" x14ac:dyDescent="0.45">
      <c r="E195"/>
      <c r="F195"/>
      <c r="I195"/>
    </row>
    <row r="196" spans="5:9" x14ac:dyDescent="0.45">
      <c r="E196"/>
      <c r="F196"/>
      <c r="I196"/>
    </row>
    <row r="197" spans="5:9" x14ac:dyDescent="0.45">
      <c r="E197"/>
      <c r="F197"/>
      <c r="I197"/>
    </row>
    <row r="198" spans="5:9" x14ac:dyDescent="0.45">
      <c r="E198"/>
      <c r="F198"/>
      <c r="I198"/>
    </row>
    <row r="199" spans="5:9" x14ac:dyDescent="0.45">
      <c r="E199"/>
      <c r="F199"/>
      <c r="I199"/>
    </row>
    <row r="200" spans="5:9" x14ac:dyDescent="0.45">
      <c r="E200"/>
      <c r="F200"/>
      <c r="I200"/>
    </row>
    <row r="201" spans="5:9" x14ac:dyDescent="0.45">
      <c r="E201"/>
      <c r="F201"/>
      <c r="I201"/>
    </row>
    <row r="202" spans="5:9" x14ac:dyDescent="0.45">
      <c r="E202"/>
      <c r="F202"/>
      <c r="I202"/>
    </row>
    <row r="203" spans="5:9" x14ac:dyDescent="0.45">
      <c r="E203"/>
      <c r="F203"/>
      <c r="I203"/>
    </row>
    <row r="204" spans="5:9" x14ac:dyDescent="0.45">
      <c r="E204"/>
      <c r="F204"/>
      <c r="I204"/>
    </row>
    <row r="205" spans="5:9" x14ac:dyDescent="0.45">
      <c r="E205"/>
      <c r="F205"/>
      <c r="I205"/>
    </row>
    <row r="206" spans="5:9" x14ac:dyDescent="0.45">
      <c r="E206"/>
      <c r="F206"/>
      <c r="I206"/>
    </row>
    <row r="207" spans="5:9" x14ac:dyDescent="0.45">
      <c r="E207"/>
      <c r="F207"/>
      <c r="I207"/>
    </row>
    <row r="208" spans="5:9" x14ac:dyDescent="0.45">
      <c r="E208"/>
      <c r="F208"/>
      <c r="I208"/>
    </row>
    <row r="209" spans="5:9" x14ac:dyDescent="0.45">
      <c r="E209"/>
      <c r="F209"/>
      <c r="I209"/>
    </row>
    <row r="210" spans="5:9" x14ac:dyDescent="0.45">
      <c r="E210"/>
      <c r="F210"/>
      <c r="I210"/>
    </row>
    <row r="211" spans="5:9" x14ac:dyDescent="0.45">
      <c r="E211"/>
      <c r="F211"/>
      <c r="I211"/>
    </row>
    <row r="212" spans="5:9" x14ac:dyDescent="0.45">
      <c r="E212"/>
      <c r="F212"/>
      <c r="I212"/>
    </row>
    <row r="213" spans="5:9" x14ac:dyDescent="0.45">
      <c r="E213"/>
      <c r="F213"/>
      <c r="I213"/>
    </row>
    <row r="214" spans="5:9" x14ac:dyDescent="0.45">
      <c r="E214"/>
      <c r="F214"/>
      <c r="I214"/>
    </row>
    <row r="215" spans="5:9" x14ac:dyDescent="0.45">
      <c r="E215"/>
      <c r="F215"/>
      <c r="I215"/>
    </row>
    <row r="216" spans="5:9" x14ac:dyDescent="0.45">
      <c r="E216"/>
      <c r="F216"/>
      <c r="I216"/>
    </row>
    <row r="217" spans="5:9" x14ac:dyDescent="0.45">
      <c r="E217"/>
      <c r="F217"/>
      <c r="I217"/>
    </row>
    <row r="218" spans="5:9" x14ac:dyDescent="0.45">
      <c r="E218"/>
      <c r="F218"/>
      <c r="I218"/>
    </row>
    <row r="219" spans="5:9" x14ac:dyDescent="0.45">
      <c r="E219"/>
      <c r="F219"/>
      <c r="I219"/>
    </row>
    <row r="220" spans="5:9" x14ac:dyDescent="0.45">
      <c r="E220"/>
      <c r="F220"/>
      <c r="I220"/>
    </row>
    <row r="221" spans="5:9" x14ac:dyDescent="0.45">
      <c r="E221"/>
      <c r="F221"/>
      <c r="I221"/>
    </row>
    <row r="222" spans="5:9" x14ac:dyDescent="0.45">
      <c r="E222"/>
      <c r="F222"/>
      <c r="I222"/>
    </row>
    <row r="223" spans="5:9" x14ac:dyDescent="0.45">
      <c r="E223"/>
      <c r="F223"/>
      <c r="I223"/>
    </row>
    <row r="224" spans="5:9" x14ac:dyDescent="0.45">
      <c r="E224"/>
      <c r="F224"/>
      <c r="I224"/>
    </row>
    <row r="225" spans="5:9" x14ac:dyDescent="0.45">
      <c r="E225"/>
      <c r="F225"/>
      <c r="I225"/>
    </row>
    <row r="226" spans="5:9" x14ac:dyDescent="0.45">
      <c r="E226"/>
      <c r="F226"/>
      <c r="I226"/>
    </row>
    <row r="227" spans="5:9" x14ac:dyDescent="0.45">
      <c r="E227"/>
      <c r="F227"/>
      <c r="I227"/>
    </row>
    <row r="228" spans="5:9" x14ac:dyDescent="0.45">
      <c r="E228"/>
      <c r="F228"/>
      <c r="I228"/>
    </row>
    <row r="229" spans="5:9" x14ac:dyDescent="0.45">
      <c r="E229"/>
      <c r="F229"/>
      <c r="I229"/>
    </row>
    <row r="230" spans="5:9" x14ac:dyDescent="0.45">
      <c r="E230"/>
      <c r="F230"/>
      <c r="I230"/>
    </row>
    <row r="231" spans="5:9" x14ac:dyDescent="0.45">
      <c r="E231"/>
      <c r="F231"/>
      <c r="I231"/>
    </row>
    <row r="232" spans="5:9" x14ac:dyDescent="0.45">
      <c r="E232"/>
      <c r="F232"/>
      <c r="I232"/>
    </row>
    <row r="233" spans="5:9" x14ac:dyDescent="0.45">
      <c r="E233"/>
      <c r="F233"/>
      <c r="I233"/>
    </row>
    <row r="234" spans="5:9" x14ac:dyDescent="0.45">
      <c r="E234"/>
      <c r="F234"/>
      <c r="I234"/>
    </row>
    <row r="235" spans="5:9" x14ac:dyDescent="0.45">
      <c r="E235"/>
      <c r="F235"/>
      <c r="I235"/>
    </row>
    <row r="236" spans="5:9" x14ac:dyDescent="0.45">
      <c r="E236"/>
      <c r="F236"/>
      <c r="I236"/>
    </row>
    <row r="237" spans="5:9" x14ac:dyDescent="0.45">
      <c r="E237"/>
      <c r="F237"/>
      <c r="I237"/>
    </row>
    <row r="238" spans="5:9" x14ac:dyDescent="0.45">
      <c r="E238"/>
      <c r="F238"/>
      <c r="I238"/>
    </row>
    <row r="239" spans="5:9" x14ac:dyDescent="0.45">
      <c r="E239"/>
      <c r="F239"/>
      <c r="I239"/>
    </row>
    <row r="240" spans="5:9" x14ac:dyDescent="0.45">
      <c r="E240"/>
      <c r="F240"/>
      <c r="I240"/>
    </row>
    <row r="241" spans="5:9" x14ac:dyDescent="0.45">
      <c r="E241"/>
      <c r="F241"/>
      <c r="I241"/>
    </row>
    <row r="242" spans="5:9" x14ac:dyDescent="0.45">
      <c r="E242"/>
      <c r="F242"/>
      <c r="I242"/>
    </row>
    <row r="243" spans="5:9" x14ac:dyDescent="0.45">
      <c r="E243"/>
      <c r="F243"/>
      <c r="I243"/>
    </row>
    <row r="244" spans="5:9" x14ac:dyDescent="0.45">
      <c r="E244"/>
      <c r="F244"/>
      <c r="I244"/>
    </row>
    <row r="245" spans="5:9" x14ac:dyDescent="0.45">
      <c r="E245"/>
      <c r="F245"/>
      <c r="I245"/>
    </row>
    <row r="246" spans="5:9" x14ac:dyDescent="0.45">
      <c r="E246"/>
      <c r="F246"/>
      <c r="I246"/>
    </row>
    <row r="247" spans="5:9" x14ac:dyDescent="0.45">
      <c r="E247"/>
      <c r="F247"/>
      <c r="I247"/>
    </row>
    <row r="248" spans="5:9" x14ac:dyDescent="0.45">
      <c r="E248"/>
      <c r="F248"/>
      <c r="I248"/>
    </row>
    <row r="249" spans="5:9" x14ac:dyDescent="0.45">
      <c r="E249"/>
      <c r="F249"/>
      <c r="I249"/>
    </row>
    <row r="250" spans="5:9" x14ac:dyDescent="0.45">
      <c r="E250"/>
      <c r="F250"/>
      <c r="I250"/>
    </row>
    <row r="251" spans="5:9" x14ac:dyDescent="0.45">
      <c r="E251"/>
      <c r="F251"/>
      <c r="I251"/>
    </row>
    <row r="252" spans="5:9" x14ac:dyDescent="0.45">
      <c r="E252"/>
      <c r="F252"/>
      <c r="I252"/>
    </row>
    <row r="253" spans="5:9" x14ac:dyDescent="0.45">
      <c r="E253"/>
      <c r="F253"/>
      <c r="I253"/>
    </row>
    <row r="254" spans="5:9" x14ac:dyDescent="0.45">
      <c r="E254"/>
      <c r="F254"/>
      <c r="I254"/>
    </row>
    <row r="255" spans="5:9" x14ac:dyDescent="0.45">
      <c r="E255"/>
      <c r="F255"/>
      <c r="I255"/>
    </row>
    <row r="256" spans="5:9" x14ac:dyDescent="0.45">
      <c r="E256"/>
      <c r="F256"/>
      <c r="I256"/>
    </row>
    <row r="257" spans="5:9" x14ac:dyDescent="0.45">
      <c r="E257"/>
      <c r="F257"/>
      <c r="I257"/>
    </row>
    <row r="258" spans="5:9" x14ac:dyDescent="0.45">
      <c r="E258"/>
      <c r="F258"/>
      <c r="I258"/>
    </row>
    <row r="259" spans="5:9" x14ac:dyDescent="0.45">
      <c r="E259"/>
      <c r="F259"/>
      <c r="I259"/>
    </row>
    <row r="260" spans="5:9" x14ac:dyDescent="0.45">
      <c r="E260"/>
      <c r="F260"/>
      <c r="I260"/>
    </row>
    <row r="261" spans="5:9" x14ac:dyDescent="0.45">
      <c r="E261"/>
      <c r="F261"/>
      <c r="I261"/>
    </row>
    <row r="262" spans="5:9" x14ac:dyDescent="0.45">
      <c r="E262"/>
      <c r="F262"/>
      <c r="I262"/>
    </row>
    <row r="263" spans="5:9" x14ac:dyDescent="0.45">
      <c r="E263"/>
      <c r="F263"/>
      <c r="I263"/>
    </row>
    <row r="264" spans="5:9" x14ac:dyDescent="0.45">
      <c r="E264"/>
      <c r="F264"/>
      <c r="I264"/>
    </row>
    <row r="265" spans="5:9" x14ac:dyDescent="0.45">
      <c r="E265"/>
      <c r="F265"/>
      <c r="I265"/>
    </row>
    <row r="266" spans="5:9" x14ac:dyDescent="0.45">
      <c r="E266"/>
      <c r="F266"/>
      <c r="I266"/>
    </row>
    <row r="267" spans="5:9" x14ac:dyDescent="0.45">
      <c r="E267"/>
      <c r="F267"/>
      <c r="I267"/>
    </row>
    <row r="268" spans="5:9" x14ac:dyDescent="0.45">
      <c r="E268"/>
      <c r="F268"/>
      <c r="I268"/>
    </row>
    <row r="269" spans="5:9" x14ac:dyDescent="0.45">
      <c r="E269"/>
      <c r="F269"/>
      <c r="I269"/>
    </row>
    <row r="270" spans="5:9" x14ac:dyDescent="0.45">
      <c r="E270"/>
      <c r="F270"/>
      <c r="I270"/>
    </row>
    <row r="271" spans="5:9" x14ac:dyDescent="0.45">
      <c r="E271"/>
      <c r="F271"/>
      <c r="I271"/>
    </row>
    <row r="272" spans="5:9" x14ac:dyDescent="0.45">
      <c r="E272"/>
      <c r="F272"/>
      <c r="I272"/>
    </row>
    <row r="273" spans="5:9" x14ac:dyDescent="0.45">
      <c r="E273"/>
      <c r="F273"/>
      <c r="I273"/>
    </row>
    <row r="274" spans="5:9" x14ac:dyDescent="0.45">
      <c r="E274"/>
      <c r="F274"/>
      <c r="I274"/>
    </row>
    <row r="275" spans="5:9" x14ac:dyDescent="0.45">
      <c r="E275"/>
      <c r="F275"/>
      <c r="I275"/>
    </row>
    <row r="276" spans="5:9" x14ac:dyDescent="0.45">
      <c r="E276"/>
      <c r="F276"/>
      <c r="I276"/>
    </row>
    <row r="277" spans="5:9" x14ac:dyDescent="0.45">
      <c r="E277"/>
      <c r="F277"/>
      <c r="I277"/>
    </row>
    <row r="278" spans="5:9" x14ac:dyDescent="0.45">
      <c r="E278"/>
      <c r="F278"/>
      <c r="I278"/>
    </row>
    <row r="279" spans="5:9" x14ac:dyDescent="0.45">
      <c r="E279"/>
      <c r="F279"/>
      <c r="I279"/>
    </row>
    <row r="280" spans="5:9" x14ac:dyDescent="0.45">
      <c r="E280"/>
      <c r="F280"/>
      <c r="I280"/>
    </row>
    <row r="281" spans="5:9" x14ac:dyDescent="0.45">
      <c r="E281"/>
      <c r="F281"/>
      <c r="I281"/>
    </row>
    <row r="282" spans="5:9" x14ac:dyDescent="0.45">
      <c r="E282"/>
      <c r="F282"/>
      <c r="I282"/>
    </row>
    <row r="283" spans="5:9" x14ac:dyDescent="0.45">
      <c r="E283"/>
      <c r="F283"/>
      <c r="I283"/>
    </row>
    <row r="284" spans="5:9" x14ac:dyDescent="0.45">
      <c r="E284"/>
      <c r="F284"/>
      <c r="I284"/>
    </row>
    <row r="285" spans="5:9" x14ac:dyDescent="0.45">
      <c r="E285"/>
      <c r="F285"/>
      <c r="I285"/>
    </row>
    <row r="286" spans="5:9" x14ac:dyDescent="0.45">
      <c r="E286"/>
      <c r="F286"/>
      <c r="I286"/>
    </row>
    <row r="287" spans="5:9" x14ac:dyDescent="0.45">
      <c r="E287"/>
      <c r="F287"/>
      <c r="I287"/>
    </row>
    <row r="288" spans="5:9" x14ac:dyDescent="0.45">
      <c r="E288"/>
      <c r="F288"/>
      <c r="I288"/>
    </row>
    <row r="289" spans="5:9" x14ac:dyDescent="0.45">
      <c r="E289"/>
      <c r="F289"/>
      <c r="I289"/>
    </row>
    <row r="290" spans="5:9" x14ac:dyDescent="0.45">
      <c r="E290"/>
      <c r="F290"/>
      <c r="I290"/>
    </row>
    <row r="291" spans="5:9" x14ac:dyDescent="0.45">
      <c r="E291"/>
      <c r="F291"/>
      <c r="I291"/>
    </row>
    <row r="292" spans="5:9" x14ac:dyDescent="0.45">
      <c r="E292"/>
      <c r="F292"/>
      <c r="I292"/>
    </row>
    <row r="293" spans="5:9" x14ac:dyDescent="0.45">
      <c r="E293"/>
      <c r="F293"/>
      <c r="I293"/>
    </row>
    <row r="294" spans="5:9" x14ac:dyDescent="0.45">
      <c r="E294"/>
      <c r="F294"/>
      <c r="I294"/>
    </row>
    <row r="295" spans="5:9" x14ac:dyDescent="0.45">
      <c r="E295"/>
      <c r="F295"/>
      <c r="I295"/>
    </row>
    <row r="296" spans="5:9" x14ac:dyDescent="0.45">
      <c r="E296"/>
      <c r="F296"/>
      <c r="I296"/>
    </row>
    <row r="297" spans="5:9" x14ac:dyDescent="0.45">
      <c r="E297"/>
      <c r="F297"/>
      <c r="I297"/>
    </row>
    <row r="298" spans="5:9" x14ac:dyDescent="0.45">
      <c r="E298"/>
      <c r="F298"/>
      <c r="I298"/>
    </row>
    <row r="299" spans="5:9" x14ac:dyDescent="0.45">
      <c r="E299"/>
      <c r="F299"/>
      <c r="I299"/>
    </row>
    <row r="300" spans="5:9" x14ac:dyDescent="0.45">
      <c r="E300"/>
      <c r="F300"/>
      <c r="I300"/>
    </row>
    <row r="301" spans="5:9" x14ac:dyDescent="0.45">
      <c r="E301"/>
      <c r="F301"/>
      <c r="I301"/>
    </row>
    <row r="302" spans="5:9" x14ac:dyDescent="0.45">
      <c r="E302"/>
      <c r="F302"/>
      <c r="I302"/>
    </row>
    <row r="303" spans="5:9" x14ac:dyDescent="0.45">
      <c r="E303"/>
      <c r="F303"/>
      <c r="I303"/>
    </row>
    <row r="304" spans="5:9" x14ac:dyDescent="0.45">
      <c r="E304"/>
      <c r="F304"/>
      <c r="I304"/>
    </row>
    <row r="305" spans="5:9" x14ac:dyDescent="0.45">
      <c r="E305"/>
      <c r="F305"/>
      <c r="I305"/>
    </row>
    <row r="306" spans="5:9" x14ac:dyDescent="0.45">
      <c r="E306"/>
      <c r="F306"/>
      <c r="I306"/>
    </row>
    <row r="307" spans="5:9" x14ac:dyDescent="0.45">
      <c r="E307"/>
      <c r="F307"/>
      <c r="I307"/>
    </row>
    <row r="308" spans="5:9" x14ac:dyDescent="0.45">
      <c r="E308"/>
      <c r="F308"/>
      <c r="I308"/>
    </row>
    <row r="309" spans="5:9" x14ac:dyDescent="0.45">
      <c r="E309"/>
      <c r="F309"/>
      <c r="I309"/>
    </row>
    <row r="310" spans="5:9" x14ac:dyDescent="0.45">
      <c r="E310"/>
      <c r="F310"/>
      <c r="I310"/>
    </row>
    <row r="311" spans="5:9" x14ac:dyDescent="0.45">
      <c r="E311"/>
      <c r="F311"/>
      <c r="I311"/>
    </row>
    <row r="312" spans="5:9" x14ac:dyDescent="0.45">
      <c r="E312"/>
      <c r="F312"/>
      <c r="I312"/>
    </row>
    <row r="313" spans="5:9" x14ac:dyDescent="0.45">
      <c r="E313"/>
      <c r="F313"/>
      <c r="I313"/>
    </row>
    <row r="314" spans="5:9" x14ac:dyDescent="0.45">
      <c r="E314"/>
      <c r="F314"/>
      <c r="I314"/>
    </row>
    <row r="315" spans="5:9" x14ac:dyDescent="0.45">
      <c r="E315"/>
      <c r="F315"/>
      <c r="I315"/>
    </row>
    <row r="316" spans="5:9" x14ac:dyDescent="0.45">
      <c r="E316"/>
      <c r="F316"/>
      <c r="I316"/>
    </row>
    <row r="317" spans="5:9" x14ac:dyDescent="0.45">
      <c r="E317"/>
      <c r="F317"/>
      <c r="I317"/>
    </row>
    <row r="318" spans="5:9" x14ac:dyDescent="0.45">
      <c r="E318"/>
      <c r="F318"/>
      <c r="I318"/>
    </row>
    <row r="319" spans="5:9" x14ac:dyDescent="0.45">
      <c r="E319"/>
      <c r="F319"/>
      <c r="I319"/>
    </row>
    <row r="320" spans="5:9" x14ac:dyDescent="0.45">
      <c r="E320"/>
      <c r="F320"/>
      <c r="I320"/>
    </row>
    <row r="321" spans="5:9" x14ac:dyDescent="0.45">
      <c r="E321"/>
      <c r="F321"/>
      <c r="I321"/>
    </row>
    <row r="322" spans="5:9" x14ac:dyDescent="0.45">
      <c r="E322"/>
      <c r="F322"/>
      <c r="I322"/>
    </row>
    <row r="323" spans="5:9" x14ac:dyDescent="0.45">
      <c r="E323"/>
      <c r="F323"/>
      <c r="I323"/>
    </row>
    <row r="324" spans="5:9" x14ac:dyDescent="0.45">
      <c r="E324"/>
      <c r="F324"/>
      <c r="I324"/>
    </row>
    <row r="325" spans="5:9" x14ac:dyDescent="0.45">
      <c r="E325"/>
      <c r="F325"/>
      <c r="I325"/>
    </row>
    <row r="326" spans="5:9" x14ac:dyDescent="0.45">
      <c r="E326"/>
      <c r="F326"/>
      <c r="I326"/>
    </row>
    <row r="327" spans="5:9" x14ac:dyDescent="0.45">
      <c r="E327"/>
      <c r="F327"/>
      <c r="I327"/>
    </row>
    <row r="328" spans="5:9" x14ac:dyDescent="0.45">
      <c r="E328"/>
      <c r="F328"/>
      <c r="I328"/>
    </row>
    <row r="329" spans="5:9" x14ac:dyDescent="0.45">
      <c r="E329"/>
      <c r="F329"/>
      <c r="I329"/>
    </row>
    <row r="330" spans="5:9" x14ac:dyDescent="0.45">
      <c r="E330"/>
      <c r="F330"/>
      <c r="I330"/>
    </row>
    <row r="331" spans="5:9" x14ac:dyDescent="0.45">
      <c r="E331"/>
      <c r="F331"/>
      <c r="I331"/>
    </row>
    <row r="332" spans="5:9" x14ac:dyDescent="0.45">
      <c r="E332"/>
      <c r="F332"/>
      <c r="I332"/>
    </row>
    <row r="333" spans="5:9" x14ac:dyDescent="0.45">
      <c r="E333"/>
      <c r="F333"/>
      <c r="I333"/>
    </row>
    <row r="334" spans="5:9" x14ac:dyDescent="0.45">
      <c r="E334"/>
      <c r="F334"/>
      <c r="I334"/>
    </row>
    <row r="335" spans="5:9" x14ac:dyDescent="0.45">
      <c r="E335"/>
      <c r="F335"/>
      <c r="I335"/>
    </row>
    <row r="336" spans="5:9" x14ac:dyDescent="0.45">
      <c r="E336"/>
      <c r="F336"/>
      <c r="I336"/>
    </row>
    <row r="337" spans="5:9" x14ac:dyDescent="0.45">
      <c r="E337"/>
      <c r="F337"/>
      <c r="I337"/>
    </row>
    <row r="338" spans="5:9" x14ac:dyDescent="0.45">
      <c r="E338"/>
      <c r="F338"/>
      <c r="I338"/>
    </row>
    <row r="339" spans="5:9" x14ac:dyDescent="0.45">
      <c r="E339"/>
      <c r="F339"/>
      <c r="I339"/>
    </row>
    <row r="340" spans="5:9" x14ac:dyDescent="0.45">
      <c r="E340"/>
      <c r="F340"/>
      <c r="I340"/>
    </row>
    <row r="341" spans="5:9" x14ac:dyDescent="0.45">
      <c r="E341"/>
      <c r="F341"/>
      <c r="I341"/>
    </row>
    <row r="342" spans="5:9" x14ac:dyDescent="0.45">
      <c r="E342"/>
      <c r="F342"/>
      <c r="I342"/>
    </row>
    <row r="343" spans="5:9" x14ac:dyDescent="0.45">
      <c r="E343"/>
      <c r="F343"/>
      <c r="I343"/>
    </row>
    <row r="344" spans="5:9" x14ac:dyDescent="0.45">
      <c r="E344"/>
      <c r="F344"/>
      <c r="I344"/>
    </row>
    <row r="345" spans="5:9" x14ac:dyDescent="0.45">
      <c r="E345"/>
      <c r="F345"/>
      <c r="I345"/>
    </row>
    <row r="346" spans="5:9" x14ac:dyDescent="0.45">
      <c r="E346"/>
      <c r="F346"/>
      <c r="I346"/>
    </row>
    <row r="347" spans="5:9" x14ac:dyDescent="0.45">
      <c r="E347"/>
      <c r="F347"/>
      <c r="I347"/>
    </row>
    <row r="348" spans="5:9" x14ac:dyDescent="0.45">
      <c r="E348"/>
      <c r="F348"/>
      <c r="I348"/>
    </row>
    <row r="349" spans="5:9" x14ac:dyDescent="0.45">
      <c r="E349"/>
      <c r="F349"/>
      <c r="I349"/>
    </row>
    <row r="350" spans="5:9" x14ac:dyDescent="0.45">
      <c r="E350"/>
      <c r="F350"/>
      <c r="I350"/>
    </row>
    <row r="351" spans="5:9" x14ac:dyDescent="0.45">
      <c r="E351"/>
      <c r="F351"/>
      <c r="I351"/>
    </row>
    <row r="352" spans="5:9" x14ac:dyDescent="0.45">
      <c r="E352"/>
      <c r="F352"/>
      <c r="I352"/>
    </row>
    <row r="353" spans="5:9" x14ac:dyDescent="0.45">
      <c r="E353"/>
      <c r="F353"/>
      <c r="I353"/>
    </row>
    <row r="354" spans="5:9" x14ac:dyDescent="0.45">
      <c r="E354"/>
      <c r="F354"/>
      <c r="I354"/>
    </row>
    <row r="355" spans="5:9" x14ac:dyDescent="0.45">
      <c r="E355"/>
      <c r="F355"/>
      <c r="I355"/>
    </row>
    <row r="356" spans="5:9" x14ac:dyDescent="0.45">
      <c r="E356"/>
      <c r="F356"/>
      <c r="I356"/>
    </row>
    <row r="357" spans="5:9" x14ac:dyDescent="0.45">
      <c r="E357"/>
      <c r="F357"/>
      <c r="I357"/>
    </row>
    <row r="358" spans="5:9" x14ac:dyDescent="0.45">
      <c r="E358"/>
      <c r="F358"/>
      <c r="I358"/>
    </row>
    <row r="359" spans="5:9" x14ac:dyDescent="0.45">
      <c r="E359"/>
      <c r="F359"/>
      <c r="I359"/>
    </row>
    <row r="360" spans="5:9" x14ac:dyDescent="0.45">
      <c r="E360"/>
      <c r="F360"/>
      <c r="I360"/>
    </row>
    <row r="361" spans="5:9" x14ac:dyDescent="0.45">
      <c r="E361"/>
      <c r="F361"/>
      <c r="I361"/>
    </row>
    <row r="362" spans="5:9" x14ac:dyDescent="0.45">
      <c r="E362"/>
      <c r="F362"/>
      <c r="I362"/>
    </row>
    <row r="363" spans="5:9" x14ac:dyDescent="0.45">
      <c r="E363"/>
      <c r="F363"/>
      <c r="I363"/>
    </row>
    <row r="364" spans="5:9" x14ac:dyDescent="0.45">
      <c r="E364"/>
      <c r="F364"/>
      <c r="I364"/>
    </row>
    <row r="365" spans="5:9" x14ac:dyDescent="0.45">
      <c r="E365"/>
      <c r="F365"/>
    </row>
    <row r="366" spans="5:9" x14ac:dyDescent="0.45">
      <c r="E366"/>
      <c r="F366"/>
    </row>
    <row r="367" spans="5:9" x14ac:dyDescent="0.45">
      <c r="E367"/>
      <c r="F367"/>
    </row>
    <row r="368" spans="5:9" x14ac:dyDescent="0.45">
      <c r="E368"/>
      <c r="F368"/>
    </row>
    <row r="369" spans="5:6" x14ac:dyDescent="0.45">
      <c r="E369"/>
      <c r="F369"/>
    </row>
    <row r="370" spans="5:6" x14ac:dyDescent="0.45">
      <c r="E370"/>
      <c r="F370"/>
    </row>
    <row r="371" spans="5:6" x14ac:dyDescent="0.45">
      <c r="E371"/>
      <c r="F371"/>
    </row>
    <row r="372" spans="5:6" x14ac:dyDescent="0.45">
      <c r="E372"/>
      <c r="F372"/>
    </row>
    <row r="373" spans="5:6" x14ac:dyDescent="0.45">
      <c r="E373"/>
      <c r="F373"/>
    </row>
    <row r="374" spans="5:6" x14ac:dyDescent="0.45">
      <c r="E374"/>
      <c r="F374"/>
    </row>
    <row r="375" spans="5:6" x14ac:dyDescent="0.45">
      <c r="E375"/>
      <c r="F375"/>
    </row>
    <row r="376" spans="5:6" x14ac:dyDescent="0.45">
      <c r="E376"/>
      <c r="F376"/>
    </row>
    <row r="377" spans="5:6" x14ac:dyDescent="0.45">
      <c r="E377"/>
      <c r="F377"/>
    </row>
    <row r="378" spans="5:6" x14ac:dyDescent="0.45">
      <c r="E378"/>
      <c r="F378"/>
    </row>
    <row r="379" spans="5:6" x14ac:dyDescent="0.45">
      <c r="E379"/>
      <c r="F379"/>
    </row>
    <row r="380" spans="5:6" x14ac:dyDescent="0.45">
      <c r="E380"/>
      <c r="F380"/>
    </row>
    <row r="381" spans="5:6" x14ac:dyDescent="0.45">
      <c r="E381"/>
      <c r="F381"/>
    </row>
    <row r="382" spans="5:6" x14ac:dyDescent="0.45">
      <c r="E382"/>
      <c r="F382"/>
    </row>
    <row r="383" spans="5:6" x14ac:dyDescent="0.45">
      <c r="E383"/>
      <c r="F383"/>
    </row>
    <row r="384" spans="5:6" x14ac:dyDescent="0.45">
      <c r="E384"/>
      <c r="F384"/>
    </row>
    <row r="385" spans="5:6" x14ac:dyDescent="0.45">
      <c r="E385"/>
      <c r="F385"/>
    </row>
    <row r="386" spans="5:6" x14ac:dyDescent="0.45">
      <c r="E386"/>
      <c r="F386"/>
    </row>
    <row r="387" spans="5:6" x14ac:dyDescent="0.45">
      <c r="E387"/>
      <c r="F387"/>
    </row>
    <row r="388" spans="5:6" x14ac:dyDescent="0.45">
      <c r="E388"/>
      <c r="F388"/>
    </row>
    <row r="389" spans="5:6" x14ac:dyDescent="0.45">
      <c r="E389"/>
      <c r="F389"/>
    </row>
    <row r="390" spans="5:6" x14ac:dyDescent="0.45">
      <c r="E390"/>
      <c r="F390"/>
    </row>
    <row r="391" spans="5:6" x14ac:dyDescent="0.45">
      <c r="E391"/>
      <c r="F391"/>
    </row>
    <row r="392" spans="5:6" x14ac:dyDescent="0.45">
      <c r="E392"/>
      <c r="F392"/>
    </row>
    <row r="393" spans="5:6" x14ac:dyDescent="0.45">
      <c r="E393"/>
      <c r="F393"/>
    </row>
    <row r="394" spans="5:6" x14ac:dyDescent="0.45">
      <c r="E394"/>
      <c r="F394"/>
    </row>
    <row r="395" spans="5:6" x14ac:dyDescent="0.45">
      <c r="E395"/>
      <c r="F395"/>
    </row>
    <row r="396" spans="5:6" x14ac:dyDescent="0.45">
      <c r="E396"/>
      <c r="F396"/>
    </row>
    <row r="397" spans="5:6" x14ac:dyDescent="0.45">
      <c r="E397"/>
      <c r="F397"/>
    </row>
    <row r="398" spans="5:6" x14ac:dyDescent="0.45">
      <c r="E398"/>
      <c r="F398"/>
    </row>
    <row r="399" spans="5:6" x14ac:dyDescent="0.45">
      <c r="E399"/>
      <c r="F399"/>
    </row>
    <row r="400" spans="5:6" x14ac:dyDescent="0.45">
      <c r="E400"/>
      <c r="F400"/>
    </row>
    <row r="401" spans="5:6" x14ac:dyDescent="0.45">
      <c r="E401"/>
      <c r="F401"/>
    </row>
    <row r="402" spans="5:6" x14ac:dyDescent="0.45">
      <c r="E402"/>
      <c r="F402"/>
    </row>
    <row r="403" spans="5:6" x14ac:dyDescent="0.45">
      <c r="E403"/>
      <c r="F403"/>
    </row>
    <row r="404" spans="5:6" x14ac:dyDescent="0.45">
      <c r="E404"/>
      <c r="F404"/>
    </row>
    <row r="405" spans="5:6" x14ac:dyDescent="0.45">
      <c r="E405"/>
      <c r="F405"/>
    </row>
    <row r="406" spans="5:6" x14ac:dyDescent="0.45">
      <c r="E406"/>
      <c r="F406"/>
    </row>
    <row r="407" spans="5:6" x14ac:dyDescent="0.45">
      <c r="E407"/>
      <c r="F407"/>
    </row>
    <row r="408" spans="5:6" x14ac:dyDescent="0.45">
      <c r="E408"/>
      <c r="F408"/>
    </row>
    <row r="409" spans="5:6" x14ac:dyDescent="0.45">
      <c r="E409"/>
      <c r="F409"/>
    </row>
    <row r="410" spans="5:6" x14ac:dyDescent="0.45">
      <c r="E410"/>
      <c r="F410"/>
    </row>
    <row r="411" spans="5:6" x14ac:dyDescent="0.45">
      <c r="E411"/>
      <c r="F411"/>
    </row>
    <row r="412" spans="5:6" x14ac:dyDescent="0.45">
      <c r="E412"/>
      <c r="F412"/>
    </row>
    <row r="413" spans="5:6" x14ac:dyDescent="0.45">
      <c r="E413"/>
      <c r="F413"/>
    </row>
    <row r="414" spans="5:6" x14ac:dyDescent="0.45">
      <c r="E414"/>
      <c r="F414"/>
    </row>
    <row r="415" spans="5:6" x14ac:dyDescent="0.45">
      <c r="E415"/>
      <c r="F415"/>
    </row>
    <row r="416" spans="5:6" x14ac:dyDescent="0.45">
      <c r="E416"/>
      <c r="F416"/>
    </row>
    <row r="417" spans="5:6" x14ac:dyDescent="0.45">
      <c r="E417"/>
      <c r="F417"/>
    </row>
    <row r="418" spans="5:6" x14ac:dyDescent="0.45">
      <c r="E418"/>
      <c r="F418"/>
    </row>
    <row r="419" spans="5:6" x14ac:dyDescent="0.45">
      <c r="E419"/>
      <c r="F419"/>
    </row>
    <row r="420" spans="5:6" x14ac:dyDescent="0.45">
      <c r="E420"/>
      <c r="F420"/>
    </row>
    <row r="421" spans="5:6" x14ac:dyDescent="0.45">
      <c r="E421"/>
      <c r="F421"/>
    </row>
    <row r="422" spans="5:6" x14ac:dyDescent="0.45">
      <c r="E422"/>
      <c r="F422"/>
    </row>
    <row r="423" spans="5:6" x14ac:dyDescent="0.45">
      <c r="E423"/>
      <c r="F423"/>
    </row>
    <row r="424" spans="5:6" x14ac:dyDescent="0.45">
      <c r="E424"/>
      <c r="F424"/>
    </row>
    <row r="425" spans="5:6" x14ac:dyDescent="0.45">
      <c r="E425"/>
      <c r="F425"/>
    </row>
    <row r="426" spans="5:6" x14ac:dyDescent="0.45">
      <c r="E426"/>
      <c r="F426"/>
    </row>
    <row r="427" spans="5:6" x14ac:dyDescent="0.45">
      <c r="E427"/>
      <c r="F427"/>
    </row>
    <row r="428" spans="5:6" x14ac:dyDescent="0.45">
      <c r="E428"/>
      <c r="F428"/>
    </row>
    <row r="429" spans="5:6" x14ac:dyDescent="0.45">
      <c r="E429"/>
      <c r="F429"/>
    </row>
    <row r="430" spans="5:6" x14ac:dyDescent="0.45">
      <c r="E430"/>
      <c r="F430"/>
    </row>
    <row r="431" spans="5:6" x14ac:dyDescent="0.45">
      <c r="E431"/>
      <c r="F431"/>
    </row>
    <row r="432" spans="5:6" x14ac:dyDescent="0.45">
      <c r="E432"/>
      <c r="F432"/>
    </row>
    <row r="433" spans="5:6" x14ac:dyDescent="0.45">
      <c r="E433"/>
      <c r="F433"/>
    </row>
    <row r="434" spans="5:6" x14ac:dyDescent="0.45">
      <c r="E434"/>
      <c r="F434"/>
    </row>
    <row r="435" spans="5:6" x14ac:dyDescent="0.45">
      <c r="E435"/>
      <c r="F435"/>
    </row>
    <row r="436" spans="5:6" x14ac:dyDescent="0.45">
      <c r="E436"/>
      <c r="F436"/>
    </row>
    <row r="437" spans="5:6" x14ac:dyDescent="0.45">
      <c r="E437"/>
      <c r="F437"/>
    </row>
    <row r="438" spans="5:6" x14ac:dyDescent="0.45">
      <c r="E438"/>
      <c r="F438"/>
    </row>
    <row r="439" spans="5:6" x14ac:dyDescent="0.45">
      <c r="E439"/>
      <c r="F439"/>
    </row>
    <row r="440" spans="5:6" x14ac:dyDescent="0.45">
      <c r="E440"/>
      <c r="F440"/>
    </row>
    <row r="441" spans="5:6" x14ac:dyDescent="0.45">
      <c r="E441"/>
      <c r="F441"/>
    </row>
    <row r="442" spans="5:6" x14ac:dyDescent="0.45">
      <c r="E442"/>
      <c r="F442"/>
    </row>
    <row r="443" spans="5:6" x14ac:dyDescent="0.45">
      <c r="E443"/>
      <c r="F443"/>
    </row>
    <row r="444" spans="5:6" x14ac:dyDescent="0.45">
      <c r="E444"/>
      <c r="F444"/>
    </row>
    <row r="445" spans="5:6" x14ac:dyDescent="0.45">
      <c r="E445"/>
      <c r="F445"/>
    </row>
    <row r="446" spans="5:6" x14ac:dyDescent="0.45">
      <c r="E446"/>
      <c r="F446"/>
    </row>
    <row r="447" spans="5:6" x14ac:dyDescent="0.45">
      <c r="E447"/>
      <c r="F447"/>
    </row>
    <row r="448" spans="5:6" x14ac:dyDescent="0.45">
      <c r="E448"/>
      <c r="F448"/>
    </row>
    <row r="449" spans="5:6" x14ac:dyDescent="0.45">
      <c r="E449"/>
      <c r="F449"/>
    </row>
    <row r="450" spans="5:6" x14ac:dyDescent="0.45">
      <c r="E450"/>
      <c r="F450"/>
    </row>
    <row r="451" spans="5:6" x14ac:dyDescent="0.45">
      <c r="E451"/>
      <c r="F451"/>
    </row>
    <row r="452" spans="5:6" x14ac:dyDescent="0.45">
      <c r="E452"/>
      <c r="F452"/>
    </row>
    <row r="453" spans="5:6" x14ac:dyDescent="0.45">
      <c r="E453"/>
      <c r="F453"/>
    </row>
    <row r="454" spans="5:6" x14ac:dyDescent="0.45">
      <c r="E454"/>
      <c r="F454"/>
    </row>
    <row r="455" spans="5:6" x14ac:dyDescent="0.45">
      <c r="E455"/>
      <c r="F455"/>
    </row>
    <row r="456" spans="5:6" x14ac:dyDescent="0.45">
      <c r="E456"/>
      <c r="F456"/>
    </row>
    <row r="457" spans="5:6" x14ac:dyDescent="0.45">
      <c r="E457"/>
      <c r="F457"/>
    </row>
    <row r="458" spans="5:6" x14ac:dyDescent="0.45">
      <c r="E458"/>
      <c r="F458"/>
    </row>
    <row r="459" spans="5:6" x14ac:dyDescent="0.45">
      <c r="E459"/>
      <c r="F459"/>
    </row>
    <row r="460" spans="5:6" x14ac:dyDescent="0.45">
      <c r="E460"/>
      <c r="F460"/>
    </row>
    <row r="461" spans="5:6" x14ac:dyDescent="0.45">
      <c r="E461"/>
      <c r="F461"/>
    </row>
    <row r="462" spans="5:6" x14ac:dyDescent="0.45">
      <c r="E462"/>
      <c r="F462"/>
    </row>
    <row r="463" spans="5:6" x14ac:dyDescent="0.45">
      <c r="E463"/>
      <c r="F463"/>
    </row>
    <row r="464" spans="5:6" x14ac:dyDescent="0.45">
      <c r="E464"/>
      <c r="F464"/>
    </row>
    <row r="465" spans="5:6" x14ac:dyDescent="0.45">
      <c r="E465"/>
      <c r="F465"/>
    </row>
    <row r="466" spans="5:6" x14ac:dyDescent="0.45">
      <c r="E466"/>
      <c r="F466"/>
    </row>
    <row r="467" spans="5:6" x14ac:dyDescent="0.45">
      <c r="E467"/>
      <c r="F467"/>
    </row>
    <row r="468" spans="5:6" x14ac:dyDescent="0.45">
      <c r="E468"/>
      <c r="F468"/>
    </row>
    <row r="469" spans="5:6" x14ac:dyDescent="0.45">
      <c r="E469"/>
      <c r="F469"/>
    </row>
    <row r="470" spans="5:6" x14ac:dyDescent="0.45">
      <c r="E470"/>
      <c r="F470"/>
    </row>
    <row r="471" spans="5:6" x14ac:dyDescent="0.45">
      <c r="E471"/>
      <c r="F471"/>
    </row>
    <row r="472" spans="5:6" x14ac:dyDescent="0.45">
      <c r="E472"/>
      <c r="F472"/>
    </row>
    <row r="473" spans="5:6" x14ac:dyDescent="0.45">
      <c r="E473"/>
      <c r="F473"/>
    </row>
    <row r="474" spans="5:6" x14ac:dyDescent="0.45">
      <c r="E474"/>
      <c r="F474"/>
    </row>
    <row r="475" spans="5:6" x14ac:dyDescent="0.45">
      <c r="E475"/>
      <c r="F475"/>
    </row>
    <row r="476" spans="5:6" x14ac:dyDescent="0.45">
      <c r="E476"/>
      <c r="F476"/>
    </row>
    <row r="477" spans="5:6" x14ac:dyDescent="0.45">
      <c r="E477"/>
      <c r="F477"/>
    </row>
    <row r="478" spans="5:6" x14ac:dyDescent="0.45">
      <c r="E478"/>
      <c r="F478"/>
    </row>
    <row r="479" spans="5:6" x14ac:dyDescent="0.45">
      <c r="E479"/>
      <c r="F479"/>
    </row>
    <row r="480" spans="5:6" x14ac:dyDescent="0.45">
      <c r="E480"/>
      <c r="F480"/>
    </row>
    <row r="481" spans="5:6" x14ac:dyDescent="0.45">
      <c r="E481"/>
      <c r="F481"/>
    </row>
    <row r="482" spans="5:6" x14ac:dyDescent="0.45">
      <c r="E482"/>
      <c r="F482"/>
    </row>
    <row r="483" spans="5:6" x14ac:dyDescent="0.45">
      <c r="E483"/>
      <c r="F483"/>
    </row>
    <row r="484" spans="5:6" x14ac:dyDescent="0.45">
      <c r="E484"/>
      <c r="F484"/>
    </row>
    <row r="485" spans="5:6" x14ac:dyDescent="0.45">
      <c r="E485"/>
      <c r="F485"/>
    </row>
    <row r="486" spans="5:6" x14ac:dyDescent="0.45">
      <c r="E486"/>
      <c r="F486"/>
    </row>
    <row r="487" spans="5:6" x14ac:dyDescent="0.45">
      <c r="E487"/>
      <c r="F487"/>
    </row>
    <row r="488" spans="5:6" x14ac:dyDescent="0.45">
      <c r="E488"/>
      <c r="F488"/>
    </row>
    <row r="489" spans="5:6" x14ac:dyDescent="0.45">
      <c r="E489"/>
      <c r="F489"/>
    </row>
    <row r="490" spans="5:6" x14ac:dyDescent="0.45">
      <c r="E490"/>
      <c r="F490"/>
    </row>
    <row r="491" spans="5:6" x14ac:dyDescent="0.45">
      <c r="E491"/>
      <c r="F491"/>
    </row>
    <row r="492" spans="5:6" x14ac:dyDescent="0.45">
      <c r="E492"/>
      <c r="F492"/>
    </row>
    <row r="493" spans="5:6" x14ac:dyDescent="0.45">
      <c r="E493"/>
      <c r="F493"/>
    </row>
    <row r="494" spans="5:6" x14ac:dyDescent="0.45">
      <c r="E494"/>
      <c r="F494"/>
    </row>
    <row r="495" spans="5:6" x14ac:dyDescent="0.45">
      <c r="E495"/>
      <c r="F495"/>
    </row>
    <row r="496" spans="5:6" x14ac:dyDescent="0.45">
      <c r="E496"/>
      <c r="F496"/>
    </row>
    <row r="497" spans="5:6" x14ac:dyDescent="0.45">
      <c r="E497"/>
      <c r="F497"/>
    </row>
    <row r="498" spans="5:6" x14ac:dyDescent="0.45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fitToPage="1"/>
  </sheetPr>
  <dimension ref="A1:AN30"/>
  <sheetViews>
    <sheetView zoomScale="55" zoomScaleNormal="55" workbookViewId="0">
      <selection activeCell="J4" sqref="J4"/>
    </sheetView>
  </sheetViews>
  <sheetFormatPr defaultColWidth="8.69921875" defaultRowHeight="18" x14ac:dyDescent="0.45"/>
  <cols>
    <col min="1" max="8" width="10.59765625" style="111" customWidth="1"/>
    <col min="9" max="9" width="11.59765625" style="111" customWidth="1"/>
    <col min="10" max="26" width="10.59765625" style="111" customWidth="1"/>
    <col min="27" max="28" width="9.19921875" style="111" bestFit="1" customWidth="1"/>
    <col min="29" max="29" width="8.69921875" style="111"/>
    <col min="30" max="31" width="9.19921875" style="111" bestFit="1" customWidth="1"/>
    <col min="32" max="32" width="8.69921875" style="111"/>
    <col min="33" max="34" width="9.8984375" style="111" bestFit="1" customWidth="1"/>
    <col min="35" max="38" width="9.8984375" style="111" customWidth="1"/>
    <col min="39" max="39" width="8.69921875" style="111"/>
    <col min="40" max="40" width="9.8984375" style="111" bestFit="1" customWidth="1"/>
    <col min="41" max="16384" width="8.69921875" style="111"/>
  </cols>
  <sheetData>
    <row r="1" spans="1:35" ht="42.75" customHeight="1" x14ac:dyDescent="0.45">
      <c r="A1" s="192" t="s">
        <v>1640</v>
      </c>
      <c r="B1" s="192"/>
      <c r="C1" s="192"/>
      <c r="D1" s="192"/>
      <c r="E1" s="172">
        <f>日付設定!$B$1</f>
        <v>46534</v>
      </c>
      <c r="F1" s="172"/>
    </row>
    <row r="3" spans="1:35" ht="22.8" thickBot="1" x14ac:dyDescent="0.5">
      <c r="A3" s="109" t="s">
        <v>1353</v>
      </c>
    </row>
    <row r="4" spans="1:35" ht="51" customHeight="1" x14ac:dyDescent="0.45">
      <c r="A4" s="148"/>
      <c r="B4" s="173" t="s">
        <v>1336</v>
      </c>
      <c r="C4" s="174"/>
      <c r="D4" s="175"/>
      <c r="E4" s="176" t="s">
        <v>1334</v>
      </c>
      <c r="F4" s="174"/>
      <c r="G4" s="175"/>
    </row>
    <row r="5" spans="1:35" ht="51" customHeight="1" thickBot="1" x14ac:dyDescent="0.5">
      <c r="A5" s="52"/>
      <c r="B5" s="83" t="s">
        <v>1365</v>
      </c>
      <c r="C5" s="83" t="s">
        <v>2870</v>
      </c>
      <c r="D5" s="80" t="s">
        <v>2851</v>
      </c>
      <c r="E5" s="83" t="s">
        <v>1365</v>
      </c>
      <c r="F5" s="83" t="s">
        <v>2870</v>
      </c>
      <c r="G5" s="80" t="s">
        <v>2851</v>
      </c>
    </row>
    <row r="6" spans="1:35" ht="51" customHeight="1" thickTop="1" x14ac:dyDescent="0.45">
      <c r="A6" s="86" t="s">
        <v>2659</v>
      </c>
      <c r="B6" s="115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C6" s="115">
        <f>COUNTIFS('2025年度出願'!$M:$M,"&lt;="&amp;日付設定!$B$1,'2025年度出願'!$E:$E,日付設定!$E$2,'2025年度出願'!$Y:$Y,"&lt;&gt;"&amp;"")
+COUNTIFS('2025年度出願'!$M:$M,"&lt;="&amp;日付設定!$B$1,'2025年度出願'!$E:$E,日付設定!$E$2,'2025年度出願'!$Y:$Y,"="&amp;"",'2025年度出願'!$AR:$AR,"N")
+COUNTIFS('2025年度出願'!$M:$M,"&lt;="&amp;日付設定!$B$1,'2025年度出願'!$E:$E,日付設定!$E$2,'2025年度出願'!$Y:$Y,"="&amp;"",'2025年度出願'!$AR:$AR,"S",'2025年度出願'!$AS:$AS,"N")
-COUNTIFS('2025年度出願'!$M:$M,"&lt;="&amp;日付設定!$B$1,'2025年度出願'!$E:$E,日付設定!$E$2,'2025年度出願'!$T:$T,日付設定!$F$8,'2025年度出願'!$Y:$Y,"&lt;&gt;"&amp;"")
-COUNTIFS('2025年度出願'!$M:$M,"&lt;="&amp;日付設定!$B$1,'2025年度出願'!$E:$E,日付設定!$E$2,'2025年度出願'!$T:$T,日付設定!$F$8,'2025年度出願'!$Y:$Y,"="&amp;"",'2025年度出願'!$AR:$AR,"N")
-COUNTIFS('2025年度出願'!$M:$M,"&lt;="&amp;日付設定!$B$1,'2025年度出願'!$E:$E,日付設定!$E$2,'2025年度出願'!$T:$T,日付設定!$F$8,'2025年度出願'!$Y:$Y,"="&amp;"",'2025年度出願'!$AR:$AR,"S",'2025年度出願'!$AS:$AS,"N")
-COUNTIFS('2025年度出願'!$M:$M,"&lt;="&amp;日付設定!$B$1,'2025年度出願'!$E:$E,日付設定!$E$2,'2025年度出願'!$T:$T,日付設定!$F$11,'2025年度出願'!$Y:$Y,"&lt;&gt;"&amp;"")
-COUNTIFS('2025年度出願'!$M:$M,"&lt;="&amp;日付設定!$B$1,'2025年度出願'!$E:$E,日付設定!$E$2,'2025年度出願'!$T:$T,日付設定!$F$11,'2025年度出願'!$Y:$Y,"="&amp;"",'2025年度出願'!$AR:$AR,"N")
-COUNTIFS('2025年度出願'!$M:$M,"&lt;="&amp;日付設定!$B$1,'2025年度出願'!$E:$E,日付設定!$E$2,'2025年度出願'!$T:$T,日付設定!$F$11,'2025年度出願'!$Y:$Y,"="&amp;"",'2025年度出願'!$AR:$AR,"S",'2025年度出願'!$AS:$AS,"N")</f>
        <v>30</v>
      </c>
      <c r="D6" s="116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115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F6" s="115">
        <f>COUNTIFS('2025年度出願'!$M:$M,"&lt;="&amp;日付設定!$B$1,'2025年度出願'!$E:$E,日付設定!$E$3,'2025年度出願'!$Y:$Y,"&lt;&gt;"&amp;"")
+COUNTIFS('2025年度出願'!$M:$M,"&lt;="&amp;日付設定!$B$1,'2025年度出願'!$E:$E,日付設定!$E$3,'2025年度出願'!$Y:$Y,"="&amp;"",'2025年度出願'!$AR:$AR,"N")
+COUNTIFS('2025年度出願'!$M:$M,"&lt;="&amp;日付設定!$B$1,'2025年度出願'!$E:$E,日付設定!$E$3,'2025年度出願'!$Y:$Y,"="&amp;"",'2025年度出願'!$AR:$AR,"S",'2025年度出願'!$AS:$AS,"N")
-COUNTIFS('2025年度出願'!$M:$M,"&lt;="&amp;日付設定!$B$1,'2025年度出願'!$E:$E,日付設定!$E$3,'2025年度出願'!$T:$T,日付設定!$F$8,'2025年度出願'!$Y:$Y,"&lt;&gt;"&amp;"")
-COUNTIFS('2025年度出願'!$M:$M,"&lt;="&amp;日付設定!$B$1,'2025年度出願'!$E:$E,日付設定!$E$3,'2025年度出願'!$T:$T,日付設定!$F$8,'2025年度出願'!$Y:$Y,"="&amp;"",'2025年度出願'!$AR:$AR,"N")
-COUNTIFS('2025年度出願'!$M:$M,"&lt;="&amp;日付設定!$B$1,'2025年度出願'!$E:$E,日付設定!$E$3,'2025年度出願'!$T:$T,日付設定!$F$8,'2025年度出願'!$Y:$Y,"="&amp;"",'2025年度出願'!$AR:$AR,"S",'2025年度出願'!$AS:$AS,"N")
-COUNTIFS('2025年度出願'!$M:$M,"&lt;="&amp;日付設定!$B$1,'2025年度出願'!$E:$E,日付設定!$E$3,'2025年度出願'!$T:$T,日付設定!$F$11,'2025年度出願'!$Y:$Y,"&lt;&gt;"&amp;"")
-COUNTIFS('2025年度出願'!$M:$M,"&lt;="&amp;日付設定!$B$1,'2025年度出願'!$E:$E,日付設定!$E$3,'2025年度出願'!$T:$T,日付設定!$F$11,'2025年度出願'!$Y:$Y,"="&amp;"",'2025年度出願'!$AR:$AR,"N")
-COUNTIFS('2025年度出願'!$M:$M,"&lt;="&amp;日付設定!$B$1,'2025年度出願'!$E:$E,日付設定!$E$3,'2025年度出願'!$T:$T,日付設定!$F$11,'2025年度出願'!$Y:$Y,"="&amp;"",'2025年度出願'!$AR:$AR,"S",'2025年度出願'!$AS:$AS,"N")</f>
        <v>26</v>
      </c>
      <c r="G6" s="116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</row>
    <row r="7" spans="1:35" ht="51" customHeight="1" x14ac:dyDescent="0.45">
      <c r="A7" s="87" t="s">
        <v>2660</v>
      </c>
      <c r="B7" s="117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C7" s="117">
        <f>COUNTIFS('2024年度出願'!$M:$M,"&lt;="&amp;日付設定!$B$2,'2024年度出願'!$E:$E,日付設定!$E$2,'2024年度出願'!$Y:$Y,"&lt;&gt;"&amp;"")
+COUNTIFS('2024年度出願'!$M:$M,"&lt;="&amp;日付設定!$B$2,'2024年度出願'!$E:$E,日付設定!$E$2,'2024年度出願'!$Y:$Y,"="&amp;"",'2024年度出願'!$AR:$AR,"N")
+COUNTIFS('2024年度出願'!$M:$M,"&lt;="&amp;日付設定!$B$2,'2024年度出願'!$E:$E,日付設定!$E$2,'2024年度出願'!$Y:$Y,"="&amp;"",'2024年度出願'!$AR:$AR,"S",'2024年度出願'!$AS:$AS,"N")
-COUNTIFS('2024年度出願'!$M:$M,"&lt;="&amp;日付設定!$B$2,'2024年度出願'!$E:$E,日付設定!$E$2,'2024年度出願'!$T:$T,日付設定!$F$8,'2024年度出願'!$Y:$Y,"&lt;&gt;"&amp;"")
-COUNTIFS('2024年度出願'!$M:$M,"&lt;="&amp;日付設定!$B$2,'2024年度出願'!$E:$E,日付設定!$E$2,'2024年度出願'!$T:$T,日付設定!$F$8,'2024年度出願'!$Y:$Y,"="&amp;"",'2024年度出願'!$AR:$AR,"N")
-COUNTIFS('2024年度出願'!$M:$M,"&lt;="&amp;日付設定!$B$2,'2024年度出願'!$E:$E,日付設定!$E$2,'2024年度出願'!$T:$T,日付設定!$F$8,'2024年度出願'!$Y:$Y,"="&amp;"",'2024年度出願'!$AR:$AR,"S",'2024年度出願'!$AS:$AS,"N")
-COUNTIFS('2024年度出願'!$M:$M,"&lt;="&amp;日付設定!$B$2,'2024年度出願'!$E:$E,日付設定!$E$2,'2024年度出願'!$T:$T,日付設定!$F$11,'2024年度出願'!$Y:$Y,"&lt;&gt;"&amp;"")
-COUNTIFS('2024年度出願'!$M:$M,"&lt;="&amp;日付設定!$B$2,'2024年度出願'!$E:$E,日付設定!$E$2,'2024年度出願'!$T:$T,日付設定!$F$11,'2024年度出願'!$Y:$Y,"="&amp;"",'2024年度出願'!$AR:$AR,"N")
-COUNTIFS('2024年度出願'!$M:$M,"&lt;="&amp;日付設定!$B$2,'2024年度出願'!$E:$E,日付設定!$E$2,'2024年度出願'!$T:$T,日付設定!$F$11,'2024年度出願'!$Y:$Y,"="&amp;"",'2024年度出願'!$AR:$AR,"S",'2024年度出願'!$AS:$AS,"N")</f>
        <v>24</v>
      </c>
      <c r="D7" s="118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117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F7" s="117">
        <f>COUNTIFS('2024年度出願'!$M:$M,"&lt;="&amp;日付設定!$B$2,'2024年度出願'!$E:$E,日付設定!$E$3,'2024年度出願'!$Y:$Y,"&lt;&gt;"&amp;"")
+COUNTIFS('2024年度出願'!$M:$M,"&lt;="&amp;日付設定!$B$2,'2024年度出願'!$E:$E,日付設定!$E$3,'2024年度出願'!$Y:$Y,"="&amp;"",'2024年度出願'!$AR:$AR,"N")
+COUNTIFS('2024年度出願'!$M:$M,"&lt;="&amp;日付設定!$B$2,'2024年度出願'!$E:$E,日付設定!$E$3,'2024年度出願'!$Y:$Y,"="&amp;"",'2024年度出願'!$AR:$AR,"S",'2024年度出願'!$AS:$AS,"N")
-COUNTIFS('2024年度出願'!$M:$M,"&lt;="&amp;日付設定!$B$2,'2024年度出願'!$E:$E,日付設定!$E$3,'2024年度出願'!$T:$T,日付設定!$F$8,'2024年度出願'!$Y:$Y,"&lt;&gt;"&amp;"")
-COUNTIFS('2024年度出願'!$M:$M,"&lt;="&amp;日付設定!$B$2,'2024年度出願'!$E:$E,日付設定!$E$3,'2024年度出願'!$T:$T,日付設定!$F$8,'2024年度出願'!$Y:$Y,"="&amp;"",'2024年度出願'!$AR:$AR,"N")
-COUNTIFS('2024年度出願'!$M:$M,"&lt;="&amp;日付設定!$B$2,'2024年度出願'!$E:$E,日付設定!$E$3,'2024年度出願'!$T:$T,日付設定!$F$8,'2024年度出願'!$Y:$Y,"="&amp;"",'2024年度出願'!$AR:$AR,"S",'2024年度出願'!$AS:$AS,"N")
-COUNTIFS('2024年度出願'!$M:$M,"&lt;="&amp;日付設定!$B$2,'2024年度出願'!$E:$E,日付設定!$E$3,'2024年度出願'!$T:$T,日付設定!$F$11,'2024年度出願'!$Y:$Y,"&lt;&gt;"&amp;"")
-COUNTIFS('2024年度出願'!$M:$M,"&lt;="&amp;日付設定!$B$2,'2024年度出願'!$E:$E,日付設定!$E$3,'2024年度出願'!$T:$T,日付設定!$F$11,'2024年度出願'!$Y:$Y,"="&amp;"",'2024年度出願'!$AR:$AR,"N")
-COUNTIFS('2024年度出願'!$M:$M,"&lt;="&amp;日付設定!$B$2,'2024年度出願'!$E:$E,日付設定!$E$3,'2024年度出願'!$T:$T,日付設定!$F$11,'2024年度出願'!$Y:$Y,"="&amp;"",'2024年度出願'!$AR:$AR,"S",'2024年度出願'!$AS:$AS,"N")</f>
        <v>29</v>
      </c>
      <c r="G7" s="118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</row>
    <row r="8" spans="1:35" ht="51" customHeight="1" thickBot="1" x14ac:dyDescent="0.5">
      <c r="A8" s="88" t="s">
        <v>1335</v>
      </c>
      <c r="B8" s="107">
        <f t="shared" ref="B8:G8" si="0">B6-B7</f>
        <v>77</v>
      </c>
      <c r="C8" s="107">
        <f t="shared" si="0"/>
        <v>6</v>
      </c>
      <c r="D8" s="108">
        <f t="shared" si="0"/>
        <v>72</v>
      </c>
      <c r="E8" s="107">
        <f t="shared" si="0"/>
        <v>58</v>
      </c>
      <c r="F8" s="107">
        <f t="shared" si="0"/>
        <v>-3</v>
      </c>
      <c r="G8" s="108">
        <f t="shared" si="0"/>
        <v>61</v>
      </c>
    </row>
    <row r="9" spans="1:35" x14ac:dyDescent="0.45">
      <c r="R9" s="65"/>
    </row>
    <row r="11" spans="1:35" ht="22.8" thickBot="1" x14ac:dyDescent="0.5">
      <c r="A11" s="109" t="s">
        <v>1352</v>
      </c>
    </row>
    <row r="12" spans="1:35" ht="53.25" customHeight="1" x14ac:dyDescent="0.45">
      <c r="A12" s="146"/>
      <c r="B12" s="85"/>
      <c r="C12" s="177" t="s">
        <v>1643</v>
      </c>
      <c r="D12" s="178"/>
      <c r="E12" s="179"/>
      <c r="F12" s="177" t="s">
        <v>1644</v>
      </c>
      <c r="G12" s="178"/>
      <c r="H12" s="179"/>
      <c r="I12" s="177" t="s">
        <v>1342</v>
      </c>
      <c r="J12" s="178"/>
      <c r="K12" s="179"/>
      <c r="L12" s="177" t="s">
        <v>1347</v>
      </c>
      <c r="M12" s="178"/>
      <c r="N12" s="179"/>
      <c r="O12" s="177" t="s">
        <v>1357</v>
      </c>
      <c r="P12" s="178"/>
      <c r="Q12" s="179"/>
      <c r="R12" s="177" t="s">
        <v>1356</v>
      </c>
      <c r="S12" s="178"/>
      <c r="T12" s="179"/>
      <c r="U12" s="177" t="s">
        <v>1345</v>
      </c>
      <c r="V12" s="178"/>
      <c r="W12" s="179"/>
      <c r="X12" s="177" t="s">
        <v>1341</v>
      </c>
      <c r="Y12" s="178"/>
      <c r="Z12" s="179"/>
      <c r="AA12" s="177" t="s">
        <v>1346</v>
      </c>
      <c r="AB12" s="178"/>
      <c r="AC12" s="179"/>
      <c r="AD12" s="177" t="s">
        <v>1344</v>
      </c>
      <c r="AE12" s="178"/>
      <c r="AF12" s="179"/>
      <c r="AG12" s="177" t="s">
        <v>1333</v>
      </c>
      <c r="AH12" s="178"/>
      <c r="AI12" s="179"/>
    </row>
    <row r="13" spans="1:35" ht="53.25" customHeight="1" thickBot="1" x14ac:dyDescent="0.5">
      <c r="A13" s="147"/>
      <c r="B13" s="84"/>
      <c r="C13" s="83" t="s">
        <v>1365</v>
      </c>
      <c r="D13" s="83" t="s">
        <v>2870</v>
      </c>
      <c r="E13" s="80" t="s">
        <v>2851</v>
      </c>
      <c r="F13" s="83" t="s">
        <v>1365</v>
      </c>
      <c r="G13" s="83" t="s">
        <v>2870</v>
      </c>
      <c r="H13" s="80" t="s">
        <v>2851</v>
      </c>
      <c r="I13" s="83" t="s">
        <v>1365</v>
      </c>
      <c r="J13" s="83" t="s">
        <v>2870</v>
      </c>
      <c r="K13" s="80" t="s">
        <v>2851</v>
      </c>
      <c r="L13" s="83" t="s">
        <v>1365</v>
      </c>
      <c r="M13" s="83" t="s">
        <v>2870</v>
      </c>
      <c r="N13" s="80" t="s">
        <v>2851</v>
      </c>
      <c r="O13" s="83" t="s">
        <v>1365</v>
      </c>
      <c r="P13" s="83" t="s">
        <v>2870</v>
      </c>
      <c r="Q13" s="80" t="s">
        <v>2851</v>
      </c>
      <c r="R13" s="83" t="s">
        <v>1365</v>
      </c>
      <c r="S13" s="83" t="s">
        <v>2870</v>
      </c>
      <c r="T13" s="80" t="s">
        <v>2851</v>
      </c>
      <c r="U13" s="83" t="s">
        <v>1365</v>
      </c>
      <c r="V13" s="83" t="s">
        <v>2870</v>
      </c>
      <c r="W13" s="80" t="s">
        <v>2851</v>
      </c>
      <c r="X13" s="83" t="s">
        <v>1365</v>
      </c>
      <c r="Y13" s="83" t="s">
        <v>2870</v>
      </c>
      <c r="Z13" s="80" t="s">
        <v>2851</v>
      </c>
      <c r="AA13" s="83" t="s">
        <v>1365</v>
      </c>
      <c r="AB13" s="83" t="s">
        <v>2870</v>
      </c>
      <c r="AC13" s="80" t="s">
        <v>2851</v>
      </c>
      <c r="AD13" s="83" t="s">
        <v>1365</v>
      </c>
      <c r="AE13" s="83" t="s">
        <v>2870</v>
      </c>
      <c r="AF13" s="80" t="s">
        <v>2851</v>
      </c>
      <c r="AG13" s="83" t="s">
        <v>1365</v>
      </c>
      <c r="AH13" s="83" t="s">
        <v>2870</v>
      </c>
      <c r="AI13" s="80" t="s">
        <v>2851</v>
      </c>
    </row>
    <row r="14" spans="1:35" ht="53.25" customHeight="1" thickTop="1" x14ac:dyDescent="0.45">
      <c r="A14" s="181" t="s">
        <v>1340</v>
      </c>
      <c r="B14" s="33" t="s">
        <v>2659</v>
      </c>
      <c r="C14" s="119">
        <f>COUNTIFS('2025年度出願'!$M:$M,"&lt;="&amp;日付設定!$B$1,'2025年度出願'!$E:$E,日付設定!$E$2,'2025年度出願'!$T:$T,日付設定!$F$4,'2025年度出願'!$R:$R,2)</f>
        <v>68</v>
      </c>
      <c r="D14" s="120">
        <f>COUNTIFS('2025年度出願'!$M:$M,"&lt;="&amp;日付設定!$B$1,'2025年度出願'!$E:$E,日付設定!$E$2,'2025年度出願'!$T:$T,日付設定!$F$4,'2025年度出願'!$R:$R,2,'2025年度出願'!$Y:$Y,"&lt;&gt;"&amp;"")
+COUNTIFS('2025年度出願'!$M:$M,"&lt;="&amp;日付設定!$B$1,'2025年度出願'!$E:$E,日付設定!$E$2,'2025年度出願'!$T:$T,日付設定!$F$4,'2025年度出願'!$R:$R,2,'2025年度出願'!$Y:$Y,"="&amp;"",'2025年度出願'!$AR:$AR,"N")
+COUNTIFS('2025年度出願'!$M:$M,"&lt;="&amp;日付設定!$B$1,'2025年度出願'!$E:$E,日付設定!$E$2,'2025年度出願'!$T:$T,日付設定!$F$4,'2025年度出願'!$R:$R,2,'2025年度出願'!$Y:$Y,"="&amp;"",'2025年度出願'!$AR:$AR,"S",'2025年度出願'!$AS:$AS,"N")</f>
        <v>8</v>
      </c>
      <c r="E14" s="121">
        <f>COUNTIFS('2025年度出願'!$AA:$AA,"&lt;="&amp;日付設定!$B$1,'2025年度出願'!$AG:$AG,日付設定!$E$2,'2025年度出願'!$T:$T,日付設定!$F$4,'2025年度出願'!$R:$R,2)</f>
        <v>60</v>
      </c>
      <c r="F14" s="119">
        <f>COUNTIFS('2025年度出願'!$M:$M,"&lt;="&amp;日付設定!$B$1,'2025年度出願'!$E:$E,日付設定!$E$2,'2025年度出願'!$T:$T,日付設定!$F$4,'2025年度出願'!$R:$R,1)</f>
        <v>22</v>
      </c>
      <c r="G14" s="120">
        <f>COUNTIFS('2025年度出願'!$M:$M,"&lt;="&amp;日付設定!$B$1,'2025年度出願'!$E:$E,日付設定!$E$2,'2025年度出願'!$T:$T,日付設定!$F$4,'2025年度出願'!$R:$R,1,'2025年度出願'!$Y:$Y,"&lt;&gt;"&amp;"")
+COUNTIFS('2025年度出願'!$M:$M,"&lt;="&amp;日付設定!$B$1,'2025年度出願'!$E:$E,日付設定!$E$2,'2025年度出願'!$T:$T,日付設定!$F$4,'2025年度出願'!$R:$R,1,'2025年度出願'!$Y:$Y,"="&amp;"",'2025年度出願'!$AR:$AR,"N")
+COUNTIFS('2025年度出願'!$M:$M,"&lt;="&amp;日付設定!$B$1,'2025年度出願'!$E:$E,日付設定!$E$2,'2025年度出願'!$T:$T,日付設定!$F$4,'2025年度出願'!$R:$R,1,'2025年度出願'!$Y:$Y,"="&amp;"",'2025年度出願'!$AR:$AR,"S",'2025年度出願'!$AS:$AS,"N")</f>
        <v>10</v>
      </c>
      <c r="H14" s="121">
        <f>COUNTIFS('2025年度出願'!$AA:$AA,"&lt;="&amp;日付設定!$B$1,'2025年度出願'!$AG:$AG,日付設定!$E$2,'2025年度出願'!$T:$T,日付設定!$F$4,'2025年度出願'!$R:$R,1)</f>
        <v>12</v>
      </c>
      <c r="I14" s="119">
        <f>COUNTIFS('2025年度出願'!$M:$M,"&lt;="&amp;日付設定!$B$1,'2025年度出願'!$E:$E,日付設定!$E$2,'2025年度出願'!$T:$T,日付設定!$F$6)</f>
        <v>33</v>
      </c>
      <c r="J14" s="120">
        <f>COUNTIFS('2025年度出願'!$M:$M,"&lt;="&amp;日付設定!$B$1,'2025年度出願'!$E:$E,日付設定!$E$2,'2025年度出願'!$T:$T,日付設定!$F$6,'2025年度出願'!$Y:$Y,"&lt;&gt;"&amp;"")
+COUNTIFS('2025年度出願'!$M:$M,"&lt;="&amp;日付設定!$B$1,'2025年度出願'!$E:$E,日付設定!$E$2,'2025年度出願'!$T:$T,日付設定!$F$6,'2025年度出願'!$Y:$Y,"="&amp;"",'2025年度出願'!$AR:$AR,"N")
+COUNTIFS('2025年度出願'!$M:$M,"&lt;="&amp;日付設定!$B$1,'2025年度出願'!$E:$E,日付設定!$E$2,'2025年度出願'!$T:$T,日付設定!$F$6,'2025年度出願'!$Y:$Y,"="&amp;"",'2025年度出願'!$AR:$AR,"S",'2025年度出願'!$AS:$AS,"N")</f>
        <v>3</v>
      </c>
      <c r="K14" s="121">
        <f>COUNTIFS('2025年度出願'!$AA:$AA,"&lt;="&amp;日付設定!$B$1,'2025年度出願'!$AG:$AG,日付設定!$E$2,'2025年度出願'!$T:$T,日付設定!$F$6)</f>
        <v>30</v>
      </c>
      <c r="L14" s="119">
        <f>COUNTIFS('2025年度出願'!$M:$M,"&lt;="&amp;日付設定!$B$1,'2025年度出願'!$E:$E,日付設定!$E$2,'2025年度出願'!$T:$T,日付設定!$F$10)</f>
        <v>50</v>
      </c>
      <c r="M14" s="120">
        <f>COUNTIFS('2025年度出願'!$M:$M,"&lt;="&amp;日付設定!$B$1,'2025年度出願'!$E:$E,日付設定!$E$2,'2025年度出願'!$T:$T,日付設定!$F$10,'2025年度出願'!$Y:$Y,"&lt;&gt;"&amp;"")
+COUNTIFS('2025年度出願'!$M:$M,"&lt;="&amp;日付設定!$B$1,'2025年度出願'!$E:$E,日付設定!$E$2,'2025年度出願'!$T:$T,日付設定!$F$10,'2025年度出願'!$Y:$Y,"="&amp;"",'2025年度出願'!$AR:$AR,"N")
+COUNTIFS('2025年度出願'!$M:$M,"&lt;="&amp;日付設定!$B$1,'2025年度出願'!$E:$E,日付設定!$E$2,'2025年度出願'!$T:$T,日付設定!$F$10,'2025年度出願'!$Y:$Y,"="&amp;"",'2025年度出願'!$AR:$AR,"S",'2025年度出願'!$AS:$AS,"N")</f>
        <v>5</v>
      </c>
      <c r="N14" s="121">
        <f>COUNTIFS('2025年度出願'!$AA:$AA,"&lt;="&amp;日付設定!$B$1,'2025年度出願'!$AG:$AG,日付設定!$E$2,'2025年度出願'!$T:$T,日付設定!$F$10)</f>
        <v>45</v>
      </c>
      <c r="O14" s="119">
        <f>COUNTIFS('2025年度出願'!$M:$M,"&lt;="&amp;日付設定!$B$1,'2025年度出願'!$E:$E,日付設定!$E$2,'2025年度出願'!$Q:$Q,日付設定!$H$2)</f>
        <v>0</v>
      </c>
      <c r="P14" s="120">
        <f>COUNTIFS('2025年度出願'!$M:$M,"&lt;="&amp;日付設定!$B$1,'2025年度出願'!$E:$E,日付設定!$E$2,'2025年度出願'!$Q:$Q,日付設定!$H$2,'2025年度出願'!$Y:$Y,"&lt;&gt;"&amp;"")
+COUNTIFS('2025年度出願'!$M:$M,"&lt;="&amp;日付設定!$B$1,'2025年度出願'!$E:$E,日付設定!$E$2,'2025年度出願'!$Q:$Q,日付設定!$H$2,'2025年度出願'!$Y:$Y,"="&amp;"",'2025年度出願'!$AR:$AR,"N")
+COUNTIFS('2025年度出願'!$M:$M,"&lt;="&amp;日付設定!$B$1,'2025年度出願'!$E:$E,日付設定!$E$2,'2025年度出願'!$Q:$Q,日付設定!$H$2,'2025年度出願'!$Y:$Y,"="&amp;"",'2025年度出願'!$AR:$AR,"S",'2025年度出願'!$AS:$AS,"N")</f>
        <v>0</v>
      </c>
      <c r="Q14" s="121">
        <f>COUNTIFS('2025年度出願'!$AA:$AA,"&lt;="&amp;日付設定!$B$1,'2025年度出願'!$AG:$AG,日付設定!$E$2,'2025年度出願'!$Q:$Q,日付設定!$H$2)</f>
        <v>0</v>
      </c>
      <c r="R14" s="119">
        <f>COUNTIFS('2025年度出願'!$M:$M,"&lt;="&amp;日付設定!$B$1,'2025年度出願'!$E:$E,日付設定!$E$2,'2025年度出願'!$Q:$Q,日付設定!$G$2)</f>
        <v>0</v>
      </c>
      <c r="S14" s="120">
        <f>COUNTIFS('2025年度出願'!$M:$M,"&lt;="&amp;日付設定!$B$1,'2025年度出願'!$E:$E,日付設定!$E$2,'2025年度出願'!$Q:$Q,日付設定!$G$2,'2025年度出願'!$Y:$Y,"&lt;&gt;"&amp;"")
+COUNTIFS('2025年度出願'!$M:$M,"&lt;="&amp;日付設定!$B$1,'2025年度出願'!$E:$E,日付設定!$E$2,'2025年度出願'!$Q:$Q,日付設定!$G$2,'2025年度出願'!$Y:$Y,"="&amp;"",'2025年度出願'!$AR:$AR,"N")
+COUNTIFS('2025年度出願'!$M:$M,"&lt;="&amp;日付設定!$B$1,'2025年度出願'!$E:$E,日付設定!$E$2,'2025年度出願'!$Q:$Q,日付設定!$G$2,'2025年度出願'!$Y:$Y,"="&amp;"",'2025年度出願'!$AR:$AR,"S",'2025年度出願'!$AS:$AS,"N")</f>
        <v>0</v>
      </c>
      <c r="T14" s="121">
        <f>COUNTIFS('2025年度出願'!$AA:$AA,"&lt;="&amp;日付設定!$B$1,'2025年度出願'!$AG:$AG,日付設定!$E$2,'2025年度出願'!$Q:$Q,日付設定!$G$2)</f>
        <v>0</v>
      </c>
      <c r="U14" s="119">
        <f>COUNTIFS('2025年度出願'!$M:$M,"&lt;="&amp;日付設定!$B$1,'2025年度出願'!$E:$E,日付設定!$E$2,'2025年度出願'!$T:$T,日付設定!$F$3)</f>
        <v>0</v>
      </c>
      <c r="V14" s="120">
        <f>COUNTIFS('2025年度出願'!$M:$M,"&lt;="&amp;日付設定!$B$1,'2025年度出願'!$E:$E,日付設定!$E$2,'2025年度出願'!$T:$T,日付設定!$F$3,'2025年度出願'!$Y:$Y,"&lt;&gt;"&amp;"")
+COUNTIFS('2025年度出願'!$M:$M,"&lt;="&amp;日付設定!$B$1,'2025年度出願'!$E:$E,日付設定!$E$2,'2025年度出願'!$T:$T,日付設定!$F$3,'2025年度出願'!$Y:$Y,"="&amp;"",'2025年度出願'!$AR:$AR,"N")
+COUNTIFS('2025年度出願'!$M:$M,"&lt;="&amp;日付設定!$B$1,'2025年度出願'!$E:$E,日付設定!$E$2,'2025年度出願'!$T:$T,日付設定!$F$3,'2025年度出願'!$Y:$Y,"="&amp;"",'2025年度出願'!$AR:$AR,"S",'2025年度出願'!$AS:$AS,"N")</f>
        <v>0</v>
      </c>
      <c r="W14" s="121">
        <f>COUNTIFS('2025年度出願'!$AA:$AA,"&lt;="&amp;日付設定!$B$1,'2025年度出願'!$AG:$AG,日付設定!$E$2,'2025年度出願'!$T:$T,日付設定!$F$3)</f>
        <v>0</v>
      </c>
      <c r="X14" s="119">
        <f>COUNTIFS('2025年度出願'!$M:$M,"&lt;="&amp;日付設定!$B$1,'2025年度出願'!$E:$E,日付設定!$E$2,'2025年度出願'!$T:$T,日付設定!$F$5)</f>
        <v>24</v>
      </c>
      <c r="Y14" s="120">
        <f>COUNTIFS('2025年度出願'!$M:$M,"&lt;="&amp;日付設定!$B$1,'2025年度出願'!$E:$E,日付設定!$E$2,'2025年度出願'!$T:$T,日付設定!$F$5,'2025年度出願'!$Y:$Y,"&lt;&gt;"&amp;"")
+COUNTIFS('2025年度出願'!$M:$M,"&lt;="&amp;日付設定!$B$1,'2025年度出願'!$E:$E,日付設定!$E$2,'2025年度出願'!$T:$T,日付設定!$F$5,'2025年度出願'!$Y:$Y,"="&amp;"",'2025年度出願'!$AR:$AR,"N")
+COUNTIFS('2025年度出願'!$M:$M,"&lt;="&amp;日付設定!$B$1,'2025年度出願'!$E:$E,日付設定!$E$2,'2025年度出願'!$T:$T,日付設定!$F$5,'2025年度出願'!$Y:$Y,"="&amp;"",'2025年度出願'!$AR:$AR,"S",'2025年度出願'!$AS:$AS,"N")</f>
        <v>4</v>
      </c>
      <c r="Z14" s="121">
        <f>COUNTIFS('2025年度出願'!$AA:$AA,"&lt;="&amp;日付設定!$B$1,'2025年度出願'!$AG:$AG,日付設定!$E$2,'2025年度出願'!$T:$T,日付設定!$F$5)</f>
        <v>20</v>
      </c>
      <c r="AA14" s="119">
        <f>COUNTIFS('2025年度出願'!$M:$M,"&lt;="&amp;日付設定!$B$1,'2025年度出願'!$E:$E,日付設定!$E$2,'2025年度出願'!$T:$T,日付設定!$F$9)</f>
        <v>8</v>
      </c>
      <c r="AB14" s="120">
        <f>COUNTIFS('2025年度出願'!$M:$M,"&lt;="&amp;日付設定!$B$1,'2025年度出願'!$E:$E,日付設定!$E$2,'2025年度出願'!$T:$T,日付設定!$F$9,'2025年度出願'!$Y:$Y,"&lt;&gt;"&amp;"")
+COUNTIFS('2025年度出願'!$M:$M,"&lt;="&amp;日付設定!$B$1,'2025年度出願'!$E:$E,日付設定!$E$2,'2025年度出願'!$T:$T,日付設定!$F$9,'2025年度出願'!$Y:$Y,"="&amp;"",'2025年度出願'!$AR:$AR,"N")
+COUNTIFS('2025年度出願'!$M:$M,"&lt;="&amp;日付設定!$B$1,'2025年度出願'!$E:$E,日付設定!$E$2,'2025年度出願'!$T:$T,日付設定!$F$9,'2025年度出願'!$Y:$Y,"="&amp;"",'2025年度出願'!$AR:$AR,"S",'2025年度出願'!$AS:$AS,"N")</f>
        <v>0</v>
      </c>
      <c r="AC14" s="121">
        <f>COUNTIFS('2025年度出願'!$AA:$AA,"&lt;="&amp;日付設定!$B$1,'2025年度出願'!$AG:$AG,日付設定!$E$2,'2025年度出願'!$T:$T,日付設定!$F$9)</f>
        <v>8</v>
      </c>
      <c r="AD14" s="119">
        <f>COUNTIFS('2025年度出願'!$M:$M,"&lt;="&amp;日付設定!$B$1,'2025年度出願'!$E:$E,日付設定!$E$2,'2025年度出願'!$T:$T,日付設定!$F$7)</f>
        <v>0</v>
      </c>
      <c r="AE14" s="120">
        <f>COUNTIFS('2025年度出願'!$M:$M,"&lt;="&amp;日付設定!$B$1,'2025年度出願'!$E:$E,日付設定!$E$2,'2025年度出願'!$T:$T,日付設定!$F$7,'2025年度出願'!$Y:$Y,"&lt;&gt;"&amp;"")
+COUNTIFS('2025年度出願'!$M:$M,"&lt;="&amp;日付設定!$B$1,'2025年度出願'!$E:$E,日付設定!$E$2,'2025年度出願'!$T:$T,日付設定!$F$7,'2025年度出願'!$Y:$Y,"="&amp;"",'2025年度出願'!$AR:$AR,"N")
+COUNTIFS('2025年度出願'!$M:$M,"&lt;="&amp;日付設定!$B$1,'2025年度出願'!$E:$E,日付設定!$E$2,'2025年度出願'!$T:$T,日付設定!$F$7,'2025年度出願'!$Y:$Y,"="&amp;"",'2025年度出願'!$AR:$AR,"S",'2025年度出願'!$AS:$AS,"N")</f>
        <v>0</v>
      </c>
      <c r="AF14" s="121">
        <f>COUNTIFS('2025年度出願'!$AA:$AA,"&lt;="&amp;日付設定!$B$1,'2025年度出願'!$AG:$AG,日付設定!$E$2,'2025年度出願'!$T:$T,日付設定!$F$7)</f>
        <v>0</v>
      </c>
      <c r="AG14" s="119">
        <f t="shared" ref="AG14:AI19" si="1">SUM(C14,F14,I14,L14,O14,R14,U14,X14,AA14,AD14)</f>
        <v>205</v>
      </c>
      <c r="AH14" s="120">
        <f t="shared" si="1"/>
        <v>30</v>
      </c>
      <c r="AI14" s="121">
        <f t="shared" si="1"/>
        <v>175</v>
      </c>
    </row>
    <row r="15" spans="1:35" ht="53.25" customHeight="1" x14ac:dyDescent="0.45">
      <c r="A15" s="182"/>
      <c r="B15" s="32" t="s">
        <v>2660</v>
      </c>
      <c r="C15" s="122">
        <f>COUNTIFS('2024年度出願'!$M:$M,"&lt;="&amp;日付設定!$B$2,'2024年度出願'!$E:$E,日付設定!$E$2,'2024年度出願'!$T:$T,日付設定!$F$4,'2024年度出願'!$R:$R,2)</f>
        <v>56</v>
      </c>
      <c r="D15" s="123">
        <f>COUNTIFS('2024年度出願'!$M:$M,"&lt;="&amp;日付設定!$B$2,'2024年度出願'!$E:$E,日付設定!$E$2,'2024年度出願'!$T:$T,日付設定!$F$4,'2024年度出願'!$R:$R,2,'2024年度出願'!$Y:$Y,"&lt;&gt;"&amp;"")
+COUNTIFS('2024年度出願'!$M:$M,"&lt;="&amp;日付設定!$B$2,'2024年度出願'!$E:$E,日付設定!$E$2,'2024年度出願'!$T:$T,日付設定!$F$4,'2024年度出願'!$R:$R,2,'2024年度出願'!$Y:$Y,"="&amp;"",'2024年度出願'!$AR:$AR,"N")
+COUNTIFS('2024年度出願'!$M:$M,"&lt;="&amp;日付設定!$B$2,'2024年度出願'!$E:$E,日付設定!$E$2,'2024年度出願'!$T:$T,日付設定!$F$4,'2024年度出願'!$R:$R,2,'2024年度出願'!$Y:$Y,"="&amp;"",'2024年度出願'!$AR:$AR,"S",'2024年度出願'!$AS:$AS,"N")</f>
        <v>5</v>
      </c>
      <c r="E15" s="124">
        <f>COUNTIFS('2024年度出願'!$AA:$AA,"&lt;="&amp;日付設定!$B$2,'2024年度出願'!$AG:$AG,日付設定!$E$2,'2024年度出願'!$T:$T,日付設定!$F$4,'2024年度出願'!$R:$R,2)</f>
        <v>50</v>
      </c>
      <c r="F15" s="122">
        <f>COUNTIFS('2024年度出願'!$M:$M,"&lt;="&amp;日付設定!$B$2,'2024年度出願'!$E:$E,日付設定!$E$2,'2024年度出願'!$T:$T,日付設定!$F$4,'2024年度出願'!$R:$R,1)</f>
        <v>29</v>
      </c>
      <c r="G15" s="123">
        <f>COUNTIFS('2024年度出願'!$M:$M,"&lt;="&amp;日付設定!$B$2,'2024年度出願'!$E:$E,日付設定!$E$2,'2024年度出願'!$T:$T,日付設定!$F$4,'2024年度出願'!$R:$R,1,'2024年度出願'!$Y:$Y,"&lt;&gt;"&amp;"")
+COUNTIFS('2024年度出願'!$M:$M,"&lt;="&amp;日付設定!$B$2,'2024年度出願'!$E:$E,日付設定!$E$2,'2024年度出願'!$T:$T,日付設定!$F$4,'2024年度出願'!$R:$R,1,'2024年度出願'!$Y:$Y,"="&amp;"",'2024年度出願'!$AR:$AR,"N")
+COUNTIFS('2024年度出願'!$M:$M,"&lt;="&amp;日付設定!$B$2,'2024年度出願'!$E:$E,日付設定!$E$2,'2024年度出願'!$T:$T,日付設定!$F$4,'2024年度出願'!$R:$R,1,'2024年度出願'!$Y:$Y,"="&amp;"",'2024年度出願'!$AR:$AR,"S",'2024年度出願'!$AS:$AS,"N")</f>
        <v>16</v>
      </c>
      <c r="H15" s="124">
        <f>COUNTIFS('2024年度出願'!$AA:$AA,"&lt;="&amp;日付設定!$B$2,'2024年度出願'!$AG:$AG,日付設定!$E$2,'2024年度出願'!$T:$T,日付設定!$F$4,'2024年度出願'!$R:$R,1)</f>
        <v>13</v>
      </c>
      <c r="I15" s="122">
        <f>COUNTIFS('2024年度出願'!$M:$M,"&lt;="&amp;日付設定!$B$2,'2024年度出願'!$E:$E,日付設定!$E$2,'2024年度出願'!$T:$T,日付設定!$F$6)</f>
        <v>11</v>
      </c>
      <c r="J15" s="123">
        <f>COUNTIFS('2024年度出願'!$M:$M,"&lt;="&amp;日付設定!$B$2,'2024年度出願'!$E:$E,日付設定!$E$2,'2024年度出願'!$T:$T,日付設定!$F$6,'2024年度出願'!$Y:$Y,"&lt;&gt;"&amp;"")
+COUNTIFS('2024年度出願'!$M:$M,"&lt;="&amp;日付設定!$B$2,'2024年度出願'!$E:$E,日付設定!$E$2,'2024年度出願'!$T:$T,日付設定!$F$6,'2024年度出願'!$Y:$Y,"="&amp;"",'2024年度出願'!$AR:$AR,"N")
+COUNTIFS('2024年度出願'!$M:$M,"&lt;="&amp;日付設定!$B$2,'2024年度出願'!$E:$E,日付設定!$E$2,'2024年度出願'!$T:$T,日付設定!$F$6,'2024年度出願'!$Y:$Y,"="&amp;"",'2024年度出願'!$AR:$AR,"S",'2024年度出願'!$AS:$AS,"N")</f>
        <v>2</v>
      </c>
      <c r="K15" s="124">
        <f>COUNTIFS('2024年度出願'!$AA:$AA,"&lt;="&amp;日付設定!$B$2,'2024年度出願'!$AG:$AG,日付設定!$E$2,'2024年度出願'!$T:$T,日付設定!$F$6)</f>
        <v>9</v>
      </c>
      <c r="L15" s="122">
        <f>COUNTIFS('2024年度出願'!$M:$M,"&lt;="&amp;日付設定!$B$2,'2024年度出願'!$E:$E,日付設定!$E$2,'2024年度出願'!$T:$T,日付設定!$F$10)</f>
        <v>20</v>
      </c>
      <c r="M15" s="123">
        <f>COUNTIFS('2024年度出願'!$M:$M,"&lt;="&amp;日付設定!$B$2,'2024年度出願'!$E:$E,日付設定!$E$2,'2024年度出願'!$T:$T,日付設定!$F$10,'2024年度出願'!$Y:$Y,"&lt;&gt;"&amp;"")
+COUNTIFS('2024年度出願'!$M:$M,"&lt;="&amp;日付設定!$B$2,'2024年度出願'!$E:$E,日付設定!$E$2,'2024年度出願'!$T:$T,日付設定!$F$10,'2024年度出願'!$Y:$Y,"="&amp;"",'2024年度出願'!$AR:$AR,"N")
+COUNTIFS('2024年度出願'!$M:$M,"&lt;="&amp;日付設定!$B$2,'2024年度出願'!$E:$E,日付設定!$E$2,'2024年度出願'!$T:$T,日付設定!$F$10,'2024年度出願'!$Y:$Y,"="&amp;"",'2024年度出願'!$AR:$AR,"S",'2024年度出願'!$AS:$AS,"N")</f>
        <v>1</v>
      </c>
      <c r="N15" s="124">
        <f>COUNTIFS('2024年度出願'!$AA:$AA,"&lt;="&amp;日付設定!$B$2,'2024年度出願'!$AG:$AG,日付設定!$E$2,'2024年度出願'!$T:$T,日付設定!$F$10)</f>
        <v>19</v>
      </c>
      <c r="O15" s="122">
        <f>COUNTIFS('2024年度出願'!$M:$M,"&lt;="&amp;日付設定!$B$2,'2024年度出願'!$E:$E,日付設定!$E$2,'2024年度出願'!$Q:$Q,日付設定!$H$2)</f>
        <v>0</v>
      </c>
      <c r="P15" s="123">
        <f>COUNTIFS('2024年度出願'!$M:$M,"&lt;="&amp;日付設定!$B$2,'2024年度出願'!$E:$E,日付設定!$E$2,'2024年度出願'!$Q:$Q,日付設定!$H$2,'2024年度出願'!$Y:$Y,"&lt;&gt;"&amp;"")
+COUNTIFS('2024年度出願'!$M:$M,"&lt;="&amp;日付設定!$B$2,'2024年度出願'!$E:$E,日付設定!$E$2,'2024年度出願'!$Q:$Q,日付設定!$H$2,'2024年度出願'!$Y:$Y,"="&amp;"",'2024年度出願'!$AR:$AR,"N")
+COUNTIFS('2024年度出願'!$M:$M,"&lt;="&amp;日付設定!$B$2,'2024年度出願'!$E:$E,日付設定!$E$2,'2024年度出願'!$Q:$Q,日付設定!$H$2,'2024年度出願'!$Y:$Y,"="&amp;"",'2024年度出願'!$AR:$AR,"S",'2024年度出願'!$AS:$AS,"N")</f>
        <v>0</v>
      </c>
      <c r="Q15" s="124">
        <f>COUNTIFS('2024年度出願'!$AA:$AA,"&lt;="&amp;日付設定!$B$2,'2024年度出願'!$AG:$AG,日付設定!$E$2,'2024年度出願'!$Q:$Q,日付設定!$H$2)</f>
        <v>0</v>
      </c>
      <c r="R15" s="122">
        <f>COUNTIFS('2024年度出願'!$M:$M,"&lt;="&amp;日付設定!$B$2,'2024年度出願'!$E:$E,日付設定!$E$2,'2024年度出願'!$Q:$Q,日付設定!$G$2)</f>
        <v>0</v>
      </c>
      <c r="S15" s="123">
        <f>COUNTIFS('2024年度出願'!$M:$M,"&lt;="&amp;日付設定!$B$2,'2024年度出願'!$E:$E,日付設定!$E$2,'2024年度出願'!$Q:$Q,日付設定!$G$2,'2024年度出願'!$Y:$Y,"&lt;&gt;"&amp;"")
+COUNTIFS('2024年度出願'!$M:$M,"&lt;="&amp;日付設定!$B$2,'2024年度出願'!$E:$E,日付設定!$E$2,'2024年度出願'!$Q:$Q,日付設定!$G$2,'2024年度出願'!$Y:$Y,"="&amp;"",'2024年度出願'!$AR:$AR,"N")
+COUNTIFS('2024年度出願'!$M:$M,"&lt;="&amp;日付設定!$B$2,'2024年度出願'!$E:$E,日付設定!$E$2,'2024年度出願'!$Q:$Q,日付設定!$G$2,'2024年度出願'!$Y:$Y,"="&amp;"",'2024年度出願'!$AR:$AR,"S",'2024年度出願'!$AS:$AS,"N")</f>
        <v>0</v>
      </c>
      <c r="T15" s="124">
        <f>COUNTIFS('2024年度出願'!$AA:$AA,"&lt;="&amp;日付設定!$B$2,'2024年度出願'!$AG:$AG,日付設定!$E$2,'2024年度出願'!$Q:$Q,日付設定!$G$2)</f>
        <v>0</v>
      </c>
      <c r="U15" s="122">
        <f>COUNTIFS('2024年度出願'!$M:$M,"&lt;="&amp;日付設定!$B$2,'2024年度出願'!$E:$E,日付設定!$E$2,'2024年度出願'!$T:$T,日付設定!$F$3)</f>
        <v>0</v>
      </c>
      <c r="V15" s="123">
        <f>COUNTIFS('2024年度出願'!$M:$M,"&lt;="&amp;日付設定!$B$2,'2024年度出願'!$E:$E,日付設定!$E$2,'2024年度出願'!$T:$T,日付設定!$F$3,'2024年度出願'!$Y:$Y,"&lt;&gt;"&amp;"")
+COUNTIFS('2024年度出願'!$M:$M,"&lt;="&amp;日付設定!$B$2,'2024年度出願'!$E:$E,日付設定!$E$2,'2024年度出願'!$T:$T,日付設定!$F$3,'2024年度出願'!$Y:$Y,"="&amp;"",'2024年度出願'!$AR:$AR,"N")
+COUNTIFS('2024年度出願'!$M:$M,"&lt;="&amp;日付設定!$B$2,'2024年度出願'!$E:$E,日付設定!$E$2,'2024年度出願'!$T:$T,日付設定!$F$3,'2024年度出願'!$Y:$Y,"="&amp;"",'2024年度出願'!$AR:$AR,"S",'2024年度出願'!$AS:$AS,"N")</f>
        <v>0</v>
      </c>
      <c r="W15" s="124">
        <f>COUNTIFS('2024年度出願'!$AA:$AA,"&lt;="&amp;日付設定!$B$2,'2024年度出願'!$AG:$AG,日付設定!$E$2,'2024年度出願'!$T:$T,日付設定!$F$3)</f>
        <v>0</v>
      </c>
      <c r="X15" s="122">
        <f>COUNTIFS('2024年度出願'!$M:$M,"&lt;="&amp;日付設定!$B$2,'2024年度出願'!$E:$E,日付設定!$E$2,'2024年度出願'!$T:$T,日付設定!$F$5)</f>
        <v>6</v>
      </c>
      <c r="Y15" s="123">
        <f>COUNTIFS('2024年度出願'!$M:$M,"&lt;="&amp;日付設定!$B$2,'2024年度出願'!$E:$E,日付設定!$E$2,'2024年度出願'!$T:$T,日付設定!$F$5,'2024年度出願'!$Y:$Y,"&lt;&gt;"&amp;"")
+COUNTIFS('2024年度出願'!$M:$M,"&lt;="&amp;日付設定!$B$2,'2024年度出願'!$E:$E,日付設定!$E$2,'2024年度出願'!$T:$T,日付設定!$F$5,'2024年度出願'!$Y:$Y,"="&amp;"",'2024年度出願'!$AR:$AR,"N")
+COUNTIFS('2024年度出願'!$M:$M,"&lt;="&amp;日付設定!$B$2,'2024年度出願'!$E:$E,日付設定!$E$2,'2024年度出願'!$T:$T,日付設定!$F$5,'2024年度出願'!$Y:$Y,"="&amp;"",'2024年度出願'!$AR:$AR,"S",'2024年度出願'!$AS:$AS,"N")</f>
        <v>0</v>
      </c>
      <c r="Z15" s="124">
        <f>COUNTIFS('2024年度出願'!$AA:$AA,"&lt;="&amp;日付設定!$B$2,'2024年度出願'!$AG:$AG,日付設定!$E$2,'2024年度出願'!$T:$T,日付設定!$F$5)</f>
        <v>6</v>
      </c>
      <c r="AA15" s="122">
        <f>COUNTIFS('2024年度出願'!$M:$M,"&lt;="&amp;日付設定!$B$2,'2024年度出願'!$E:$E,日付設定!$E$2,'2024年度出願'!$T:$T,日付設定!$F$9)</f>
        <v>6</v>
      </c>
      <c r="AB15" s="123">
        <f>COUNTIFS('2024年度出願'!$M:$M,"&lt;="&amp;日付設定!$B$2,'2024年度出願'!$E:$E,日付設定!$E$2,'2024年度出願'!$T:$T,日付設定!$F$9,'2024年度出願'!$Y:$Y,"&lt;&gt;"&amp;"")
+COUNTIFS('2024年度出願'!$M:$M,"&lt;="&amp;日付設定!$B$2,'2024年度出願'!$E:$E,日付設定!$E$2,'2024年度出願'!$T:$T,日付設定!$F$9,'2024年度出願'!$Y:$Y,"="&amp;"",'2024年度出願'!$AR:$AR,"N")
+COUNTIFS('2024年度出願'!$M:$M,"&lt;="&amp;日付設定!$B$2,'2024年度出願'!$E:$E,日付設定!$E$2,'2024年度出願'!$T:$T,日付設定!$F$9,'2024年度出願'!$Y:$Y,"="&amp;"",'2024年度出願'!$AR:$AR,"S",'2024年度出願'!$AS:$AS,"N")</f>
        <v>0</v>
      </c>
      <c r="AC15" s="124">
        <f>COUNTIFS('2024年度出願'!$AA:$AA,"&lt;="&amp;日付設定!$B$2,'2024年度出願'!$AG:$AG,日付設定!$E$2,'2024年度出願'!$T:$T,日付設定!$F$9)</f>
        <v>6</v>
      </c>
      <c r="AD15" s="122">
        <f>COUNTIFS('2024年度出願'!$M:$M,"&lt;="&amp;日付設定!$B$2,'2024年度出願'!$E:$E,日付設定!$E$2,'2024年度出願'!$T:$T,日付設定!$F$7)</f>
        <v>0</v>
      </c>
      <c r="AE15" s="123">
        <f>COUNTIFS('2024年度出願'!$M:$M,"&lt;="&amp;日付設定!$B$2,'2024年度出願'!$E:$E,日付設定!$E$2,'2024年度出願'!$T:$T,日付設定!$F$7,'2024年度出願'!$Y:$Y,"&lt;&gt;"&amp;"")
+COUNTIFS('2024年度出願'!$M:$M,"&lt;="&amp;日付設定!$B$2,'2024年度出願'!$E:$E,日付設定!$E$2,'2024年度出願'!$T:$T,日付設定!$F$7,'2024年度出願'!$Y:$Y,"="&amp;"",'2024年度出願'!$AR:$AR,"N")
+COUNTIFS('2024年度出願'!$M:$M,"&lt;="&amp;日付設定!$B$2,'2024年度出願'!$E:$E,日付設定!$E$2,'2024年度出願'!$T:$T,日付設定!$F$7,'2024年度出願'!$Y:$Y,"="&amp;"",'2024年度出願'!$AR:$AR,"S",'2024年度出願'!$AS:$AS,"N")</f>
        <v>0</v>
      </c>
      <c r="AF15" s="124">
        <f>COUNTIFS('2024年度出願'!$AA:$AA,"&lt;="&amp;日付設定!$B$2,'2024年度出願'!$AG:$AG,日付設定!$E$2,'2024年度出願'!$T:$T,日付設定!$F$7)</f>
        <v>0</v>
      </c>
      <c r="AG15" s="122">
        <f t="shared" si="1"/>
        <v>128</v>
      </c>
      <c r="AH15" s="123">
        <f>SUM(D15,G15,J15,M15,P15,S15,V15,Y15,AB15,AE15)</f>
        <v>24</v>
      </c>
      <c r="AI15" s="124">
        <f t="shared" si="1"/>
        <v>103</v>
      </c>
    </row>
    <row r="16" spans="1:35" ht="53.25" customHeight="1" thickBot="1" x14ac:dyDescent="0.5">
      <c r="A16" s="183"/>
      <c r="B16" s="19" t="s">
        <v>1335</v>
      </c>
      <c r="C16" s="125">
        <f t="shared" ref="C16:AF16" si="2">C14-C15</f>
        <v>12</v>
      </c>
      <c r="D16" s="126">
        <f t="shared" si="2"/>
        <v>3</v>
      </c>
      <c r="E16" s="127">
        <f t="shared" si="2"/>
        <v>10</v>
      </c>
      <c r="F16" s="125">
        <f t="shared" si="2"/>
        <v>-7</v>
      </c>
      <c r="G16" s="126">
        <f t="shared" si="2"/>
        <v>-6</v>
      </c>
      <c r="H16" s="127">
        <f t="shared" si="2"/>
        <v>-1</v>
      </c>
      <c r="I16" s="125">
        <f t="shared" si="2"/>
        <v>22</v>
      </c>
      <c r="J16" s="126">
        <f t="shared" si="2"/>
        <v>1</v>
      </c>
      <c r="K16" s="127">
        <f t="shared" si="2"/>
        <v>21</v>
      </c>
      <c r="L16" s="125">
        <f t="shared" si="2"/>
        <v>30</v>
      </c>
      <c r="M16" s="126">
        <f t="shared" si="2"/>
        <v>4</v>
      </c>
      <c r="N16" s="127">
        <f t="shared" si="2"/>
        <v>26</v>
      </c>
      <c r="O16" s="125">
        <f t="shared" si="2"/>
        <v>0</v>
      </c>
      <c r="P16" s="126">
        <f t="shared" si="2"/>
        <v>0</v>
      </c>
      <c r="Q16" s="127">
        <f t="shared" si="2"/>
        <v>0</v>
      </c>
      <c r="R16" s="125">
        <f t="shared" si="2"/>
        <v>0</v>
      </c>
      <c r="S16" s="126">
        <f t="shared" si="2"/>
        <v>0</v>
      </c>
      <c r="T16" s="127">
        <f t="shared" si="2"/>
        <v>0</v>
      </c>
      <c r="U16" s="125">
        <f t="shared" si="2"/>
        <v>0</v>
      </c>
      <c r="V16" s="126">
        <f t="shared" si="2"/>
        <v>0</v>
      </c>
      <c r="W16" s="127">
        <f t="shared" si="2"/>
        <v>0</v>
      </c>
      <c r="X16" s="125">
        <f t="shared" si="2"/>
        <v>18</v>
      </c>
      <c r="Y16" s="126">
        <f t="shared" si="2"/>
        <v>4</v>
      </c>
      <c r="Z16" s="127">
        <f t="shared" si="2"/>
        <v>14</v>
      </c>
      <c r="AA16" s="125">
        <f t="shared" si="2"/>
        <v>2</v>
      </c>
      <c r="AB16" s="126">
        <f t="shared" si="2"/>
        <v>0</v>
      </c>
      <c r="AC16" s="127">
        <f t="shared" si="2"/>
        <v>2</v>
      </c>
      <c r="AD16" s="125">
        <f t="shared" si="2"/>
        <v>0</v>
      </c>
      <c r="AE16" s="126">
        <f t="shared" si="2"/>
        <v>0</v>
      </c>
      <c r="AF16" s="127">
        <f t="shared" si="2"/>
        <v>0</v>
      </c>
      <c r="AG16" s="125">
        <f t="shared" si="1"/>
        <v>77</v>
      </c>
      <c r="AH16" s="126">
        <f t="shared" si="1"/>
        <v>6</v>
      </c>
      <c r="AI16" s="127">
        <f t="shared" si="1"/>
        <v>72</v>
      </c>
    </row>
    <row r="17" spans="1:40" ht="53.25" customHeight="1" x14ac:dyDescent="0.45">
      <c r="A17" s="184" t="s">
        <v>1334</v>
      </c>
      <c r="B17" s="15" t="s">
        <v>2659</v>
      </c>
      <c r="C17" s="128">
        <f>COUNTIFS('2025年度出願'!$M:$M,"&lt;="&amp;日付設定!$B$1,'2025年度出願'!$E:$E,日付設定!$E$3,'2025年度出願'!$T:$T,日付設定!$F$4,'2025年度出願'!$R:$R,2)</f>
        <v>57</v>
      </c>
      <c r="D17" s="129">
        <f>COUNTIFS('2025年度出願'!$M:$M,"&lt;="&amp;日付設定!$B$1,'2025年度出願'!$E:$E,日付設定!$E$3,'2025年度出願'!$T:$T,日付設定!$F$4,'2025年度出願'!$R:$R,2,'2025年度出願'!$Y:$Y,"&lt;&gt;"&amp;"")
+COUNTIFS('2025年度出願'!$M:$M,"&lt;="&amp;日付設定!$B$1,'2025年度出願'!$E:$E,日付設定!$E$3,'2025年度出願'!$T:$T,日付設定!$F$4,'2025年度出願'!$R:$R,2,'2025年度出願'!$Y:$Y,"="&amp;"",'2025年度出願'!$AR:$AR,"N")
+COUNTIFS('2025年度出願'!$M:$M,"&lt;="&amp;日付設定!$B$1,'2025年度出願'!$E:$E,日付設定!$E$3,'2025年度出願'!$T:$T,日付設定!$F$4,'2025年度出願'!$R:$R,2,'2025年度出願'!$Y:$Y,"="&amp;"",'2025年度出願'!$AR:$AR,"S",'2025年度出願'!$AS:$AS,"N")</f>
        <v>12</v>
      </c>
      <c r="E17" s="130">
        <f>COUNTIFS('2025年度出願'!$AA:$AA,"&lt;="&amp;日付設定!$B$1,'2025年度出願'!$AG:$AG,日付設定!$E$3,'2025年度出願'!$T:$T,日付設定!$F$4,'2025年度出願'!$R:$R,2)</f>
        <v>45</v>
      </c>
      <c r="F17" s="128">
        <f>COUNTIFS('2025年度出願'!$M:$M,"&lt;="&amp;日付設定!$B$1,'2025年度出願'!$E:$E,日付設定!$E$3,'2025年度出願'!$T:$T,日付設定!$F$4,'2025年度出願'!$R:$R,1)</f>
        <v>17</v>
      </c>
      <c r="G17" s="129">
        <f>COUNTIFS('2025年度出願'!$M:$M,"&lt;="&amp;日付設定!$B$1,'2025年度出願'!$E:$E,日付設定!$E$3,'2025年度出願'!$T:$T,日付設定!$F$4,'2025年度出願'!$R:$R,1,'2025年度出願'!$Y:$Y,"&lt;&gt;"&amp;"")
+COUNTIFS('2025年度出願'!$M:$M,"&lt;="&amp;日付設定!$B$1,'2025年度出願'!$E:$E,日付設定!$E$3,'2025年度出願'!$T:$T,日付設定!$F$4,'2025年度出願'!$R:$R,1,'2025年度出願'!$Y:$Y,"="&amp;"",'2025年度出願'!$AR:$AR,"N")
+COUNTIFS('2025年度出願'!$M:$M,"&lt;="&amp;日付設定!$B$1,'2025年度出願'!$E:$E,日付設定!$E$3,'2025年度出願'!$T:$T,日付設定!$F$4,'2025年度出願'!$R:$R,1,'2025年度出願'!$Y:$Y,"="&amp;"",'2025年度出願'!$AR:$AR,"S",'2025年度出願'!$AS:$AS,"N")</f>
        <v>7</v>
      </c>
      <c r="H17" s="130">
        <f>COUNTIFS('2025年度出願'!$AA:$AA,"&lt;="&amp;日付設定!$B$1,'2025年度出願'!$AG:$AG,日付設定!$E$3,'2025年度出願'!$T:$T,日付設定!$F$4,'2025年度出願'!$R:$R,1)</f>
        <v>10</v>
      </c>
      <c r="I17" s="128">
        <f>COUNTIFS('2025年度出願'!$M:$M,"&lt;="&amp;日付設定!$B$1,'2025年度出願'!$E:$E,日付設定!$E$3,'2025年度出願'!$T:$T,日付設定!$F$6)</f>
        <v>23</v>
      </c>
      <c r="J17" s="129">
        <f>COUNTIFS('2025年度出願'!$M:$M,"&lt;="&amp;日付設定!$B$1,'2025年度出願'!$E:$E,日付設定!$E$3,'2025年度出願'!$T:$T,日付設定!$F$6,'2025年度出願'!$Y:$Y,"&lt;&gt;"&amp;"")
+COUNTIFS('2025年度出願'!$M:$M,"&lt;="&amp;日付設定!$B$1,'2025年度出願'!$E:$E,日付設定!$E$3,'2025年度出願'!$T:$T,日付設定!$F$6,'2025年度出願'!$Y:$Y,"="&amp;"",'2025年度出願'!$AR:$AR,"N")
+COUNTIFS('2025年度出願'!$M:$M,"&lt;="&amp;日付設定!$B$1,'2025年度出願'!$E:$E,日付設定!$E$3,'2025年度出願'!$T:$T,日付設定!$F$6,'2025年度出願'!$Y:$Y,"="&amp;"",'2025年度出願'!$AR:$AR,"S",'2025年度出願'!$AS:$AS,"N")</f>
        <v>2</v>
      </c>
      <c r="K17" s="130">
        <f>COUNTIFS('2025年度出願'!$AA:$AA,"&lt;="&amp;日付設定!$B$1,'2025年度出願'!$AG:$AG,日付設定!$E$3,'2025年度出願'!$T:$T,日付設定!$F$6)</f>
        <v>21</v>
      </c>
      <c r="L17" s="128">
        <f>COUNTIFS('2025年度出願'!$M:$M,"&lt;="&amp;日付設定!$B$1,'2025年度出願'!$E:$E,日付設定!$E$3,'2025年度出願'!$T:$T,日付設定!$F$10)</f>
        <v>1</v>
      </c>
      <c r="M17" s="129">
        <f>COUNTIFS('2025年度出願'!$M:$M,"&lt;="&amp;日付設定!$B$1,'2025年度出願'!$E:$E,日付設定!$E$3,'2025年度出願'!$T:$T,日付設定!$F$10,'2025年度出願'!$Y:$Y,"&lt;&gt;"&amp;"")
+COUNTIFS('2025年度出願'!$M:$M,"&lt;="&amp;日付設定!$B$1,'2025年度出願'!$E:$E,日付設定!$E$3,'2025年度出願'!$T:$T,日付設定!$F$10,'2025年度出願'!$Y:$Y,"="&amp;"",'2025年度出願'!$AR:$AR,"N")
+COUNTIFS('2025年度出願'!$M:$M,"&lt;="&amp;日付設定!$B$1,'2025年度出願'!$E:$E,日付設定!$E$3,'2025年度出願'!$T:$T,日付設定!$F$10,'2025年度出願'!$Y:$Y,"="&amp;"",'2025年度出願'!$AR:$AR,"S",'2025年度出願'!$AS:$AS,"N")</f>
        <v>0</v>
      </c>
      <c r="N17" s="130">
        <f>COUNTIFS('2025年度出願'!$AA:$AA,"&lt;="&amp;日付設定!$B$1,'2025年度出願'!$AG:$AG,日付設定!$E$3,'2025年度出願'!$T:$T,日付設定!$F$10)</f>
        <v>1</v>
      </c>
      <c r="O17" s="128">
        <f>COUNTIFS('2025年度出願'!$M:$M,"&lt;="&amp;日付設定!$B$1,'2025年度出願'!$E:$E,日付設定!$E$3,'2025年度出願'!$Q:$Q,日付設定!$H$2)</f>
        <v>11</v>
      </c>
      <c r="P17" s="129">
        <f>COUNTIFS('2025年度出願'!$M:$M,"&lt;="&amp;日付設定!$B$1,'2025年度出願'!$E:$E,日付設定!$E$3,'2025年度出願'!$Q:$Q,日付設定!$H$2,'2025年度出願'!$Y:$Y,"&lt;&gt;"&amp;"")
+COUNTIFS('2025年度出願'!$M:$M,"&lt;="&amp;日付設定!$B$1,'2025年度出願'!$E:$E,日付設定!$E$3,'2025年度出願'!$Q:$Q,日付設定!$H$2,'2025年度出願'!$Y:$Y,"="&amp;"",'2025年度出願'!$AR:$AR,"N")
+COUNTIFS('2025年度出願'!$M:$M,"&lt;="&amp;日付設定!$B$1,'2025年度出願'!$E:$E,日付設定!$E$3,'2025年度出願'!$Q:$Q,日付設定!$H$2,'2025年度出願'!$Y:$Y,"="&amp;"",'2025年度出願'!$AR:$AR,"S",'2025年度出願'!$AS:$AS,"N")</f>
        <v>0</v>
      </c>
      <c r="Q17" s="130">
        <f>COUNTIFS('2025年度出願'!$AA:$AA,"&lt;="&amp;日付設定!$B$1,'2025年度出願'!$AG:$AG,日付設定!$E$3,'2025年度出願'!$Q:$Q,日付設定!$H$2)</f>
        <v>11</v>
      </c>
      <c r="R17" s="128">
        <f>COUNTIFS('2025年度出願'!$M:$M,"&lt;="&amp;日付設定!$B$1,'2025年度出願'!$E:$E,日付設定!$E$3,'2025年度出願'!$Q:$Q,日付設定!$G$2)</f>
        <v>30</v>
      </c>
      <c r="S17" s="129">
        <f>COUNTIFS('2025年度出願'!$M:$M,"&lt;="&amp;日付設定!$B$1,'2025年度出願'!$E:$E,日付設定!$E$3,'2025年度出願'!$Q:$Q,日付設定!$G$2,'2025年度出願'!$Y:$Y,"&lt;&gt;"&amp;"")
+COUNTIFS('2025年度出願'!$M:$M,"&lt;="&amp;日付設定!$B$1,'2025年度出願'!$E:$E,日付設定!$E$3,'2025年度出願'!$Q:$Q,日付設定!$G$2,'2025年度出願'!$Y:$Y,"="&amp;"",'2025年度出願'!$AR:$AR,"N")
+COUNTIFS('2025年度出願'!$M:$M,"&lt;="&amp;日付設定!$B$1,'2025年度出願'!$E:$E,日付設定!$E$3,'2025年度出願'!$Q:$Q,日付設定!$G$2,'2025年度出願'!$Y:$Y,"="&amp;"",'2025年度出願'!$AR:$AR,"S",'2025年度出願'!$AS:$AS,"N")</f>
        <v>4</v>
      </c>
      <c r="T17" s="130">
        <f>COUNTIFS('2025年度出願'!$AA:$AA,"&lt;="&amp;日付設定!$B$1,'2025年度出願'!$AG:$AG,日付設定!$E$3,'2025年度出願'!$Q:$Q,日付設定!$G$2)</f>
        <v>26</v>
      </c>
      <c r="U17" s="128">
        <f>COUNTIFS('2025年度出願'!$M:$M,"&lt;="&amp;日付設定!$B$1,'2025年度出願'!$E:$E,日付設定!$E$3,'2025年度出願'!$T:$T,日付設定!$F$3)</f>
        <v>18</v>
      </c>
      <c r="V17" s="129">
        <f>COUNTIFS('2025年度出願'!$M:$M,"&lt;="&amp;日付設定!$B$1,'2025年度出願'!$E:$E,日付設定!$E$3,'2025年度出願'!$T:$T,日付設定!$F$3,'2025年度出願'!$Y:$Y,"&lt;&gt;"&amp;"")
+COUNTIFS('2025年度出願'!$M:$M,"&lt;="&amp;日付設定!$B$1,'2025年度出願'!$E:$E,日付設定!$E$3,'2025年度出願'!$T:$T,日付設定!$F$3,'2025年度出願'!$Y:$Y,"="&amp;"",'2025年度出願'!$AR:$AR,"N")
+COUNTIFS('2025年度出願'!$M:$M,"&lt;="&amp;日付設定!$B$1,'2025年度出願'!$E:$E,日付設定!$E$3,'2025年度出願'!$T:$T,日付設定!$F$3,'2025年度出願'!$Y:$Y,"="&amp;"",'2025年度出願'!$AR:$AR,"S",'2025年度出願'!$AS:$AS,"N")</f>
        <v>0</v>
      </c>
      <c r="W17" s="130">
        <f>COUNTIFS('2025年度出願'!$AA:$AA,"&lt;="&amp;日付設定!$B$1,'2025年度出願'!$AG:$AG,日付設定!$E$3,'2025年度出願'!$T:$T,日付設定!$F$3)</f>
        <v>18</v>
      </c>
      <c r="X17" s="128">
        <f>COUNTIFS('2025年度出願'!$M:$M,"&lt;="&amp;日付設定!$B$1,'2025年度出願'!$E:$E,日付設定!$E$3,'2025年度出願'!$T:$T,日付設定!$F$5)</f>
        <v>25</v>
      </c>
      <c r="Y17" s="129">
        <f>COUNTIFS('2025年度出願'!$M:$M,"&lt;="&amp;日付設定!$B$1,'2025年度出願'!$E:$E,日付設定!$E$3,'2025年度出願'!$T:$T,日付設定!$F$5,'2025年度出願'!$Y:$Y,"&lt;&gt;"&amp;"")
+COUNTIFS('2025年度出願'!$M:$M,"&lt;="&amp;日付設定!$B$1,'2025年度出願'!$E:$E,日付設定!$E$3,'2025年度出願'!$T:$T,日付設定!$F$5,'2025年度出願'!$Y:$Y,"="&amp;"",'2025年度出願'!$AR:$AR,"N")
+COUNTIFS('2025年度出願'!$M:$M,"&lt;="&amp;日付設定!$B$1,'2025年度出願'!$E:$E,日付設定!$E$3,'2025年度出願'!$T:$T,日付設定!$F$5,'2025年度出願'!$Y:$Y,"="&amp;"",'2025年度出願'!$AR:$AR,"S",'2025年度出願'!$AS:$AS,"N")</f>
        <v>0</v>
      </c>
      <c r="Z17" s="130">
        <f>COUNTIFS('2025年度出願'!$AA:$AA,"&lt;="&amp;日付設定!$B$1,'2025年度出願'!$AG:$AG,日付設定!$E$3,'2025年度出願'!$T:$T,日付設定!$F$5)</f>
        <v>25</v>
      </c>
      <c r="AA17" s="128">
        <f>COUNTIFS('2025年度出願'!$M:$M,"&lt;="&amp;日付設定!$B$1,'2025年度出願'!$E:$E,日付設定!$E$3,'2025年度出願'!$T:$T,日付設定!$F$9)</f>
        <v>10</v>
      </c>
      <c r="AB17" s="129">
        <f>COUNTIFS('2025年度出願'!$M:$M,"&lt;="&amp;日付設定!$B$1,'2025年度出願'!$E:$E,日付設定!$E$3,'2025年度出願'!$T:$T,日付設定!$F$9,'2025年度出願'!$Y:$Y,"&lt;&gt;"&amp;"")
+COUNTIFS('2025年度出願'!$M:$M,"&lt;="&amp;日付設定!$B$1,'2025年度出願'!$E:$E,日付設定!$E$3,'2025年度出願'!$T:$T,日付設定!$F$9,'2025年度出願'!$Y:$Y,"="&amp;"",'2025年度出願'!$AR:$AR,"N")
+COUNTIFS('2025年度出願'!$M:$M,"&lt;="&amp;日付設定!$B$1,'2025年度出願'!$E:$E,日付設定!$E$3,'2025年度出願'!$T:$T,日付設定!$F$9,'2025年度出願'!$Y:$Y,"="&amp;"",'2025年度出願'!$AR:$AR,"S",'2025年度出願'!$AS:$AS,"N")</f>
        <v>0</v>
      </c>
      <c r="AC17" s="130">
        <f>COUNTIFS('2025年度出願'!$AA:$AA,"&lt;="&amp;日付設定!$B$1,'2025年度出願'!$AG:$AG,日付設定!$E$3,'2025年度出願'!$T:$T,日付設定!$F$9)</f>
        <v>10</v>
      </c>
      <c r="AD17" s="128">
        <f>COUNTIFS('2025年度出願'!$M:$M,"&lt;="&amp;日付設定!$B$1,'2025年度出願'!$E:$E,日付設定!$E$3,'2025年度出願'!$T:$T,日付設定!$F$7)</f>
        <v>12</v>
      </c>
      <c r="AE17" s="129">
        <f>COUNTIFS('2025年度出願'!$M:$M,"&lt;="&amp;日付設定!$B$1,'2025年度出願'!$E:$E,日付設定!$E$3,'2025年度出願'!$T:$T,日付設定!$F$7,'2025年度出願'!$Y:$Y,"&lt;&gt;"&amp;"")
+COUNTIFS('2025年度出願'!$M:$M,"&lt;="&amp;日付設定!$B$1,'2025年度出願'!$E:$E,日付設定!$E$3,'2025年度出願'!$T:$T,日付設定!$F$7,'2025年度出願'!$Y:$Y,"="&amp;"",'2025年度出願'!$AR:$AR,"N")
+COUNTIFS('2025年度出願'!$M:$M,"&lt;="&amp;日付設定!$B$1,'2025年度出願'!$E:$E,日付設定!$E$3,'2025年度出願'!$T:$T,日付設定!$F$7,'2025年度出願'!$Y:$Y,"="&amp;"",'2025年度出願'!$AR:$AR,"S",'2025年度出願'!$AS:$AS,"N")</f>
        <v>1</v>
      </c>
      <c r="AF17" s="130">
        <f>COUNTIFS('2025年度出願'!$AA:$AA,"&lt;="&amp;日付設定!$B$1,'2025年度出願'!$AG:$AG,日付設定!$E$3,'2025年度出願'!$T:$T,日付設定!$F$7)</f>
        <v>11</v>
      </c>
      <c r="AG17" s="128">
        <f t="shared" si="1"/>
        <v>204</v>
      </c>
      <c r="AH17" s="131">
        <f t="shared" si="1"/>
        <v>26</v>
      </c>
      <c r="AI17" s="130">
        <f t="shared" si="1"/>
        <v>178</v>
      </c>
    </row>
    <row r="18" spans="1:40" ht="53.25" customHeight="1" x14ac:dyDescent="0.45">
      <c r="A18" s="182"/>
      <c r="B18" s="17" t="s">
        <v>2660</v>
      </c>
      <c r="C18" s="132">
        <f>COUNTIFS('2024年度出願'!$M:$M,"&lt;="&amp;日付設定!$B$2,'2024年度出願'!$E:$E,日付設定!$E$3,'2024年度出願'!$T:$T,日付設定!$F$4,'2024年度出願'!$R:$R,2)</f>
        <v>44</v>
      </c>
      <c r="D18" s="123">
        <f>COUNTIFS('2024年度出願'!$M:$M,"&lt;="&amp;日付設定!$B$1,'2024年度出願'!$E:$E,日付設定!$E$3,'2024年度出願'!$T:$T,日付設定!$F$4,'2024年度出願'!$R:$R,2,'2024年度出願'!$Y:$Y,"&lt;&gt;"&amp;"")
+COUNTIFS('2024年度出願'!$M:$M,"&lt;="&amp;日付設定!$B$1,'2024年度出願'!$E:$E,日付設定!$E$3,'2024年度出願'!$T:$T,日付設定!$F$4,'2024年度出願'!$R:$R,2,'2024年度出願'!$Y:$Y,"="&amp;"",'2024年度出願'!$AR:$AR,"N")
+COUNTIFS('2024年度出願'!$M:$M,"&lt;="&amp;日付設定!$B$1,'2024年度出願'!$E:$E,日付設定!$E$3,'2024年度出願'!$T:$T,日付設定!$F$4,'2024年度出願'!$R:$R,2,'2024年度出願'!$Y:$Y,"="&amp;"",'2024年度出願'!$AR:$AR,"S",'2024年度出願'!$AS:$AS,"N")</f>
        <v>9</v>
      </c>
      <c r="E18" s="133">
        <f>COUNTIFS('2024年度出願'!$AA:$AA,"&lt;="&amp;日付設定!$B$2,'2024年度出願'!$AG:$AG,日付設定!$E$3,'2024年度出願'!$T:$T,日付設定!$F$4,'2024年度出願'!$R:$R,2)</f>
        <v>35</v>
      </c>
      <c r="F18" s="132">
        <f>COUNTIFS('2024年度出願'!$M:$M,"&lt;="&amp;日付設定!$B$2,'2024年度出願'!$E:$E,日付設定!$E$3,'2024年度出願'!$T:$T,日付設定!$F$4,'2024年度出願'!$R:$R,1)</f>
        <v>16</v>
      </c>
      <c r="G18" s="123">
        <f>COUNTIFS('2024年度出願'!$M:$M,"&lt;="&amp;日付設定!$B$1,'2024年度出願'!$E:$E,日付設定!$E$3,'2024年度出願'!$T:$T,日付設定!$F$4,'2024年度出願'!$R:$R,1,'2024年度出願'!$Y:$Y,"&lt;&gt;"&amp;"")
+COUNTIFS('2024年度出願'!$M:$M,"&lt;="&amp;日付設定!$B$1,'2024年度出願'!$E:$E,日付設定!$E$3,'2024年度出願'!$T:$T,日付設定!$F$4,'2024年度出願'!$R:$R,1,'2024年度出願'!$Y:$Y,"="&amp;"",'2024年度出願'!$AR:$AR,"N")
+COUNTIFS('2024年度出願'!$M:$M,"&lt;="&amp;日付設定!$B$1,'2024年度出願'!$E:$E,日付設定!$E$3,'2024年度出願'!$T:$T,日付設定!$F$4,'2024年度出願'!$R:$R,1,'2024年度出願'!$Y:$Y,"="&amp;"",'2024年度出願'!$AR:$AR,"S",'2024年度出願'!$AS:$AS,"N")</f>
        <v>14</v>
      </c>
      <c r="H18" s="133">
        <f>COUNTIFS('2024年度出願'!$AA:$AA,"&lt;="&amp;日付設定!$B$2,'2024年度出願'!$AG:$AG,日付設定!$E$3,'2024年度出願'!$T:$T,日付設定!$F$4,'2024年度出願'!$R:$R,1)</f>
        <v>2</v>
      </c>
      <c r="I18" s="132">
        <f>COUNTIFS('2024年度出願'!$M:$M,"&lt;="&amp;日付設定!$B$2,'2024年度出願'!$E:$E,日付設定!$E$3,'2024年度出願'!$T:$T,日付設定!$F$6)</f>
        <v>9</v>
      </c>
      <c r="J18" s="123">
        <f>COUNTIFS('2024年度出願'!$M:$M,"&lt;="&amp;日付設定!$B$1,'2024年度出願'!$E:$E,日付設定!$E$3,'2024年度出願'!$T:$T,日付設定!$F$6,'2024年度出願'!$Y:$Y,"&lt;&gt;"&amp;"")
+COUNTIFS('2024年度出願'!$M:$M,"&lt;="&amp;日付設定!$B$1,'2024年度出願'!$E:$E,日付設定!$E$3,'2024年度出願'!$T:$T,日付設定!$F$6,'2024年度出願'!$Y:$Y,"="&amp;"",'2024年度出願'!$AR:$AR,"N")
+COUNTIFS('2024年度出願'!$M:$M,"&lt;="&amp;日付設定!$B$1,'2024年度出願'!$E:$E,日付設定!$E$3,'2024年度出願'!$T:$T,日付設定!$F$6,'2024年度出願'!$Y:$Y,"="&amp;"",'2024年度出願'!$AR:$AR,"S",'2024年度出願'!$AS:$AS,"N")</f>
        <v>1</v>
      </c>
      <c r="K18" s="133">
        <f>COUNTIFS('2024年度出願'!$AA:$AA,"&lt;="&amp;日付設定!$B$2,'2024年度出願'!$AG:$AG,日付設定!$E$3,'2024年度出願'!$T:$T,日付設定!$F$6)</f>
        <v>8</v>
      </c>
      <c r="L18" s="132">
        <f>COUNTIFS('2024年度出願'!$M:$M,"&lt;="&amp;日付設定!$B$2,'2024年度出願'!$E:$E,日付設定!$E$3,'2024年度出願'!$T:$T,日付設定!$F$10)</f>
        <v>3</v>
      </c>
      <c r="M18" s="123">
        <f>COUNTIFS('2024年度出願'!$M:$M,"&lt;="&amp;日付設定!$B$1,'2024年度出願'!$E:$E,日付設定!$E$3,'2024年度出願'!$T:$T,日付設定!$F$10,'2024年度出願'!$Y:$Y,"&lt;&gt;"&amp;"")
+COUNTIFS('2024年度出願'!$M:$M,"&lt;="&amp;日付設定!$B$1,'2024年度出願'!$E:$E,日付設定!$E$3,'2024年度出願'!$T:$T,日付設定!$F$10,'2024年度出願'!$Y:$Y,"="&amp;"",'2024年度出願'!$AR:$AR,"N")
+COUNTIFS('2024年度出願'!$M:$M,"&lt;="&amp;日付設定!$B$1,'2024年度出願'!$E:$E,日付設定!$E$3,'2024年度出願'!$T:$T,日付設定!$F$10,'2024年度出願'!$Y:$Y,"="&amp;"",'2024年度出願'!$AR:$AR,"S",'2024年度出願'!$AS:$AS,"N")</f>
        <v>1</v>
      </c>
      <c r="N18" s="133">
        <f>COUNTIFS('2024年度出願'!$AA:$AA,"&lt;="&amp;日付設定!$B$2,'2024年度出願'!$AG:$AG,日付設定!$E$3,'2024年度出願'!$T:$T,日付設定!$F$10)</f>
        <v>2</v>
      </c>
      <c r="O18" s="132">
        <f>COUNTIFS('2024年度出願'!$M:$M,"&lt;="&amp;日付設定!$B$2,'2024年度出願'!$E:$E,日付設定!$E$3,'2024年度出願'!$Q:$Q,日付設定!$H$2)</f>
        <v>8</v>
      </c>
      <c r="P18" s="123">
        <f>COUNTIFS('2024年度出願'!$M:$M,"&lt;="&amp;日付設定!$B$1,'2024年度出願'!$E:$E,日付設定!$E$3,'2024年度出願'!$Q:$Q,日付設定!$H$2,'2024年度出願'!$Y:$Y,"&lt;&gt;"&amp;"")
+COUNTIFS('2024年度出願'!$M:$M,"&lt;="&amp;日付設定!$B$1,'2024年度出願'!$E:$E,日付設定!$E$3,'2024年度出願'!$Q:$Q,日付設定!$H$2,'2024年度出願'!$Y:$Y,"="&amp;"",'2024年度出願'!$AR:$AR,"N")
+COUNTIFS('2024年度出願'!$M:$M,"&lt;="&amp;日付設定!$B$1,'2024年度出願'!$E:$E,日付設定!$E$3,'2024年度出願'!$Q:$Q,日付設定!$H$2,'2024年度出願'!$Y:$Y,"="&amp;"",'2024年度出願'!$AR:$AR,"S",'2024年度出願'!$AS:$AS,"N")</f>
        <v>1</v>
      </c>
      <c r="Q18" s="133">
        <f>COUNTIFS('2024年度出願'!$AA:$AA,"&lt;="&amp;日付設定!$B$2,'2024年度出願'!$AG:$AG,日付設定!$E$3,'2024年度出願'!$Q:$Q,日付設定!$H$2)</f>
        <v>7</v>
      </c>
      <c r="R18" s="132">
        <f>COUNTIFS('2024年度出願'!$M:$M,"&lt;="&amp;日付設定!$B$2,'2024年度出願'!$E:$E,日付設定!$E$3,'2024年度出願'!$Q:$Q,日付設定!$G$2)</f>
        <v>14</v>
      </c>
      <c r="S18" s="123">
        <f>COUNTIFS('2024年度出願'!$M:$M,"&lt;="&amp;日付設定!$B$1,'2024年度出願'!$E:$E,日付設定!$E$3,'2024年度出願'!$Q:$Q,日付設定!$G$2,'2024年度出願'!$Y:$Y,"&lt;&gt;"&amp;"")
+COUNTIFS('2024年度出願'!$M:$M,"&lt;="&amp;日付設定!$B$1,'2024年度出願'!$E:$E,日付設定!$E$3,'2024年度出願'!$Q:$Q,日付設定!$G$2,'2024年度出願'!$Y:$Y,"="&amp;"",'2024年度出願'!$AR:$AR,"N")
+COUNTIFS('2024年度出願'!$M:$M,"&lt;="&amp;日付設定!$B$1,'2024年度出願'!$E:$E,日付設定!$E$3,'2024年度出願'!$Q:$Q,日付設定!$G$2,'2024年度出願'!$Y:$Y,"="&amp;"",'2024年度出願'!$AR:$AR,"S",'2024年度出願'!$AS:$AS,"N")</f>
        <v>0</v>
      </c>
      <c r="T18" s="133">
        <f>COUNTIFS('2024年度出願'!$AA:$AA,"&lt;="&amp;日付設定!$B$2,'2024年度出願'!$AG:$AG,日付設定!$E$3,'2024年度出願'!$Q:$Q,日付設定!$G$2)</f>
        <v>14</v>
      </c>
      <c r="U18" s="132">
        <f>COUNTIFS('2024年度出願'!$M:$M,"&lt;="&amp;日付設定!$B$2,'2024年度出願'!$E:$E,日付設定!$E$3,'2024年度出願'!$T:$T,日付設定!$F$3)</f>
        <v>21</v>
      </c>
      <c r="V18" s="123">
        <f>COUNTIFS('2024年度出願'!$M:$M,"&lt;="&amp;日付設定!$B$1,'2024年度出願'!$E:$E,日付設定!$E$3,'2024年度出願'!$T:$T,日付設定!$F$3,'2024年度出願'!$Y:$Y,"&lt;&gt;"&amp;"")
+COUNTIFS('2024年度出願'!$M:$M,"&lt;="&amp;日付設定!$B$1,'2024年度出願'!$E:$E,日付設定!$E$3,'2024年度出願'!$T:$T,日付設定!$F$3,'2024年度出願'!$Y:$Y,"="&amp;"",'2024年度出願'!$AR:$AR,"N")
+COUNTIFS('2024年度出願'!$M:$M,"&lt;="&amp;日付設定!$B$1,'2024年度出願'!$E:$E,日付設定!$E$3,'2024年度出願'!$T:$T,日付設定!$F$3,'2024年度出願'!$Y:$Y,"="&amp;"",'2024年度出願'!$AR:$AR,"S",'2024年度出願'!$AS:$AS,"N")</f>
        <v>1</v>
      </c>
      <c r="W18" s="133">
        <f>COUNTIFS('2024年度出願'!$AA:$AA,"&lt;="&amp;日付設定!$B$2,'2024年度出願'!$AG:$AG,日付設定!$E$3,'2024年度出願'!$T:$T,日付設定!$F$3)</f>
        <v>20</v>
      </c>
      <c r="X18" s="132">
        <f>COUNTIFS('2024年度出願'!$M:$M,"&lt;="&amp;日付設定!$B$2,'2024年度出願'!$E:$E,日付設定!$E$3,'2024年度出願'!$T:$T,日付設定!$F$5)</f>
        <v>14</v>
      </c>
      <c r="Y18" s="123">
        <f>COUNTIFS('2024年度出願'!$M:$M,"&lt;="&amp;日付設定!$B$1,'2024年度出願'!$E:$E,日付設定!$E$3,'2024年度出願'!$T:$T,日付設定!$F$5,'2024年度出願'!$Y:$Y,"&lt;&gt;"&amp;"")
+COUNTIFS('2024年度出願'!$M:$M,"&lt;="&amp;日付設定!$B$1,'2024年度出願'!$E:$E,日付設定!$E$3,'2024年度出願'!$T:$T,日付設定!$F$5,'2024年度出願'!$Y:$Y,"="&amp;"",'2024年度出願'!$AR:$AR,"N")
+COUNTIFS('2024年度出願'!$M:$M,"&lt;="&amp;日付設定!$B$1,'2024年度出願'!$E:$E,日付設定!$E$3,'2024年度出願'!$T:$T,日付設定!$F$5,'2024年度出願'!$Y:$Y,"="&amp;"",'2024年度出願'!$AR:$AR,"S",'2024年度出願'!$AS:$AS,"N")</f>
        <v>0</v>
      </c>
      <c r="Z18" s="133">
        <f>COUNTIFS('2024年度出願'!$AA:$AA,"&lt;="&amp;日付設定!$B$2,'2024年度出願'!$AG:$AG,日付設定!$E$3,'2024年度出願'!$T:$T,日付設定!$F$5)</f>
        <v>14</v>
      </c>
      <c r="AA18" s="132">
        <f>COUNTIFS('2024年度出願'!$M:$M,"&lt;="&amp;日付設定!$B$2,'2024年度出願'!$E:$E,日付設定!$E$3,'2024年度出願'!$T:$T,日付設定!$F$9)</f>
        <v>11</v>
      </c>
      <c r="AB18" s="123">
        <f>COUNTIFS('2024年度出願'!$M:$M,"&lt;="&amp;日付設定!$B$1,'2024年度出願'!$E:$E,日付設定!$E$3,'2024年度出願'!$T:$T,日付設定!$F$9,'2024年度出願'!$Y:$Y,"&lt;&gt;"&amp;"")
+COUNTIFS('2024年度出願'!$M:$M,"&lt;="&amp;日付設定!$B$1,'2024年度出願'!$E:$E,日付設定!$E$3,'2024年度出願'!$T:$T,日付設定!$F$9,'2024年度出願'!$Y:$Y,"="&amp;"",'2024年度出願'!$AR:$AR,"N")
+COUNTIFS('2024年度出願'!$M:$M,"&lt;="&amp;日付設定!$B$1,'2024年度出願'!$E:$E,日付設定!$E$3,'2024年度出願'!$T:$T,日付設定!$F$9,'2024年度出願'!$Y:$Y,"="&amp;"",'2024年度出願'!$AR:$AR,"S",'2024年度出願'!$AS:$AS,"N")</f>
        <v>2</v>
      </c>
      <c r="AC18" s="133">
        <f>COUNTIFS('2024年度出願'!$AA:$AA,"&lt;="&amp;日付設定!$B$2,'2024年度出願'!$AG:$AG,日付設定!$E$3,'2024年度出願'!$T:$T,日付設定!$F$9)</f>
        <v>9</v>
      </c>
      <c r="AD18" s="132">
        <f>COUNTIFS('2024年度出願'!$M:$M,"&lt;="&amp;日付設定!$B$2,'2024年度出願'!$E:$E,日付設定!$E$3,'2024年度出願'!$T:$T,日付設定!$F$7)</f>
        <v>6</v>
      </c>
      <c r="AE18" s="123">
        <f>COUNTIFS('2024年度出願'!$M:$M,"&lt;="&amp;日付設定!$B$1,'2024年度出願'!$E:$E,日付設定!$E$3,'2024年度出願'!$T:$T,日付設定!$F$7,'2024年度出願'!$Y:$Y,"&lt;&gt;"&amp;"")
+COUNTIFS('2024年度出願'!$M:$M,"&lt;="&amp;日付設定!$B$1,'2024年度出願'!$E:$E,日付設定!$E$3,'2024年度出願'!$T:$T,日付設定!$F$7,'2024年度出願'!$Y:$Y,"="&amp;"",'2024年度出願'!$AR:$AR,"N")
+COUNTIFS('2024年度出願'!$M:$M,"&lt;="&amp;日付設定!$B$1,'2024年度出願'!$E:$E,日付設定!$E$3,'2024年度出願'!$T:$T,日付設定!$F$7,'2024年度出願'!$Y:$Y,"="&amp;"",'2024年度出願'!$AR:$AR,"S",'2024年度出願'!$AS:$AS,"N")</f>
        <v>0</v>
      </c>
      <c r="AF18" s="133">
        <f>COUNTIFS('2024年度出願'!$AA:$AA,"&lt;="&amp;日付設定!$B$2,'2024年度出願'!$AG:$AG,日付設定!$E$3,'2024年度出願'!$T:$T,日付設定!$F$7)</f>
        <v>6</v>
      </c>
      <c r="AG18" s="132">
        <f t="shared" si="1"/>
        <v>146</v>
      </c>
      <c r="AH18" s="134">
        <f t="shared" si="1"/>
        <v>29</v>
      </c>
      <c r="AI18" s="133">
        <f t="shared" si="1"/>
        <v>117</v>
      </c>
    </row>
    <row r="19" spans="1:40" ht="53.25" customHeight="1" thickBot="1" x14ac:dyDescent="0.5">
      <c r="A19" s="183"/>
      <c r="B19" s="19" t="s">
        <v>1335</v>
      </c>
      <c r="C19" s="95">
        <f>C17-C18</f>
        <v>13</v>
      </c>
      <c r="D19" s="96">
        <f t="shared" ref="D19:Q19" si="3">D17-D18</f>
        <v>3</v>
      </c>
      <c r="E19" s="97">
        <f t="shared" si="3"/>
        <v>10</v>
      </c>
      <c r="F19" s="95">
        <f>F17-F18</f>
        <v>1</v>
      </c>
      <c r="G19" s="96">
        <f t="shared" si="3"/>
        <v>-7</v>
      </c>
      <c r="H19" s="97">
        <f t="shared" si="3"/>
        <v>8</v>
      </c>
      <c r="I19" s="95">
        <f>I17-I18</f>
        <v>14</v>
      </c>
      <c r="J19" s="96">
        <f t="shared" si="3"/>
        <v>1</v>
      </c>
      <c r="K19" s="97">
        <f t="shared" si="3"/>
        <v>13</v>
      </c>
      <c r="L19" s="95">
        <f>L17-L18</f>
        <v>-2</v>
      </c>
      <c r="M19" s="96">
        <f t="shared" si="3"/>
        <v>-1</v>
      </c>
      <c r="N19" s="97">
        <f t="shared" si="3"/>
        <v>-1</v>
      </c>
      <c r="O19" s="95">
        <f>O17-O18</f>
        <v>3</v>
      </c>
      <c r="P19" s="96">
        <f t="shared" si="3"/>
        <v>-1</v>
      </c>
      <c r="Q19" s="97">
        <f t="shared" si="3"/>
        <v>4</v>
      </c>
      <c r="R19" s="95">
        <f>R17-R18</f>
        <v>16</v>
      </c>
      <c r="S19" s="96">
        <f>S17-S18</f>
        <v>4</v>
      </c>
      <c r="T19" s="97">
        <f>T17-T18</f>
        <v>12</v>
      </c>
      <c r="U19" s="95">
        <f>U17-U18</f>
        <v>-3</v>
      </c>
      <c r="V19" s="96">
        <f t="shared" ref="V19:AC19" si="4">V17-V18</f>
        <v>-1</v>
      </c>
      <c r="W19" s="97">
        <f t="shared" si="4"/>
        <v>-2</v>
      </c>
      <c r="X19" s="95">
        <f>X17-X18</f>
        <v>11</v>
      </c>
      <c r="Y19" s="96">
        <f t="shared" si="4"/>
        <v>0</v>
      </c>
      <c r="Z19" s="97">
        <f t="shared" si="4"/>
        <v>11</v>
      </c>
      <c r="AA19" s="95">
        <f>AA17-AA18</f>
        <v>-1</v>
      </c>
      <c r="AB19" s="96">
        <f t="shared" si="4"/>
        <v>-2</v>
      </c>
      <c r="AC19" s="97">
        <f t="shared" si="4"/>
        <v>1</v>
      </c>
      <c r="AD19" s="95">
        <f>AD17-AD18</f>
        <v>6</v>
      </c>
      <c r="AE19" s="96">
        <f>AE17-AE18</f>
        <v>1</v>
      </c>
      <c r="AF19" s="97">
        <f>AF17-AF18</f>
        <v>5</v>
      </c>
      <c r="AG19" s="95">
        <f t="shared" si="1"/>
        <v>58</v>
      </c>
      <c r="AH19" s="96">
        <f t="shared" si="1"/>
        <v>-3</v>
      </c>
      <c r="AI19" s="97">
        <f t="shared" si="1"/>
        <v>61</v>
      </c>
      <c r="AM19" s="111">
        <f>COUNTIFS('2024年度出願'!$AA:$AA,"&gt;="&amp;DATE(2024-IF(11&lt;=4, 0,1),11,1),
'2024年度出願'!$AA:$AA,"&lt;="&amp;DATE(2024-IF(11&lt;=4, 0,1),11+1,1)-1,
'2024年度出願'!$AA:$AA,"&lt;="&amp;日付設定!$B$2,'2024年度出願'!$AG:$AG,日付設定!$E$2)</f>
        <v>27</v>
      </c>
      <c r="AN19" s="112">
        <f>COUNTIFS('2024年度出願'!$AA:$AA,"&gt;="&amp;DATE($B26-IF(R$23&lt;=4, 0,1),R$23,1),
'2024年度出願'!$AA:$AA,"&lt;="&amp;DATE($B26-IF(R$23&lt;=4, 0,1),R$23+1,1)-1,
'2024年度出願'!$AA:$AA,"&lt;="&amp;日付設定!$B$2,'2024年度出願'!$AG:$AG,日付設定!$E$2)</f>
        <v>0</v>
      </c>
    </row>
    <row r="21" spans="1:40" x14ac:dyDescent="0.45">
      <c r="W21" s="112"/>
      <c r="Y21" s="112"/>
    </row>
    <row r="22" spans="1:40" ht="22.8" thickBot="1" x14ac:dyDescent="0.5">
      <c r="A22" s="109" t="s">
        <v>1351</v>
      </c>
    </row>
    <row r="23" spans="1:40" ht="51.75" customHeight="1" x14ac:dyDescent="0.45">
      <c r="A23" s="47"/>
      <c r="B23" s="48"/>
      <c r="C23" s="191" t="s">
        <v>1298</v>
      </c>
      <c r="D23" s="178"/>
      <c r="E23" s="179"/>
      <c r="F23" s="177" t="s">
        <v>1299</v>
      </c>
      <c r="G23" s="178"/>
      <c r="H23" s="179"/>
      <c r="I23" s="177" t="s">
        <v>2861</v>
      </c>
      <c r="J23" s="178"/>
      <c r="K23" s="179"/>
      <c r="L23" s="177" t="s">
        <v>1364</v>
      </c>
      <c r="M23" s="178"/>
      <c r="N23" s="179"/>
      <c r="O23" s="177" t="s">
        <v>2862</v>
      </c>
      <c r="P23" s="178"/>
      <c r="Q23" s="179"/>
      <c r="R23" s="177" t="s">
        <v>2853</v>
      </c>
      <c r="S23" s="178"/>
      <c r="T23" s="179"/>
      <c r="U23" s="177" t="s">
        <v>2854</v>
      </c>
      <c r="V23" s="178"/>
      <c r="W23" s="179"/>
      <c r="X23" s="177" t="s">
        <v>2855</v>
      </c>
      <c r="Y23" s="178"/>
      <c r="Z23" s="179"/>
      <c r="AA23" s="177" t="s">
        <v>2856</v>
      </c>
      <c r="AB23" s="178"/>
      <c r="AC23" s="179"/>
      <c r="AD23" s="177" t="s">
        <v>2857</v>
      </c>
      <c r="AE23" s="178"/>
      <c r="AF23" s="179"/>
      <c r="AG23" s="177" t="s">
        <v>2858</v>
      </c>
      <c r="AH23" s="178"/>
      <c r="AI23" s="179"/>
      <c r="AJ23" s="177" t="s">
        <v>2860</v>
      </c>
      <c r="AK23" s="178"/>
      <c r="AL23" s="179"/>
    </row>
    <row r="24" spans="1:40" ht="51.75" customHeight="1" thickBot="1" x14ac:dyDescent="0.5">
      <c r="A24" s="49"/>
      <c r="B24" s="50"/>
      <c r="C24" s="135" t="s">
        <v>1365</v>
      </c>
      <c r="D24" s="83" t="s">
        <v>2870</v>
      </c>
      <c r="E24" s="80" t="s">
        <v>2851</v>
      </c>
      <c r="F24" s="83" t="s">
        <v>1365</v>
      </c>
      <c r="G24" s="83" t="s">
        <v>2870</v>
      </c>
      <c r="H24" s="80" t="s">
        <v>2851</v>
      </c>
      <c r="I24" s="83" t="s">
        <v>1365</v>
      </c>
      <c r="J24" s="83" t="s">
        <v>2870</v>
      </c>
      <c r="K24" s="80" t="s">
        <v>2851</v>
      </c>
      <c r="L24" s="83" t="s">
        <v>1365</v>
      </c>
      <c r="M24" s="83" t="s">
        <v>2870</v>
      </c>
      <c r="N24" s="80" t="s">
        <v>2851</v>
      </c>
      <c r="O24" s="83" t="s">
        <v>1365</v>
      </c>
      <c r="P24" s="83" t="s">
        <v>2870</v>
      </c>
      <c r="Q24" s="80" t="s">
        <v>2851</v>
      </c>
      <c r="R24" s="83" t="s">
        <v>1365</v>
      </c>
      <c r="S24" s="83" t="s">
        <v>2870</v>
      </c>
      <c r="T24" s="80" t="s">
        <v>2851</v>
      </c>
      <c r="U24" s="83" t="s">
        <v>1365</v>
      </c>
      <c r="V24" s="83" t="s">
        <v>2870</v>
      </c>
      <c r="W24" s="80" t="s">
        <v>2851</v>
      </c>
      <c r="X24" s="83" t="s">
        <v>1365</v>
      </c>
      <c r="Y24" s="83" t="s">
        <v>2870</v>
      </c>
      <c r="Z24" s="80" t="s">
        <v>2851</v>
      </c>
      <c r="AA24" s="83" t="s">
        <v>1365</v>
      </c>
      <c r="AB24" s="83" t="s">
        <v>2870</v>
      </c>
      <c r="AC24" s="80" t="s">
        <v>2851</v>
      </c>
      <c r="AD24" s="83" t="s">
        <v>1365</v>
      </c>
      <c r="AE24" s="83" t="s">
        <v>2870</v>
      </c>
      <c r="AF24" s="80" t="s">
        <v>2851</v>
      </c>
      <c r="AG24" s="83" t="s">
        <v>1365</v>
      </c>
      <c r="AH24" s="83" t="s">
        <v>2870</v>
      </c>
      <c r="AI24" s="80" t="s">
        <v>2851</v>
      </c>
      <c r="AJ24" s="83" t="s">
        <v>1365</v>
      </c>
      <c r="AK24" s="83" t="s">
        <v>2870</v>
      </c>
      <c r="AL24" s="80" t="s">
        <v>2851</v>
      </c>
    </row>
    <row r="25" spans="1:40" ht="51.75" customHeight="1" thickTop="1" x14ac:dyDescent="0.45">
      <c r="A25" s="190" t="s">
        <v>1340</v>
      </c>
      <c r="B25" s="136" t="s">
        <v>2659</v>
      </c>
      <c r="C25" s="137">
        <f>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'2025年度出願'!$M:$M,"&lt;="&amp;日付設定!$B$1,'2025年度出願'!$T:$T,日付設定!$F$11,'2025年度出願'!$E:$E,日付設定!$E$2)</f>
        <v>0</v>
      </c>
      <c r="D25" s="120">
        <f>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'2025年度出願'!$M:$M,"&lt;="&amp;日付設定!$B$1,'2025年度出願'!$E:$E,日付設定!$E$2,'2025年度出願'!$Y:$Y,"&lt;&gt;"&amp;"")
+COUNTIFS('2025年度出願'!$M:$M,"&gt;="&amp;DATE(LEFT($B25,LEN($B25)-2)-IF(VALUE(LEFT(C$23,LEN(C$23)-1))&lt;=4,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'2025年度出願'!$M:$M,"&lt;="&amp;日付設定!$B$1,'2025年度出願'!$E:$E,日付設定!$E$2,'2025年度出願'!$Y:$Y,"="&amp;"",'2025年度出願'!$AR:$AR,"N")
+COUNTIFS('2025年度出願'!$M:$M,"&gt;="&amp;DATE(LEFT($B25,LEN($B25)-2)-IF(VALUE(LEFT(C$23,LEN(C$23)-1))&lt;=4,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E25" s="121">
        <f>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'2025年度出願'!$AA:$AA,"&lt;="&amp;日付設定!$B$1,'2025年度出願'!$AG:$AG,日付設定!$E$2)
-COUNTIFS('2025年度出願'!$AA:$AA,"&gt;="&amp;DATE(LEFT($B25,LEN($B25)-2)-IF(VALUE(LEFT(C$23,LEN(C$23)-1))&lt;=4,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'2025年度出願'!$AA:$AA,"&lt;="&amp;日付設定!$B$1,'2025年度出願'!$T:$T,日付設定!$F$8,'2025年度出願'!$AG:$AG,日付設定!$E$2)
-COUNTIFS('2025年度出願'!$AA:$AA,"&gt;="&amp;DATE(LEFT($B25,LEN($B25)-2)-IF(VALUE(LEFT(C$23,LEN(C$23)-1))&lt;=4,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'2025年度出願'!$AA:$AA,"&lt;="&amp;日付設定!$B$1,'2025年度出願'!$T:$T,日付設定!$F$11,'2025年度出願'!$AG:$AG,日付設定!$E$2)</f>
        <v>0</v>
      </c>
      <c r="F25" s="137">
        <f>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'2025年度出願'!$M:$M,"&lt;="&amp;日付設定!$B$1,'2025年度出願'!$T:$T,日付設定!$F$11,'2025年度出願'!$E:$E,日付設定!$E$2)</f>
        <v>0</v>
      </c>
      <c r="G25" s="120">
        <f>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'2025年度出願'!$M:$M,"&lt;="&amp;日付設定!$B$1,'2025年度出願'!$E:$E,日付設定!$E$2,'2025年度出願'!$Y:$Y,"&lt;&gt;"&amp;"")
+COUNTIFS('2025年度出願'!$M:$M,"&gt;="&amp;DATE(LEFT($B25,LEN($B25)-2)-IF(VALUE(LEFT(F$23,LEN(F$23)-1))&lt;=4,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'2025年度出願'!$M:$M,"&lt;="&amp;日付設定!$B$1,'2025年度出願'!$E:$E,日付設定!$E$2,'2025年度出願'!$Y:$Y,"="&amp;"",'2025年度出願'!$AR:$AR,"N")
+COUNTIFS('2025年度出願'!$M:$M,"&gt;="&amp;DATE(LEFT($B25,LEN($B25)-2)-IF(VALUE(LEFT(F$23,LEN(F$23)-1))&lt;=4,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H25" s="121">
        <f>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'2025年度出願'!$AA:$AA,"&lt;="&amp;日付設定!$B$1,'2025年度出願'!$AG:$AG,日付設定!$E$2)
-COUNTIFS('2025年度出願'!$AA:$AA,"&gt;="&amp;DATE(LEFT($B25,LEN($B25)-2)-IF(VALUE(LEFT(F$23,LEN(F$23)-1))&lt;=4,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'2025年度出願'!$AA:$AA,"&lt;="&amp;日付設定!$B$1,'2025年度出願'!$T:$T,日付設定!$F$8,'2025年度出願'!$AG:$AG,日付設定!$E$2)
-COUNTIFS('2025年度出願'!$AA:$AA,"&gt;="&amp;DATE(LEFT($B25,LEN($B25)-2)-IF(VALUE(LEFT(F$23,LEN(F$23)-1))&lt;=4,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'2025年度出願'!$AA:$AA,"&lt;="&amp;日付設定!$B$1,'2025年度出願'!$T:$T,日付設定!$F$11,'2025年度出願'!$AG:$AG,日付設定!$E$2)</f>
        <v>0</v>
      </c>
      <c r="I25" s="137">
        <f>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'2025年度出願'!$M:$M,"&lt;="&amp;日付設定!$B$1,'2025年度出願'!$T:$T,日付設定!$F$11,'2025年度出願'!$E:$E,日付設定!$E$2)</f>
        <v>0</v>
      </c>
      <c r="J25" s="120">
        <f>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'2025年度出願'!$M:$M,"&lt;="&amp;日付設定!$B$1,'2025年度出願'!$E:$E,日付設定!$E$2,'2025年度出願'!$Y:$Y,"&lt;&gt;"&amp;"")
+COUNTIFS('2025年度出願'!$M:$M,"&gt;="&amp;DATE(LEFT($B25,LEN($B25)-2)-IF(VALUE(LEFT(I$23,LEN(I$23)-1))&lt;=4,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'2025年度出願'!$M:$M,"&lt;="&amp;日付設定!$B$1,'2025年度出願'!$E:$E,日付設定!$E$2,'2025年度出願'!$Y:$Y,"="&amp;"",'2025年度出願'!$AR:$AR,"N")
+COUNTIFS('2025年度出願'!$M:$M,"&gt;="&amp;DATE(LEFT($B25,LEN($B25)-2)-IF(VALUE(LEFT(I$23,LEN(I$23)-1))&lt;=4,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K25" s="121">
        <f>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'2025年度出願'!$AA:$AA,"&lt;="&amp;日付設定!$B$1,'2025年度出願'!$AG:$AG,日付設定!$E$2)
-COUNTIFS('2025年度出願'!$AA:$AA,"&gt;="&amp;DATE(LEFT($B25,LEN($B25)-2)-IF(VALUE(LEFT(I$23,LEN(I$23)-1))&lt;=4,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'2025年度出願'!$AA:$AA,"&lt;="&amp;日付設定!$B$1,'2025年度出願'!$T:$T,日付設定!$F$8,'2025年度出願'!$AG:$AG,日付設定!$E$2)
-COUNTIFS('2025年度出願'!$AA:$AA,"&gt;="&amp;DATE(LEFT($B25,LEN($B25)-2)-IF(VALUE(LEFT(I$23,LEN(I$23)-1))&lt;=4,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'2025年度出願'!$AA:$AA,"&lt;="&amp;日付設定!$B$1,'2025年度出願'!$T:$T,日付設定!$F$11,'2025年度出願'!$AG:$AG,日付設定!$E$2)</f>
        <v>0</v>
      </c>
      <c r="L25" s="137">
        <f>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'2025年度出願'!$M:$M,"&lt;="&amp;日付設定!$B$1,'2025年度出願'!$T:$T,日付設定!$F$11,'2025年度出願'!$E:$E,日付設定!$E$2)</f>
        <v>55</v>
      </c>
      <c r="M25" s="120">
        <f>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'2025年度出願'!$M:$M,"&lt;="&amp;日付設定!$B$1,'2025年度出願'!$E:$E,日付設定!$E$2,'2025年度出願'!$Y:$Y,"&lt;&gt;"&amp;"")
+COUNTIFS('2025年度出願'!$M:$M,"&gt;="&amp;DATE(LEFT($B25,LEN($B25)-2)-IF(VALUE(LEFT(L$23,LEN(L$23)-1))&lt;=4,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'2025年度出願'!$M:$M,"&lt;="&amp;日付設定!$B$1,'2025年度出願'!$E:$E,日付設定!$E$2,'2025年度出願'!$Y:$Y,"="&amp;"",'2025年度出願'!$AR:$AR,"N")
+COUNTIFS('2025年度出願'!$M:$M,"&gt;="&amp;DATE(LEFT($B25,LEN($B25)-2)-IF(VALUE(LEFT(L$23,LEN(L$23)-1))&lt;=4,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'2025年度出願'!$M:$M,"&lt;="&amp;日付設定!$B$1,'2025年度出願'!$T:$T,日付設定!$F$11,'2025年度出願'!$E:$E,日付設定!$E$2,'2025年度出願'!$Y:$Y,"="&amp;"",'2025年度出願'!$AR:$AR,"S",'2025年度出願'!$AS:$AS,"N")</f>
        <v>6</v>
      </c>
      <c r="N25" s="121">
        <f>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'2025年度出願'!$AA:$AA,"&lt;="&amp;日付設定!$B$1,'2025年度出願'!$AG:$AG,日付設定!$E$2)
-COUNTIFS('2025年度出願'!$AA:$AA,"&gt;="&amp;DATE(LEFT($B25,LEN($B25)-2)-IF(VALUE(LEFT(L$23,LEN(L$23)-1))&lt;=4,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'2025年度出願'!$AA:$AA,"&lt;="&amp;日付設定!$B$1,'2025年度出願'!$T:$T,日付設定!$F$8,'2025年度出願'!$AG:$AG,日付設定!$E$2)
-COUNTIFS('2025年度出願'!$AA:$AA,"&gt;="&amp;DATE(LEFT($B25,LEN($B25)-2)-IF(VALUE(LEFT(L$23,LEN(L$23)-1))&lt;=4,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'2025年度出願'!$AA:$AA,"&lt;="&amp;日付設定!$B$1,'2025年度出願'!$T:$T,日付設定!$F$11,'2025年度出願'!$AG:$AG,日付設定!$E$2)</f>
        <v>1</v>
      </c>
      <c r="O25" s="137">
        <f>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'2025年度出願'!$M:$M,"&lt;="&amp;日付設定!$B$1,'2025年度出願'!$T:$T,日付設定!$F$11,'2025年度出願'!$E:$E,日付設定!$E$2)</f>
        <v>87</v>
      </c>
      <c r="P25" s="120">
        <f>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'2025年度出願'!$M:$M,"&lt;="&amp;日付設定!$B$1,'2025年度出願'!$E:$E,日付設定!$E$2,'2025年度出願'!$Y:$Y,"&lt;&gt;"&amp;"")
+COUNTIFS('2025年度出願'!$M:$M,"&gt;="&amp;DATE(LEFT($B25,LEN($B25)-2)-IF(VALUE(LEFT(O$23,LEN(O$23)-1))&lt;=4,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'2025年度出願'!$M:$M,"&lt;="&amp;日付設定!$B$1,'2025年度出願'!$E:$E,日付設定!$E$2,'2025年度出願'!$Y:$Y,"="&amp;"",'2025年度出願'!$AR:$AR,"N")
+COUNTIFS('2025年度出願'!$M:$M,"&gt;="&amp;DATE(LEFT($B25,LEN($B25)-2)-IF(VALUE(LEFT(O$23,LEN(O$23)-1))&lt;=4,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'2025年度出願'!$M:$M,"&lt;="&amp;日付設定!$B$1,'2025年度出願'!$T:$T,日付設定!$F$11,'2025年度出願'!$E:$E,日付設定!$E$2,'2025年度出願'!$Y:$Y,"="&amp;"",'2025年度出願'!$AR:$AR,"S",'2025年度出願'!$AS:$AS,"N")</f>
        <v>22</v>
      </c>
      <c r="Q25" s="121">
        <f>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'2025年度出願'!$AA:$AA,"&lt;="&amp;日付設定!$B$1,'2025年度出願'!$AG:$AG,日付設定!$E$2)
-COUNTIFS('2025年度出願'!$AA:$AA,"&gt;="&amp;DATE(LEFT($B25,LEN($B25)-2)-IF(VALUE(LEFT(O$23,LEN(O$23)-1))&lt;=4,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'2025年度出願'!$AA:$AA,"&lt;="&amp;日付設定!$B$1,'2025年度出願'!$T:$T,日付設定!$F$8,'2025年度出願'!$AG:$AG,日付設定!$E$2)
-COUNTIFS('2025年度出願'!$AA:$AA,"&gt;="&amp;DATE(LEFT($B25,LEN($B25)-2)-IF(VALUE(LEFT(O$23,LEN(O$23)-1))&lt;=4,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'2025年度出願'!$AA:$AA,"&lt;="&amp;日付設定!$B$1,'2025年度出願'!$T:$T,日付設定!$F$11,'2025年度出願'!$AG:$AG,日付設定!$E$2)</f>
        <v>39</v>
      </c>
      <c r="R25" s="137">
        <f>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'2025年度出願'!$M:$M,"&lt;="&amp;日付設定!$B$1,'2025年度出願'!$T:$T,日付設定!$F$11,'2025年度出願'!$E:$E,日付設定!$E$2)</f>
        <v>7</v>
      </c>
      <c r="S25" s="120">
        <f>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'2025年度出願'!$M:$M,"&lt;="&amp;日付設定!$B$1,'2025年度出願'!$E:$E,日付設定!$E$2,'2025年度出願'!$Y:$Y,"&lt;&gt;"&amp;"")
+COUNTIFS('2025年度出願'!$M:$M,"&gt;="&amp;DATE(LEFT($B25,LEN($B25)-2)-IF(VALUE(LEFT(R$23,LEN(R$23)-1))&lt;=4,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'2025年度出願'!$M:$M,"&lt;="&amp;日付設定!$B$1,'2025年度出願'!$E:$E,日付設定!$E$2,'2025年度出願'!$Y:$Y,"="&amp;"",'2025年度出願'!$AR:$AR,"N")
+COUNTIFS('2025年度出願'!$M:$M,"&gt;="&amp;DATE(LEFT($B25,LEN($B25)-2)-IF(VALUE(LEFT(R$23,LEN(R$23)-1))&lt;=4,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T25" s="121">
        <f>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'2025年度出願'!$AA:$AA,"&lt;="&amp;日付設定!$B$1,'2025年度出願'!$AG:$AG,日付設定!$E$2)
-COUNTIFS('2025年度出願'!$AA:$AA,"&gt;="&amp;DATE(LEFT($B25,LEN($B25)-2)-IF(VALUE(LEFT(R$23,LEN(R$23)-1))&lt;=4,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'2025年度出願'!$AA:$AA,"&lt;="&amp;日付設定!$B$1,'2025年度出願'!$T:$T,日付設定!$F$8,'2025年度出願'!$AG:$AG,日付設定!$E$2)
-COUNTIFS('2025年度出願'!$AA:$AA,"&gt;="&amp;DATE(LEFT($B25,LEN($B25)-2)-IF(VALUE(LEFT(R$23,LEN(R$23)-1))&lt;=4,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'2025年度出願'!$AA:$AA,"&lt;="&amp;日付設定!$B$1,'2025年度出願'!$T:$T,日付設定!$F$11,'2025年度出願'!$AG:$AG,日付設定!$E$2)</f>
        <v>30</v>
      </c>
      <c r="U25" s="137">
        <f>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'2025年度出願'!$M:$M,"&lt;="&amp;日付設定!$B$1,'2025年度出願'!$T:$T,日付設定!$F$11,'2025年度出願'!$E:$E,日付設定!$E$2)</f>
        <v>5</v>
      </c>
      <c r="V25" s="120">
        <f>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'2025年度出願'!$M:$M,"&lt;="&amp;日付設定!$B$1,'2025年度出願'!$E:$E,日付設定!$E$2,'2025年度出願'!$Y:$Y,"&lt;&gt;"&amp;"")
+COUNTIFS('2025年度出願'!$M:$M,"&gt;="&amp;DATE(LEFT($B25,LEN($B25)-2)-IF(VALUE(LEFT(U$23,LEN(U$23)-1))&lt;=4,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'2025年度出願'!$M:$M,"&lt;="&amp;日付設定!$B$1,'2025年度出願'!$E:$E,日付設定!$E$2,'2025年度出願'!$Y:$Y,"="&amp;"",'2025年度出願'!$AR:$AR,"N")
+COUNTIFS('2025年度出願'!$M:$M,"&gt;="&amp;DATE(LEFT($B25,LEN($B25)-2)-IF(VALUE(LEFT(U$23,LEN(U$23)-1))&lt;=4,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W25" s="121">
        <f>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'2025年度出願'!$AA:$AA,"&lt;="&amp;日付設定!$B$1,'2025年度出願'!$AG:$AG,日付設定!$E$2)
-COUNTIFS('2025年度出願'!$AA:$AA,"&gt;="&amp;DATE(LEFT($B25,LEN($B25)-2)-IF(VALUE(LEFT(U$23,LEN(U$23)-1))&lt;=4,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'2025年度出願'!$AA:$AA,"&lt;="&amp;日付設定!$B$1,'2025年度出願'!$T:$T,日付設定!$F$8,'2025年度出願'!$AG:$AG,日付設定!$E$2)
-COUNTIFS('2025年度出願'!$AA:$AA,"&gt;="&amp;DATE(LEFT($B25,LEN($B25)-2)-IF(VALUE(LEFT(U$23,LEN(U$23)-1))&lt;=4,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'2025年度出願'!$AA:$AA,"&lt;="&amp;日付設定!$B$1,'2025年度出願'!$T:$T,日付設定!$F$11,'2025年度出願'!$AG:$AG,日付設定!$E$2)</f>
        <v>25</v>
      </c>
      <c r="X25" s="137">
        <f>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'2025年度出願'!$M:$M,"&lt;="&amp;日付設定!$B$1,'2025年度出願'!$T:$T,日付設定!$F$11,'2025年度出願'!$E:$E,日付設定!$E$2)</f>
        <v>9</v>
      </c>
      <c r="Y25" s="120">
        <f>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'2025年度出願'!$M:$M,"&lt;="&amp;日付設定!$B$1,'2025年度出願'!$E:$E,日付設定!$E$2,'2025年度出願'!$Y:$Y,"&lt;&gt;"&amp;"")
+COUNTIFS('2025年度出願'!$M:$M,"&gt;="&amp;DATE(LEFT($B25,LEN($B25)-2)-IF(VALUE(LEFT(X$23,LEN(X$23)-1))&lt;=4,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'2025年度出願'!$M:$M,"&lt;="&amp;日付設定!$B$1,'2025年度出願'!$E:$E,日付設定!$E$2,'2025年度出願'!$Y:$Y,"="&amp;"",'2025年度出願'!$AR:$AR,"N")
+COUNTIFS('2025年度出願'!$M:$M,"&gt;="&amp;DATE(LEFT($B25,LEN($B25)-2)-IF(VALUE(LEFT(X$23,LEN(X$23)-1))&lt;=4,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Z25" s="121">
        <f>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'2025年度出願'!$AA:$AA,"&lt;="&amp;日付設定!$B$1,'2025年度出願'!$AG:$AG,日付設定!$E$2)
-COUNTIFS('2025年度出願'!$AA:$AA,"&gt;="&amp;DATE(LEFT($B25,LEN($B25)-2)-IF(VALUE(LEFT(X$23,LEN(X$23)-1))&lt;=4,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'2025年度出願'!$AA:$AA,"&lt;="&amp;日付設定!$B$1,'2025年度出願'!$T:$T,日付設定!$F$8,'2025年度出願'!$AG:$AG,日付設定!$E$2)
-COUNTIFS('2025年度出願'!$AA:$AA,"&gt;="&amp;DATE(LEFT($B25,LEN($B25)-2)-IF(VALUE(LEFT(X$23,LEN(X$23)-1))&lt;=4,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'2025年度出願'!$AA:$AA,"&lt;="&amp;日付設定!$B$1,'2025年度出願'!$T:$T,日付設定!$F$11,'2025年度出願'!$AG:$AG,日付設定!$E$2)</f>
        <v>21</v>
      </c>
      <c r="AA25" s="137">
        <f>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'2025年度出願'!$M:$M,"&lt;="&amp;日付設定!$B$1,'2025年度出願'!$T:$T,日付設定!$F$11,'2025年度出願'!$E:$E,日付設定!$E$2)</f>
        <v>20</v>
      </c>
      <c r="AB25" s="120">
        <f>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'2025年度出願'!$M:$M,"&lt;="&amp;日付設定!$B$1,'2025年度出願'!$E:$E,日付設定!$E$2,'2025年度出願'!$Y:$Y,"&lt;&gt;"&amp;"")
+COUNTIFS('2025年度出願'!$M:$M,"&gt;="&amp;DATE(LEFT($B25,LEN($B25)-2)-IF(VALUE(LEFT(AA$23,LEN(AA$23)-1))&lt;=4,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'2025年度出願'!$M:$M,"&lt;="&amp;日付設定!$B$1,'2025年度出願'!$E:$E,日付設定!$E$2,'2025年度出願'!$Y:$Y,"="&amp;"",'2025年度出願'!$AR:$AR,"N")
+COUNTIFS('2025年度出願'!$M:$M,"&gt;="&amp;DATE(LEFT($B25,LEN($B25)-2)-IF(VALUE(LEFT(AA$23,LEN(AA$23)-1))&lt;=4,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'2025年度出願'!$M:$M,"&lt;="&amp;日付設定!$B$1,'2025年度出願'!$T:$T,日付設定!$F$11,'2025年度出願'!$E:$E,日付設定!$E$2,'2025年度出願'!$Y:$Y,"="&amp;"",'2025年度出願'!$AR:$AR,"S",'2025年度出願'!$AS:$AS,"N")</f>
        <v>2</v>
      </c>
      <c r="AC25" s="121">
        <f>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'2025年度出願'!$AA:$AA,"&lt;="&amp;日付設定!$B$1,'2025年度出願'!$AG:$AG,日付設定!$E$2)
-COUNTIFS('2025年度出願'!$AA:$AA,"&gt;="&amp;DATE(LEFT($B25,LEN($B25)-2)-IF(VALUE(LEFT(AA$23,LEN(AA$23)-1))&lt;=4,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'2025年度出願'!$AA:$AA,"&lt;="&amp;日付設定!$B$1,'2025年度出願'!$T:$T,日付設定!$F$8,'2025年度出願'!$AG:$AG,日付設定!$E$2)
-COUNTIFS('2025年度出願'!$AA:$AA,"&gt;="&amp;DATE(LEFT($B25,LEN($B25)-2)-IF(VALUE(LEFT(AA$23,LEN(AA$23)-1))&lt;=4,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'2025年度出願'!$AA:$AA,"&lt;="&amp;日付設定!$B$1,'2025年度出願'!$T:$T,日付設定!$F$11,'2025年度出願'!$AG:$AG,日付設定!$E$2)</f>
        <v>15</v>
      </c>
      <c r="AD25" s="137">
        <f>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'2025年度出願'!$M:$M,"&lt;="&amp;日付設定!$B$1,'2025年度出願'!$T:$T,日付設定!$F$11,'2025年度出願'!$E:$E,日付設定!$E$2)</f>
        <v>22</v>
      </c>
      <c r="AE25" s="120">
        <f>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'2025年度出願'!$M:$M,"&lt;="&amp;日付設定!$B$1,'2025年度出願'!$E:$E,日付設定!$E$2,'2025年度出願'!$Y:$Y,"&lt;&gt;"&amp;"")
+COUNTIFS('2025年度出願'!$M:$M,"&gt;="&amp;DATE(LEFT($B25,LEN($B25)-2)-IF(VALUE(LEFT(AD$23,LEN(AD$23)-1))&lt;=4,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'2025年度出願'!$M:$M,"&lt;="&amp;日付設定!$B$1,'2025年度出願'!$E:$E,日付設定!$E$2,'2025年度出願'!$Y:$Y,"="&amp;"",'2025年度出願'!$AR:$AR,"N")
+COUNTIFS('2025年度出願'!$M:$M,"&gt;="&amp;DATE(LEFT($B25,LEN($B25)-2)-IF(VALUE(LEFT(AD$23,LEN(AD$23)-1))&lt;=4,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AF25" s="121">
        <f>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'2025年度出願'!$AA:$AA,"&lt;="&amp;日付設定!$B$1,'2025年度出願'!$AG:$AG,日付設定!$E$2)
-COUNTIFS('2025年度出願'!$AA:$AA,"&gt;="&amp;DATE(LEFT($B25,LEN($B25)-2)-IF(VALUE(LEFT(AD$23,LEN(AD$23)-1))&lt;=4,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'2025年度出願'!$AA:$AA,"&lt;="&amp;日付設定!$B$1,'2025年度出願'!$T:$T,日付設定!$F$8,'2025年度出願'!$AG:$AG,日付設定!$E$2)
-COUNTIFS('2025年度出願'!$AA:$AA,"&gt;="&amp;DATE(LEFT($B25,LEN($B25)-2)-IF(VALUE(LEFT(AD$23,LEN(AD$23)-1))&lt;=4,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'2025年度出願'!$AA:$AA,"&lt;="&amp;日付設定!$B$1,'2025年度出願'!$T:$T,日付設定!$F$11,'2025年度出願'!$AG:$AG,日付設定!$E$2)</f>
        <v>38</v>
      </c>
      <c r="AG25" s="137">
        <f>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'2025年度出願'!$M:$M,"&lt;="&amp;日付設定!$B$1,'2025年度出願'!$T:$T,日付設定!$F$11,'2025年度出願'!$E:$E,日付設定!$E$2)</f>
        <v>0</v>
      </c>
      <c r="AH25" s="120">
        <f>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'2025年度出願'!$M:$M,"&lt;="&amp;日付設定!$B$1,'2025年度出願'!$E:$E,日付設定!$E$2,'2025年度出願'!$Y:$Y,"&lt;&gt;"&amp;"")
+COUNTIFS('2025年度出願'!$M:$M,"&gt;="&amp;DATE(LEFT($B25,LEN($B25)-2)-IF(VALUE(LEFT(AG$23,LEN(AG$23)-1))&lt;=4,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'2025年度出願'!$M:$M,"&lt;="&amp;日付設定!$B$1,'2025年度出願'!$E:$E,日付設定!$E$2,'2025年度出願'!$Y:$Y,"="&amp;"",'2025年度出願'!$AR:$AR,"N")
+COUNTIFS('2025年度出願'!$M:$M,"&gt;="&amp;DATE(LEFT($B25,LEN($B25)-2)-IF(VALUE(LEFT(AG$23,LEN(AG$23)-1))&lt;=4,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AI25" s="121">
        <f>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'2025年度出願'!$AA:$AA,"&lt;="&amp;日付設定!$B$1,'2025年度出願'!$AG:$AG,日付設定!$E$2)
-COUNTIFS('2025年度出願'!$AA:$AA,"&gt;="&amp;DATE(LEFT($B25,LEN($B25)-2)-IF(VALUE(LEFT(AG$23,LEN(AG$23)-1))&lt;=4,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'2025年度出願'!$AA:$AA,"&lt;="&amp;日付設定!$B$1,'2025年度出願'!$T:$T,日付設定!$F$8,'2025年度出願'!$AG:$AG,日付設定!$E$2)
-COUNTIFS('2025年度出願'!$AA:$AA,"&gt;="&amp;DATE(LEFT($B25,LEN($B25)-2)-IF(VALUE(LEFT(AG$23,LEN(AG$23)-1))&lt;=4,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'2025年度出願'!$AA:$AA,"&lt;="&amp;日付設定!$B$1,'2025年度出願'!$T:$T,日付設定!$F$11,'2025年度出願'!$AG:$AG,日付設定!$E$2)</f>
        <v>6</v>
      </c>
      <c r="AJ25" s="119">
        <f t="shared" ref="AJ25:AL30" si="5">SUM(C25,F25,I25,L25,O25,R25,U25,X25,AA25,AD25,AG25)</f>
        <v>205</v>
      </c>
      <c r="AK25" s="120">
        <f t="shared" si="5"/>
        <v>30</v>
      </c>
      <c r="AL25" s="121">
        <f t="shared" si="5"/>
        <v>175</v>
      </c>
    </row>
    <row r="26" spans="1:40" ht="51.75" customHeight="1" x14ac:dyDescent="0.45">
      <c r="A26" s="182"/>
      <c r="B26" s="138" t="s">
        <v>2660</v>
      </c>
      <c r="C26" s="139">
        <f>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'2024年度出願'!$M:$M,"&lt;="&amp;日付設定!$B$2,'2024年度出願'!$T:$T,日付設定!$F$11,'2024年度出願'!$E:$E,日付設定!$E$2)</f>
        <v>0</v>
      </c>
      <c r="D26" s="123">
        <f>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'2024年度出願'!$M:$M,"&lt;="&amp;日付設定!$B$2,'2024年度出願'!$E:$E,日付設定!$E$2,'2024年度出願'!$Y:$Y,"&lt;&gt;"&amp;"")
+COUNTIFS('2024年度出願'!$M:$M,"&gt;="&amp;DATE(LEFT($B26,LEN($B26)-2)-IF(VALUE(LEFT(C$23,LEN(C$23)-1))&lt;=4,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'2024年度出願'!$M:$M,"&lt;="&amp;日付設定!$B$2,'2024年度出願'!$E:$E,日付設定!$E$2,'2024年度出願'!$Y:$Y,"="&amp;"",'2024年度出願'!$AR:$AR,"N")
+COUNTIFS('2024年度出願'!$M:$M,"&gt;="&amp;DATE(LEFT($B26,LEN($B26)-2)-IF(VALUE(LEFT(C$23,LEN(C$23)-1))&lt;=4,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E26" s="124">
        <f>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'2024年度出願'!$AA:$AA,"&lt;="&amp;日付設定!$B$2,'2024年度出願'!$AG:$AG,日付設定!$E$2)
-COUNTIFS('2024年度出願'!$AA:$AA,"&gt;="&amp;DATE(LEFT($B26,LEN($B26)-2)-IF(VALUE(LEFT(C$23,LEN(C$23)-1))&lt;=4,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'2024年度出願'!$AA:$AA,"&lt;="&amp;日付設定!$B$2,'2024年度出願'!$T:$T,日付設定!$F$8,'2024年度出願'!$AG:$AG,日付設定!$E$2)
-COUNTIFS('2024年度出願'!$AA:$AA,"&gt;="&amp;DATE(LEFT($B26,LEN($B26)-2)-IF(VALUE(LEFT(C$23,LEN(C$23)-1))&lt;=4,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'2024年度出願'!$AA:$AA,"&lt;="&amp;日付設定!$B$2,'2024年度出願'!$T:$T,日付設定!$F$11,'2024年度出願'!$AG:$AG,日付設定!$E$2)</f>
        <v>0</v>
      </c>
      <c r="F26" s="139">
        <f>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'2024年度出願'!$M:$M,"&lt;="&amp;日付設定!$B$2,'2024年度出願'!$T:$T,日付設定!$F$11,'2024年度出願'!$E:$E,日付設定!$E$2)</f>
        <v>0</v>
      </c>
      <c r="G26" s="123">
        <f>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'2024年度出願'!$M:$M,"&lt;="&amp;日付設定!$B$2,'2024年度出願'!$E:$E,日付設定!$E$2,'2024年度出願'!$Y:$Y,"&lt;&gt;"&amp;"")
+COUNTIFS('2024年度出願'!$M:$M,"&gt;="&amp;DATE(LEFT($B26,LEN($B26)-2)-IF(VALUE(LEFT(F$23,LEN(F$23)-1))&lt;=4,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'2024年度出願'!$M:$M,"&lt;="&amp;日付設定!$B$2,'2024年度出願'!$E:$E,日付設定!$E$2,'2024年度出願'!$Y:$Y,"="&amp;"",'2024年度出願'!$AR:$AR,"N")
+COUNTIFS('2024年度出願'!$M:$M,"&gt;="&amp;DATE(LEFT($B26,LEN($B26)-2)-IF(VALUE(LEFT(F$23,LEN(F$23)-1))&lt;=4,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H26" s="124">
        <f>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'2024年度出願'!$AA:$AA,"&lt;="&amp;日付設定!$B$2,'2024年度出願'!$AG:$AG,日付設定!$E$2)
-COUNTIFS('2024年度出願'!$AA:$AA,"&gt;="&amp;DATE(LEFT($B26,LEN($B26)-2)-IF(VALUE(LEFT(F$23,LEN(F$23)-1))&lt;=4,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'2024年度出願'!$AA:$AA,"&lt;="&amp;日付設定!$B$2,'2024年度出願'!$T:$T,日付設定!$F$8,'2024年度出願'!$AG:$AG,日付設定!$E$2)
-COUNTIFS('2024年度出願'!$AA:$AA,"&gt;="&amp;DATE(LEFT($B26,LEN($B26)-2)-IF(VALUE(LEFT(F$23,LEN(F$23)-1))&lt;=4,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'2024年度出願'!$AA:$AA,"&lt;="&amp;日付設定!$B$2,'2024年度出願'!$T:$T,日付設定!$F$11,'2024年度出願'!$AG:$AG,日付設定!$E$2)</f>
        <v>0</v>
      </c>
      <c r="I26" s="139">
        <f>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'2024年度出願'!$M:$M,"&lt;="&amp;日付設定!$B$2,'2024年度出願'!$T:$T,日付設定!$F$11,'2024年度出願'!$E:$E,日付設定!$E$2)</f>
        <v>0</v>
      </c>
      <c r="J26" s="123">
        <f>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'2024年度出願'!$M:$M,"&lt;="&amp;日付設定!$B$2,'2024年度出願'!$E:$E,日付設定!$E$2,'2024年度出願'!$Y:$Y,"&lt;&gt;"&amp;"")
+COUNTIFS('2024年度出願'!$M:$M,"&gt;="&amp;DATE(LEFT($B26,LEN($B26)-2)-IF(VALUE(LEFT(I$23,LEN(I$23)-1))&lt;=4,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'2024年度出願'!$M:$M,"&lt;="&amp;日付設定!$B$2,'2024年度出願'!$E:$E,日付設定!$E$2,'2024年度出願'!$Y:$Y,"="&amp;"",'2024年度出願'!$AR:$AR,"N")
+COUNTIFS('2024年度出願'!$M:$M,"&gt;="&amp;DATE(LEFT($B26,LEN($B26)-2)-IF(VALUE(LEFT(I$23,LEN(I$23)-1))&lt;=4,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K26" s="124">
        <f>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'2024年度出願'!$AA:$AA,"&lt;="&amp;日付設定!$B$2,'2024年度出願'!$AG:$AG,日付設定!$E$2)
-COUNTIFS('2024年度出願'!$AA:$AA,"&gt;="&amp;DATE(LEFT($B26,LEN($B26)-2)-IF(VALUE(LEFT(I$23,LEN(I$23)-1))&lt;=4,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'2024年度出願'!$AA:$AA,"&lt;="&amp;日付設定!$B$2,'2024年度出願'!$T:$T,日付設定!$F$8,'2024年度出願'!$AG:$AG,日付設定!$E$2)
-COUNTIFS('2024年度出願'!$AA:$AA,"&gt;="&amp;DATE(LEFT($B26,LEN($B26)-2)-IF(VALUE(LEFT(I$23,LEN(I$23)-1))&lt;=4,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'2024年度出願'!$AA:$AA,"&lt;="&amp;日付設定!$B$2,'2024年度出願'!$T:$T,日付設定!$F$11,'2024年度出願'!$AG:$AG,日付設定!$E$2)</f>
        <v>0</v>
      </c>
      <c r="L26" s="139">
        <f>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'2024年度出願'!$M:$M,"&lt;="&amp;日付設定!$B$2,'2024年度出願'!$T:$T,日付設定!$F$11,'2024年度出願'!$E:$E,日付設定!$E$2)</f>
        <v>55</v>
      </c>
      <c r="M26" s="123">
        <f>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'2024年度出願'!$M:$M,"&lt;="&amp;日付設定!$B$2,'2024年度出願'!$E:$E,日付設定!$E$2,'2024年度出願'!$Y:$Y,"&lt;&gt;"&amp;"")
+COUNTIFS('2024年度出願'!$M:$M,"&gt;="&amp;DATE(LEFT($B26,LEN($B26)-2)-IF(VALUE(LEFT(L$23,LEN(L$23)-1))&lt;=4,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'2024年度出願'!$M:$M,"&lt;="&amp;日付設定!$B$2,'2024年度出願'!$E:$E,日付設定!$E$2,'2024年度出願'!$Y:$Y,"="&amp;"",'2024年度出願'!$AR:$AR,"N")
+COUNTIFS('2024年度出願'!$M:$M,"&gt;="&amp;DATE(LEFT($B26,LEN($B26)-2)-IF(VALUE(LEFT(L$23,LEN(L$23)-1))&lt;=4,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'2024年度出願'!$M:$M,"&lt;="&amp;日付設定!$B$2,'2024年度出願'!$T:$T,日付設定!$F$11,'2024年度出願'!$E:$E,日付設定!$E$2,'2024年度出願'!$Y:$Y,"="&amp;"",'2024年度出願'!$AR:$AR,"S",'2024年度出願'!$AS:$AS,"N")</f>
        <v>9</v>
      </c>
      <c r="N26" s="124">
        <f>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'2024年度出願'!$AA:$AA,"&lt;="&amp;日付設定!$B$2,'2024年度出願'!$AG:$AG,日付設定!$E$2)
-COUNTIFS('2024年度出願'!$AA:$AA,"&gt;="&amp;DATE(LEFT($B26,LEN($B26)-2)-IF(VALUE(LEFT(L$23,LEN(L$23)-1))&lt;=4,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'2024年度出願'!$AA:$AA,"&lt;="&amp;日付設定!$B$2,'2024年度出願'!$T:$T,日付設定!$F$8,'2024年度出願'!$AG:$AG,日付設定!$E$2)
-COUNTIFS('2024年度出願'!$AA:$AA,"&gt;="&amp;DATE(LEFT($B26,LEN($B26)-2)-IF(VALUE(LEFT(L$23,LEN(L$23)-1))&lt;=4,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'2024年度出願'!$AA:$AA,"&lt;="&amp;日付設定!$B$2,'2024年度出願'!$T:$T,日付設定!$F$11,'2024年度出願'!$AG:$AG,日付設定!$E$2)</f>
        <v>0</v>
      </c>
      <c r="O26" s="139">
        <f>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'2024年度出願'!$M:$M,"&lt;="&amp;日付設定!$B$2,'2024年度出願'!$T:$T,日付設定!$F$11,'2024年度出願'!$E:$E,日付設定!$E$2)</f>
        <v>67</v>
      </c>
      <c r="P26" s="123">
        <f>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'2024年度出願'!$M:$M,"&lt;="&amp;日付設定!$B$2,'2024年度出願'!$E:$E,日付設定!$E$2,'2024年度出願'!$Y:$Y,"&lt;&gt;"&amp;"")
+COUNTIFS('2024年度出願'!$M:$M,"&gt;="&amp;DATE(LEFT($B26,LEN($B26)-2)-IF(VALUE(LEFT(O$23,LEN(O$23)-1))&lt;=4,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'2024年度出願'!$M:$M,"&lt;="&amp;日付設定!$B$2,'2024年度出願'!$E:$E,日付設定!$E$2,'2024年度出願'!$Y:$Y,"="&amp;"",'2024年度出願'!$AR:$AR,"N")
+COUNTIFS('2024年度出願'!$M:$M,"&gt;="&amp;DATE(LEFT($B26,LEN($B26)-2)-IF(VALUE(LEFT(O$23,LEN(O$23)-1))&lt;=4,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'2024年度出願'!$M:$M,"&lt;="&amp;日付設定!$B$2,'2024年度出願'!$T:$T,日付設定!$F$11,'2024年度出願'!$E:$E,日付設定!$E$2,'2024年度出願'!$Y:$Y,"="&amp;"",'2024年度出願'!$AR:$AR,"S",'2024年度出願'!$AS:$AS,"N")</f>
        <v>14</v>
      </c>
      <c r="Q26" s="124">
        <f>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'2024年度出願'!$AA:$AA,"&lt;="&amp;日付設定!$B$2,'2024年度出願'!$AG:$AG,日付設定!$E$2)
-COUNTIFS('2024年度出願'!$AA:$AA,"&gt;="&amp;DATE(LEFT($B26,LEN($B26)-2)-IF(VALUE(LEFT(O$23,LEN(O$23)-1))&lt;=4,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'2024年度出願'!$AA:$AA,"&lt;="&amp;日付設定!$B$2,'2024年度出願'!$T:$T,日付設定!$F$8,'2024年度出願'!$AG:$AG,日付設定!$E$2)
-COUNTIFS('2024年度出願'!$AA:$AA,"&gt;="&amp;DATE(LEFT($B26,LEN($B26)-2)-IF(VALUE(LEFT(O$23,LEN(O$23)-1))&lt;=4,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'2024年度出願'!$AA:$AA,"&lt;="&amp;日付設定!$B$2,'2024年度出願'!$T:$T,日付設定!$F$11,'2024年度出願'!$AG:$AG,日付設定!$E$2)</f>
        <v>38</v>
      </c>
      <c r="R26" s="139">
        <f>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'2024年度出願'!$M:$M,"&lt;="&amp;日付設定!$B$2,'2024年度出願'!$T:$T,日付設定!$F$11,'2024年度出願'!$E:$E,日付設定!$E$2)</f>
        <v>6</v>
      </c>
      <c r="S26" s="123">
        <f>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'2024年度出願'!$M:$M,"&lt;="&amp;日付設定!$B$2,'2024年度出願'!$E:$E,日付設定!$E$2,'2024年度出願'!$Y:$Y,"&lt;&gt;"&amp;"")
+COUNTIFS('2024年度出願'!$M:$M,"&gt;="&amp;DATE(LEFT($B26,LEN($B26)-2)-IF(VALUE(LEFT(R$23,LEN(R$23)-1))&lt;=4,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'2024年度出願'!$M:$M,"&lt;="&amp;日付設定!$B$2,'2024年度出願'!$E:$E,日付設定!$E$2,'2024年度出願'!$Y:$Y,"="&amp;"",'2024年度出願'!$AR:$AR,"N")
+COUNTIFS('2024年度出願'!$M:$M,"&gt;="&amp;DATE(LEFT($B26,LEN($B26)-2)-IF(VALUE(LEFT(R$23,LEN(R$23)-1))&lt;=4,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'2024年度出願'!$M:$M,"&lt;="&amp;日付設定!$B$2,'2024年度出願'!$T:$T,日付設定!$F$11,'2024年度出願'!$E:$E,日付設定!$E$2,'2024年度出願'!$Y:$Y,"="&amp;"",'2024年度出願'!$AR:$AR,"S",'2024年度出願'!$AS:$AS,"N")</f>
        <v>1</v>
      </c>
      <c r="T26" s="124">
        <f>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'2024年度出願'!$AA:$AA,"&lt;="&amp;日付設定!$B$2,'2024年度出願'!$AG:$AG,日付設定!$E$2)
-COUNTIFS('2024年度出願'!$AA:$AA,"&gt;="&amp;DATE(LEFT($B26,LEN($B26)-2)-IF(VALUE(LEFT(R$23,LEN(R$23)-1))&lt;=4,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'2024年度出願'!$AA:$AA,"&lt;="&amp;日付設定!$B$2,'2024年度出願'!$T:$T,日付設定!$F$8,'2024年度出願'!$AG:$AG,日付設定!$E$2)
-COUNTIFS('2024年度出願'!$AA:$AA,"&gt;="&amp;DATE(LEFT($B26,LEN($B26)-2)-IF(VALUE(LEFT(R$23,LEN(R$23)-1))&lt;=4,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'2024年度出願'!$AA:$AA,"&lt;="&amp;日付設定!$B$2,'2024年度出願'!$T:$T,日付設定!$F$11,'2024年度出願'!$AG:$AG,日付設定!$E$2)</f>
        <v>27</v>
      </c>
      <c r="U26" s="139">
        <f>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'2024年度出願'!$M:$M,"&lt;="&amp;日付設定!$B$2,'2024年度出願'!$T:$T,日付設定!$F$11,'2024年度出願'!$E:$E,日付設定!$E$2)</f>
        <v>0</v>
      </c>
      <c r="V26" s="123">
        <f>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'2024年度出願'!$M:$M,"&lt;="&amp;日付設定!$B$2,'2024年度出願'!$E:$E,日付設定!$E$2,'2024年度出願'!$Y:$Y,"&lt;&gt;"&amp;"")
+COUNTIFS('2024年度出願'!$M:$M,"&gt;="&amp;DATE(LEFT($B26,LEN($B26)-2)-IF(VALUE(LEFT(U$23,LEN(U$23)-1))&lt;=4,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'2024年度出願'!$M:$M,"&lt;="&amp;日付設定!$B$2,'2024年度出願'!$E:$E,日付設定!$E$2,'2024年度出願'!$Y:$Y,"="&amp;"",'2024年度出願'!$AR:$AR,"N")
+COUNTIFS('2024年度出願'!$M:$M,"&gt;="&amp;DATE(LEFT($B26,LEN($B26)-2)-IF(VALUE(LEFT(U$23,LEN(U$23)-1))&lt;=4,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W26" s="124">
        <f>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'2024年度出願'!$AA:$AA,"&lt;="&amp;日付設定!$B$2,'2024年度出願'!$AG:$AG,日付設定!$E$2)
-COUNTIFS('2024年度出願'!$AA:$AA,"&gt;="&amp;DATE(LEFT($B26,LEN($B26)-2)-IF(VALUE(LEFT(U$23,LEN(U$23)-1))&lt;=4,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'2024年度出願'!$AA:$AA,"&lt;="&amp;日付設定!$B$2,'2024年度出願'!$T:$T,日付設定!$F$8,'2024年度出願'!$AG:$AG,日付設定!$E$2)
-COUNTIFS('2024年度出願'!$AA:$AA,"&gt;="&amp;DATE(LEFT($B26,LEN($B26)-2)-IF(VALUE(LEFT(U$23,LEN(U$23)-1))&lt;=4,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'2024年度出願'!$AA:$AA,"&lt;="&amp;日付設定!$B$2,'2024年度出願'!$T:$T,日付設定!$F$11,'2024年度出願'!$AG:$AG,日付設定!$E$2)</f>
        <v>11</v>
      </c>
      <c r="X26" s="139">
        <f>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'2024年度出願'!$M:$M,"&lt;="&amp;日付設定!$B$2,'2024年度出願'!$T:$T,日付設定!$F$11,'2024年度出願'!$E:$E,日付設定!$E$2)</f>
        <v>0</v>
      </c>
      <c r="Y26" s="123">
        <f>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'2024年度出願'!$M:$M,"&lt;="&amp;日付設定!$B$2,'2024年度出願'!$E:$E,日付設定!$E$2,'2024年度出願'!$Y:$Y,"&lt;&gt;"&amp;"")
+COUNTIFS('2024年度出願'!$M:$M,"&gt;="&amp;DATE(LEFT($B26,LEN($B26)-2)-IF(VALUE(LEFT(X$23,LEN(X$23)-1))&lt;=4,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'2024年度出願'!$M:$M,"&lt;="&amp;日付設定!$B$2,'2024年度出願'!$E:$E,日付設定!$E$2,'2024年度出願'!$Y:$Y,"="&amp;"",'2024年度出願'!$AR:$AR,"N")
+COUNTIFS('2024年度出願'!$M:$M,"&gt;="&amp;DATE(LEFT($B26,LEN($B26)-2)-IF(VALUE(LEFT(X$23,LEN(X$23)-1))&lt;=4,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Z26" s="124">
        <f>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'2024年度出願'!$AA:$AA,"&lt;="&amp;日付設定!$B$2,'2024年度出願'!$AG:$AG,日付設定!$E$2)
-COUNTIFS('2024年度出願'!$AA:$AA,"&gt;="&amp;DATE(LEFT($B26,LEN($B26)-2)-IF(VALUE(LEFT(X$23,LEN(X$23)-1))&lt;=4,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'2024年度出願'!$AA:$AA,"&lt;="&amp;日付設定!$B$2,'2024年度出願'!$T:$T,日付設定!$F$8,'2024年度出願'!$AG:$AG,日付設定!$E$2)
-COUNTIFS('2024年度出願'!$AA:$AA,"&gt;="&amp;DATE(LEFT($B26,LEN($B26)-2)-IF(VALUE(LEFT(X$23,LEN(X$23)-1))&lt;=4,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'2024年度出願'!$AA:$AA,"&lt;="&amp;日付設定!$B$2,'2024年度出願'!$T:$T,日付設定!$F$11,'2024年度出願'!$AG:$AG,日付設定!$E$2)</f>
        <v>7</v>
      </c>
      <c r="AA26" s="139">
        <f>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'2024年度出願'!$M:$M,"&lt;="&amp;日付設定!$B$2,'2024年度出願'!$T:$T,日付設定!$F$11,'2024年度出願'!$E:$E,日付設定!$E$2)</f>
        <v>0</v>
      </c>
      <c r="AB26" s="123">
        <f>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'2024年度出願'!$M:$M,"&lt;="&amp;日付設定!$B$2,'2024年度出願'!$E:$E,日付設定!$E$2,'2024年度出願'!$Y:$Y,"&lt;&gt;"&amp;"")
+COUNTIFS('2024年度出願'!$M:$M,"&gt;="&amp;DATE(LEFT($B26,LEN($B26)-2)-IF(VALUE(LEFT(AA$23,LEN(AA$23)-1))&lt;=4,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'2024年度出願'!$M:$M,"&lt;="&amp;日付設定!$B$2,'2024年度出願'!$E:$E,日付設定!$E$2,'2024年度出願'!$Y:$Y,"="&amp;"",'2024年度出願'!$AR:$AR,"N")
+COUNTIFS('2024年度出願'!$M:$M,"&gt;="&amp;DATE(LEFT($B26,LEN($B26)-2)-IF(VALUE(LEFT(AA$23,LEN(AA$23)-1))&lt;=4,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C26" s="124">
        <f>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'2024年度出願'!$AA:$AA,"&lt;="&amp;日付設定!$B$2,'2024年度出願'!$AG:$AG,日付設定!$E$2)
-COUNTIFS('2024年度出願'!$AA:$AA,"&gt;="&amp;DATE(LEFT($B26,LEN($B26)-2)-IF(VALUE(LEFT(AA$23,LEN(AA$23)-1))&lt;=4,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'2024年度出願'!$AA:$AA,"&lt;="&amp;日付設定!$B$2,'2024年度出願'!$T:$T,日付設定!$F$8,'2024年度出願'!$AG:$AG,日付設定!$E$2)
-COUNTIFS('2024年度出願'!$AA:$AA,"&gt;="&amp;DATE(LEFT($B26,LEN($B26)-2)-IF(VALUE(LEFT(AA$23,LEN(AA$23)-1))&lt;=4,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'2024年度出願'!$AA:$AA,"&lt;="&amp;日付設定!$B$2,'2024年度出願'!$T:$T,日付設定!$F$11,'2024年度出願'!$AG:$AG,日付設定!$E$2)</f>
        <v>12</v>
      </c>
      <c r="AD26" s="139">
        <f>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'2024年度出願'!$M:$M,"&lt;="&amp;日付設定!$B$2,'2024年度出願'!$T:$T,日付設定!$F$11,'2024年度出願'!$E:$E,日付設定!$E$2)</f>
        <v>0</v>
      </c>
      <c r="AE26" s="123">
        <f>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'2024年度出願'!$M:$M,"&lt;="&amp;日付設定!$B$2,'2024年度出願'!$E:$E,日付設定!$E$2,'2024年度出願'!$Y:$Y,"&lt;&gt;"&amp;"")
+COUNTIFS('2024年度出願'!$M:$M,"&gt;="&amp;DATE(LEFT($B26,LEN($B26)-2)-IF(VALUE(LEFT(AD$23,LEN(AD$23)-1))&lt;=4,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'2024年度出願'!$M:$M,"&lt;="&amp;日付設定!$B$2,'2024年度出願'!$E:$E,日付設定!$E$2,'2024年度出願'!$Y:$Y,"="&amp;"",'2024年度出願'!$AR:$AR,"N")
+COUNTIFS('2024年度出願'!$M:$M,"&gt;="&amp;DATE(LEFT($B26,LEN($B26)-2)-IF(VALUE(LEFT(AD$23,LEN(AD$23)-1))&lt;=4,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F26" s="124">
        <f>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'2024年度出願'!$AA:$AA,"&lt;="&amp;日付設定!$B$2,'2024年度出願'!$AG:$AG,日付設定!$E$2)
-COUNTIFS('2024年度出願'!$AA:$AA,"&gt;="&amp;DATE(LEFT($B26,LEN($B26)-2)-IF(VALUE(LEFT(AD$23,LEN(AD$23)-1))&lt;=4,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'2024年度出願'!$AA:$AA,"&lt;="&amp;日付設定!$B$2,'2024年度出願'!$T:$T,日付設定!$F$8,'2024年度出願'!$AG:$AG,日付設定!$E$2)
-COUNTIFS('2024年度出願'!$AA:$AA,"&gt;="&amp;DATE(LEFT($B26,LEN($B26)-2)-IF(VALUE(LEFT(AD$23,LEN(AD$23)-1))&lt;=4,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'2024年度出願'!$AA:$AA,"&lt;="&amp;日付設定!$B$2,'2024年度出願'!$T:$T,日付設定!$F$11,'2024年度出願'!$AG:$AG,日付設定!$E$2)</f>
        <v>6</v>
      </c>
      <c r="AG26" s="139">
        <f>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'2024年度出願'!$M:$M,"&lt;="&amp;日付設定!$B$2,'2024年度出願'!$T:$T,日付設定!$F$11,'2024年度出願'!$E:$E,日付設定!$E$2)</f>
        <v>0</v>
      </c>
      <c r="AH26" s="123">
        <f>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'2024年度出願'!$M:$M,"&lt;="&amp;日付設定!$B$2,'2024年度出願'!$E:$E,日付設定!$E$2,'2024年度出願'!$Y:$Y,"&lt;&gt;"&amp;"")
+COUNTIFS('2024年度出願'!$M:$M,"&gt;="&amp;DATE(LEFT($B26,LEN($B26)-2)-IF(VALUE(LEFT(AG$23,LEN(AG$23)-1))&lt;=4,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'2024年度出願'!$M:$M,"&lt;="&amp;日付設定!$B$2,'2024年度出願'!$E:$E,日付設定!$E$2,'2024年度出願'!$Y:$Y,"="&amp;"",'2024年度出願'!$AR:$AR,"N")
+COUNTIFS('2024年度出願'!$M:$M,"&gt;="&amp;DATE(LEFT($B26,LEN($B26)-2)-IF(VALUE(LEFT(AG$23,LEN(AG$23)-1))&lt;=4,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I26" s="124">
        <f>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'2024年度出願'!$AA:$AA,"&lt;="&amp;日付設定!$B$2,'2024年度出願'!$AG:$AG,日付設定!$E$2)
-COUNTIFS('2024年度出願'!$AA:$AA,"&gt;="&amp;DATE(LEFT($B26,LEN($B26)-2)-IF(VALUE(LEFT(AG$23,LEN(AG$23)-1))&lt;=4,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'2024年度出願'!$AA:$AA,"&lt;="&amp;日付設定!$B$2,'2024年度出願'!$T:$T,日付設定!$F$8,'2024年度出願'!$AG:$AG,日付設定!$E$2)
-COUNTIFS('2024年度出願'!$AA:$AA,"&gt;="&amp;DATE(LEFT($B26,LEN($B26)-2)-IF(VALUE(LEFT(AG$23,LEN(AG$23)-1))&lt;=4,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'2024年度出願'!$AA:$AA,"&lt;="&amp;日付設定!$B$2,'2024年度出願'!$T:$T,日付設定!$F$11,'2024年度出願'!$AG:$AG,日付設定!$E$2)</f>
        <v>2</v>
      </c>
      <c r="AJ26" s="122">
        <f t="shared" si="5"/>
        <v>128</v>
      </c>
      <c r="AK26" s="123">
        <f t="shared" si="5"/>
        <v>24</v>
      </c>
      <c r="AL26" s="124">
        <f t="shared" si="5"/>
        <v>103</v>
      </c>
    </row>
    <row r="27" spans="1:40" ht="51.75" customHeight="1" thickBot="1" x14ac:dyDescent="0.5">
      <c r="A27" s="183"/>
      <c r="B27" s="140" t="s">
        <v>1335</v>
      </c>
      <c r="C27" s="141">
        <f t="shared" ref="C27:J27" si="6">C25-C26</f>
        <v>0</v>
      </c>
      <c r="D27" s="96">
        <f t="shared" si="6"/>
        <v>0</v>
      </c>
      <c r="E27" s="97">
        <f t="shared" si="6"/>
        <v>0</v>
      </c>
      <c r="F27" s="95">
        <f t="shared" si="6"/>
        <v>0</v>
      </c>
      <c r="G27" s="96">
        <f t="shared" si="6"/>
        <v>0</v>
      </c>
      <c r="H27" s="97">
        <f t="shared" si="6"/>
        <v>0</v>
      </c>
      <c r="I27" s="95">
        <f t="shared" si="6"/>
        <v>0</v>
      </c>
      <c r="J27" s="96">
        <f t="shared" si="6"/>
        <v>0</v>
      </c>
      <c r="K27" s="97">
        <f>K25-K26</f>
        <v>0</v>
      </c>
      <c r="L27" s="95">
        <f>L25-L26</f>
        <v>0</v>
      </c>
      <c r="M27" s="96">
        <f t="shared" ref="M27" si="7">M25-M26</f>
        <v>-3</v>
      </c>
      <c r="N27" s="97">
        <f>N25-N26</f>
        <v>1</v>
      </c>
      <c r="O27" s="95">
        <f>O25-O26</f>
        <v>20</v>
      </c>
      <c r="P27" s="96">
        <f t="shared" ref="P27" si="8">P25-P26</f>
        <v>8</v>
      </c>
      <c r="Q27" s="97">
        <f>Q25-Q26</f>
        <v>1</v>
      </c>
      <c r="R27" s="95">
        <f>R25-R26</f>
        <v>1</v>
      </c>
      <c r="S27" s="96">
        <f t="shared" ref="S27" si="9">S25-S26</f>
        <v>-1</v>
      </c>
      <c r="T27" s="97">
        <f>T25-T26</f>
        <v>3</v>
      </c>
      <c r="U27" s="95">
        <f>U25-U26</f>
        <v>5</v>
      </c>
      <c r="V27" s="96">
        <f t="shared" ref="V27" si="10">V25-V26</f>
        <v>0</v>
      </c>
      <c r="W27" s="97">
        <f>W25-W26</f>
        <v>14</v>
      </c>
      <c r="X27" s="95">
        <f>X25-X26</f>
        <v>9</v>
      </c>
      <c r="Y27" s="96">
        <f t="shared" ref="Y27" si="11">Y25-Y26</f>
        <v>0</v>
      </c>
      <c r="Z27" s="97">
        <f>Z25-Z26</f>
        <v>14</v>
      </c>
      <c r="AA27" s="95">
        <f>AA25-AA26</f>
        <v>20</v>
      </c>
      <c r="AB27" s="96">
        <f t="shared" ref="AB27" si="12">AB25-AB26</f>
        <v>2</v>
      </c>
      <c r="AC27" s="97">
        <f>AC25-AC26</f>
        <v>3</v>
      </c>
      <c r="AD27" s="95">
        <f>AD25-AD26</f>
        <v>22</v>
      </c>
      <c r="AE27" s="96">
        <f t="shared" ref="AE27" si="13">AE25-AE26</f>
        <v>0</v>
      </c>
      <c r="AF27" s="97">
        <f>AF25-AF26</f>
        <v>32</v>
      </c>
      <c r="AG27" s="95">
        <f t="shared" ref="AG27:AH27" si="14">AG25-AG26</f>
        <v>0</v>
      </c>
      <c r="AH27" s="96">
        <f t="shared" si="14"/>
        <v>0</v>
      </c>
      <c r="AI27" s="97">
        <f>AI25-AI26</f>
        <v>4</v>
      </c>
      <c r="AJ27" s="95">
        <f t="shared" si="5"/>
        <v>77</v>
      </c>
      <c r="AK27" s="96">
        <f t="shared" si="5"/>
        <v>6</v>
      </c>
      <c r="AL27" s="97">
        <f t="shared" si="5"/>
        <v>72</v>
      </c>
    </row>
    <row r="28" spans="1:40" ht="51.75" customHeight="1" x14ac:dyDescent="0.45">
      <c r="A28" s="184" t="s">
        <v>1334</v>
      </c>
      <c r="B28" s="142" t="s">
        <v>2659</v>
      </c>
      <c r="C28" s="143">
        <f>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'2025年度出願'!$M:$M,"&lt;="&amp;日付設定!$B$1,'2025年度出願'!$T:$T,日付設定!$F$11,'2025年度出願'!$E:$E,日付設定!$E$3)</f>
        <v>0</v>
      </c>
      <c r="D28" s="144">
        <f>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'2025年度出願'!$M:$M,"&lt;="&amp;日付設定!$B$1,'2025年度出願'!$E:$E,日付設定!$E$3,'2025年度出願'!$Y:$Y,"&lt;&gt;"&amp;"")
+COUNTIFS('2025年度出願'!$M:$M,"&gt;="&amp;DATE(LEFT($B28,LEN($B28)-2)-IF(VALUE(LEFT(C$23,LEN(C$23)-1))&lt;=4,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'2025年度出願'!$M:$M,"&lt;="&amp;日付設定!$B$1,'2025年度出願'!$E:$E,日付設定!$E$3,'2025年度出願'!$Y:$Y,"="&amp;"",'2025年度出願'!$AR:$AR,"N")
+COUNTIFS('2025年度出願'!$M:$M,"&gt;="&amp;DATE(LEFT($B28,LEN($B28)-2)-IF(VALUE(LEFT(C$23,LEN(C$23)-1))&lt;=4,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E28" s="145">
        <f>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'2025年度出願'!$AG:$AG,日付設定!$E$3)
-COUNTIFS('2025年度出願'!$AA:$AA,"&gt;="&amp;DATE(LEFT($B28,LEN($B28)-2)-IF(VALUE(LEFT(C$23,LEN(C$23)-1))&lt;=4,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'2025年度出願'!$T:$T,日付設定!$F$8,
'2025年度出願'!$AG:$AG,日付設定!$E$3)
-COUNTIFS('2025年度出願'!$AA:$AA,"&gt;="&amp;DATE(LEFT($B28,LEN($B28)-2)-IF(VALUE(LEFT(C$23,LEN(C$23)-1))&lt;=4,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'2025年度出願'!$T:$T,日付設定!$F$11,
'2025年度出願'!$AG:$AG,日付設定!$E$3)</f>
        <v>0</v>
      </c>
      <c r="F28" s="143">
        <f>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'2025年度出願'!$M:$M,"&lt;="&amp;日付設定!$B$1,'2025年度出願'!$T:$T,日付設定!$F$11,'2025年度出願'!$E:$E,日付設定!$E$3)</f>
        <v>0</v>
      </c>
      <c r="G28" s="144">
        <f>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'2025年度出願'!$M:$M,"&lt;="&amp;日付設定!$B$1,'2025年度出願'!$E:$E,日付設定!$E$3,'2025年度出願'!$Y:$Y,"&lt;&gt;"&amp;"")
+COUNTIFS('2025年度出願'!$M:$M,"&gt;="&amp;DATE(LEFT($B28,LEN($B28)-2)-IF(VALUE(LEFT(F$23,LEN(F$23)-1))&lt;=4,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'2025年度出願'!$M:$M,"&lt;="&amp;日付設定!$B$1,'2025年度出願'!$E:$E,日付設定!$E$3,'2025年度出願'!$Y:$Y,"="&amp;"",'2025年度出願'!$AR:$AR,"N")
+COUNTIFS('2025年度出願'!$M:$M,"&gt;="&amp;DATE(LEFT($B28,LEN($B28)-2)-IF(VALUE(LEFT(F$23,LEN(F$23)-1))&lt;=4,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H28" s="145">
        <f>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'2025年度出願'!$AG:$AG,日付設定!$E$3)
-COUNTIFS('2025年度出願'!$AA:$AA,"&gt;="&amp;DATE(LEFT($B28,LEN($B28)-2)-IF(VALUE(LEFT(F$23,LEN(F$23)-1))&lt;=4,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'2025年度出願'!$T:$T,日付設定!$F$8,
'2025年度出願'!$AG:$AG,日付設定!$E$3)
-COUNTIFS('2025年度出願'!$AA:$AA,"&gt;="&amp;DATE(LEFT($B28,LEN($B28)-2)-IF(VALUE(LEFT(F$23,LEN(F$23)-1))&lt;=4,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'2025年度出願'!$T:$T,日付設定!$F$11,
'2025年度出願'!$AG:$AG,日付設定!$E$3)</f>
        <v>0</v>
      </c>
      <c r="I28" s="143">
        <f>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'2025年度出願'!$M:$M,"&lt;="&amp;日付設定!$B$1,'2025年度出願'!$T:$T,日付設定!$F$11,'2025年度出願'!$E:$E,日付設定!$E$3)</f>
        <v>0</v>
      </c>
      <c r="J28" s="144">
        <f>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'2025年度出願'!$M:$M,"&lt;="&amp;日付設定!$B$1,'2025年度出願'!$E:$E,日付設定!$E$3,'2025年度出願'!$Y:$Y,"&lt;&gt;"&amp;"")
+COUNTIFS('2025年度出願'!$M:$M,"&gt;="&amp;DATE(LEFT($B28,LEN($B28)-2)-IF(VALUE(LEFT(I$23,LEN(I$23)-1))&lt;=4,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'2025年度出願'!$M:$M,"&lt;="&amp;日付設定!$B$1,'2025年度出願'!$E:$E,日付設定!$E$3,'2025年度出願'!$Y:$Y,"="&amp;"",'2025年度出願'!$AR:$AR,"N")
+COUNTIFS('2025年度出願'!$M:$M,"&gt;="&amp;DATE(LEFT($B28,LEN($B28)-2)-IF(VALUE(LEFT(I$23,LEN(I$23)-1))&lt;=4,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K28" s="145">
        <f>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'2025年度出願'!$AG:$AG,日付設定!$E$3)
-COUNTIFS('2025年度出願'!$AA:$AA,"&gt;="&amp;DATE(LEFT($B28,LEN($B28)-2)-IF(VALUE(LEFT(I$23,LEN(I$23)-1))&lt;=4,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'2025年度出願'!$T:$T,日付設定!$F$8,
'2025年度出願'!$AG:$AG,日付設定!$E$3)
-COUNTIFS('2025年度出願'!$AA:$AA,"&gt;="&amp;DATE(LEFT($B28,LEN($B28)-2)-IF(VALUE(LEFT(I$23,LEN(I$23)-1))&lt;=4,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'2025年度出願'!$T:$T,日付設定!$F$11,
'2025年度出願'!$AG:$AG,日付設定!$E$3)</f>
        <v>0</v>
      </c>
      <c r="L28" s="143">
        <f>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'2025年度出願'!$M:$M,"&lt;="&amp;日付設定!$B$1,'2025年度出願'!$T:$T,日付設定!$F$11,'2025年度出願'!$E:$E,日付設定!$E$3)</f>
        <v>102</v>
      </c>
      <c r="M28" s="144">
        <f>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'2025年度出願'!$M:$M,"&lt;="&amp;日付設定!$B$1,'2025年度出願'!$E:$E,日付設定!$E$3,'2025年度出願'!$Y:$Y,"&lt;&gt;"&amp;"")
+COUNTIFS('2025年度出願'!$M:$M,"&gt;="&amp;DATE(LEFT($B28,LEN($B28)-2)-IF(VALUE(LEFT(L$23,LEN(L$23)-1))&lt;=4,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'2025年度出願'!$M:$M,"&lt;="&amp;日付設定!$B$1,'2025年度出願'!$E:$E,日付設定!$E$3,'2025年度出願'!$Y:$Y,"="&amp;"",'2025年度出願'!$AR:$AR,"N")
+COUNTIFS('2025年度出願'!$M:$M,"&gt;="&amp;DATE(LEFT($B28,LEN($B28)-2)-IF(VALUE(LEFT(L$23,LEN(L$23)-1))&lt;=4,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'2025年度出願'!$M:$M,"&lt;="&amp;日付設定!$B$1,'2025年度出願'!$T:$T,日付設定!$F$11,'2025年度出願'!$E:$E,日付設定!$E$3,'2025年度出願'!$Y:$Y,"="&amp;"",'2025年度出願'!$AR:$AR,"S",'2025年度出願'!$AS:$AS,"N")</f>
        <v>5</v>
      </c>
      <c r="N28" s="145">
        <f>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'2025年度出願'!$AG:$AG,日付設定!$E$3)
-COUNTIFS('2025年度出願'!$AA:$AA,"&gt;="&amp;DATE(LEFT($B28,LEN($B28)-2)-IF(VALUE(LEFT(L$23,LEN(L$23)-1))&lt;=4,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'2025年度出願'!$T:$T,日付設定!$F$8,
'2025年度出願'!$AG:$AG,日付設定!$E$3)
-COUNTIFS('2025年度出願'!$AA:$AA,"&gt;="&amp;DATE(LEFT($B28,LEN($B28)-2)-IF(VALUE(LEFT(L$23,LEN(L$23)-1))&lt;=4,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'2025年度出願'!$T:$T,日付設定!$F$11,
'2025年度出願'!$AG:$AG,日付設定!$E$3)</f>
        <v>9</v>
      </c>
      <c r="O28" s="143">
        <f>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'2025年度出願'!$M:$M,"&lt;="&amp;日付設定!$B$1,'2025年度出願'!$T:$T,日付設定!$F$11,'2025年度出願'!$E:$E,日付設定!$E$3)</f>
        <v>66</v>
      </c>
      <c r="P28" s="144">
        <f>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'2025年度出願'!$M:$M,"&lt;="&amp;日付設定!$B$1,'2025年度出願'!$E:$E,日付設定!$E$3,'2025年度出願'!$Y:$Y,"&lt;&gt;"&amp;"")
+COUNTIFS('2025年度出願'!$M:$M,"&gt;="&amp;DATE(LEFT($B28,LEN($B28)-2)-IF(VALUE(LEFT(O$23,LEN(O$23)-1))&lt;=4,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'2025年度出願'!$M:$M,"&lt;="&amp;日付設定!$B$1,'2025年度出願'!$E:$E,日付設定!$E$3,'2025年度出願'!$Y:$Y,"="&amp;"",'2025年度出願'!$AR:$AR,"N")
+COUNTIFS('2025年度出願'!$M:$M,"&gt;="&amp;DATE(LEFT($B28,LEN($B28)-2)-IF(VALUE(LEFT(O$23,LEN(O$23)-1))&lt;=4,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'2025年度出願'!$M:$M,"&lt;="&amp;日付設定!$B$1,'2025年度出願'!$T:$T,日付設定!$F$11,'2025年度出願'!$E:$E,日付設定!$E$3,'2025年度出願'!$Y:$Y,"="&amp;"",'2025年度出願'!$AR:$AR,"S",'2025年度出願'!$AS:$AS,"N")</f>
        <v>18</v>
      </c>
      <c r="Q28" s="145">
        <f>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'2025年度出願'!$AG:$AG,日付設定!$E$3)
-COUNTIFS('2025年度出願'!$AA:$AA,"&gt;="&amp;DATE(LEFT($B28,LEN($B28)-2)-IF(VALUE(LEFT(O$23,LEN(O$23)-1))&lt;=4,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'2025年度出願'!$T:$T,日付設定!$F$8,
'2025年度出願'!$AG:$AG,日付設定!$E$3)
-COUNTIFS('2025年度出願'!$AA:$AA,"&gt;="&amp;DATE(LEFT($B28,LEN($B28)-2)-IF(VALUE(LEFT(O$23,LEN(O$23)-1))&lt;=4,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'2025年度出願'!$T:$T,日付設定!$F$11,
'2025年度出願'!$AG:$AG,日付設定!$E$3)</f>
        <v>67</v>
      </c>
      <c r="R28" s="143">
        <f>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'2025年度出願'!$M:$M,"&lt;="&amp;日付設定!$B$1,'2025年度出願'!$T:$T,日付設定!$F$11,'2025年度出願'!$E:$E,日付設定!$E$3)</f>
        <v>8</v>
      </c>
      <c r="S28" s="144">
        <f>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'2025年度出願'!$M:$M,"&lt;="&amp;日付設定!$B$1,'2025年度出願'!$E:$E,日付設定!$E$3,'2025年度出願'!$Y:$Y,"&lt;&gt;"&amp;"")
+COUNTIFS('2025年度出願'!$M:$M,"&gt;="&amp;DATE(LEFT($B28,LEN($B28)-2)-IF(VALUE(LEFT(R$23,LEN(R$23)-1))&lt;=4,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'2025年度出願'!$M:$M,"&lt;="&amp;日付設定!$B$1,'2025年度出願'!$E:$E,日付設定!$E$3,'2025年度出願'!$Y:$Y,"="&amp;"",'2025年度出願'!$AR:$AR,"N")
+COUNTIFS('2025年度出願'!$M:$M,"&gt;="&amp;DATE(LEFT($B28,LEN($B28)-2)-IF(VALUE(LEFT(R$23,LEN(R$23)-1))&lt;=4,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T28" s="145">
        <f>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'2025年度出願'!$AG:$AG,日付設定!$E$3)
-COUNTIFS('2025年度出願'!$AA:$AA,"&gt;="&amp;DATE(LEFT($B28,LEN($B28)-2)-IF(VALUE(LEFT(R$23,LEN(R$23)-1))&lt;=4,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'2025年度出願'!$T:$T,日付設定!$F$8,
'2025年度出願'!$AG:$AG,日付設定!$E$3)
-COUNTIFS('2025年度出願'!$AA:$AA,"&gt;="&amp;DATE(LEFT($B28,LEN($B28)-2)-IF(VALUE(LEFT(R$23,LEN(R$23)-1))&lt;=4,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'2025年度出願'!$T:$T,日付設定!$F$11,
'2025年度出願'!$AG:$AG,日付設定!$E$3)</f>
        <v>31</v>
      </c>
      <c r="U28" s="143">
        <f>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'2025年度出願'!$M:$M,"&lt;="&amp;日付設定!$B$1,'2025年度出願'!$T:$T,日付設定!$F$11,'2025年度出願'!$E:$E,日付設定!$E$3)</f>
        <v>5</v>
      </c>
      <c r="V28" s="144">
        <f>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'2025年度出願'!$M:$M,"&lt;="&amp;日付設定!$B$1,'2025年度出願'!$E:$E,日付設定!$E$3,'2025年度出願'!$Y:$Y,"&lt;&gt;"&amp;"")
+COUNTIFS('2025年度出願'!$M:$M,"&gt;="&amp;DATE(LEFT($B28,LEN($B28)-2)-IF(VALUE(LEFT(U$23,LEN(U$23)-1))&lt;=4,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'2025年度出願'!$M:$M,"&lt;="&amp;日付設定!$B$1,'2025年度出願'!$E:$E,日付設定!$E$3,'2025年度出願'!$Y:$Y,"="&amp;"",'2025年度出願'!$AR:$AR,"N")
+COUNTIFS('2025年度出願'!$M:$M,"&gt;="&amp;DATE(LEFT($B28,LEN($B28)-2)-IF(VALUE(LEFT(U$23,LEN(U$23)-1))&lt;=4,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W28" s="145">
        <f>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'2025年度出願'!$AG:$AG,日付設定!$E$3)
-COUNTIFS('2025年度出願'!$AA:$AA,"&gt;="&amp;DATE(LEFT($B28,LEN($B28)-2)-IF(VALUE(LEFT(U$23,LEN(U$23)-1))&lt;=4,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'2025年度出願'!$T:$T,日付設定!$F$8,
'2025年度出願'!$AG:$AG,日付設定!$E$3)
-COUNTIFS('2025年度出願'!$AA:$AA,"&gt;="&amp;DATE(LEFT($B28,LEN($B28)-2)-IF(VALUE(LEFT(U$23,LEN(U$23)-1))&lt;=4,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'2025年度出願'!$T:$T,日付設定!$F$11,
'2025年度出願'!$AG:$AG,日付設定!$E$3)</f>
        <v>11</v>
      </c>
      <c r="X28" s="143">
        <f>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'2025年度出願'!$M:$M,"&lt;="&amp;日付設定!$B$1,'2025年度出願'!$T:$T,日付設定!$F$11,'2025年度出願'!$E:$E,日付設定!$E$3)</f>
        <v>8</v>
      </c>
      <c r="Y28" s="144">
        <f>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'2025年度出願'!$M:$M,"&lt;="&amp;日付設定!$B$1,'2025年度出願'!$E:$E,日付設定!$E$3,'2025年度出願'!$Y:$Y,"&lt;&gt;"&amp;"")
+COUNTIFS('2025年度出願'!$M:$M,"&gt;="&amp;DATE(LEFT($B28,LEN($B28)-2)-IF(VALUE(LEFT(X$23,LEN(X$23)-1))&lt;=4,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'2025年度出願'!$M:$M,"&lt;="&amp;日付設定!$B$1,'2025年度出願'!$E:$E,日付設定!$E$3,'2025年度出願'!$Y:$Y,"="&amp;"",'2025年度出願'!$AR:$AR,"N")
+COUNTIFS('2025年度出願'!$M:$M,"&gt;="&amp;DATE(LEFT($B28,LEN($B28)-2)-IF(VALUE(LEFT(X$23,LEN(X$23)-1))&lt;=4,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Z28" s="145">
        <f>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'2025年度出願'!$AG:$AG,日付設定!$E$3)
-COUNTIFS('2025年度出願'!$AA:$AA,"&gt;="&amp;DATE(LEFT($B28,LEN($B28)-2)-IF(VALUE(LEFT(X$23,LEN(X$23)-1))&lt;=4,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'2025年度出願'!$T:$T,日付設定!$F$8,
'2025年度出願'!$AG:$AG,日付設定!$E$3)
-COUNTIFS('2025年度出願'!$AA:$AA,"&gt;="&amp;DATE(LEFT($B28,LEN($B28)-2)-IF(VALUE(LEFT(X$23,LEN(X$23)-1))&lt;=4,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'2025年度出願'!$T:$T,日付設定!$F$11,
'2025年度出願'!$AG:$AG,日付設定!$E$3)</f>
        <v>30</v>
      </c>
      <c r="AA28" s="143">
        <f>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'2025年度出願'!$M:$M,"&lt;="&amp;日付設定!$B$1,'2025年度出願'!$T:$T,日付設定!$F$11,'2025年度出願'!$E:$E,日付設定!$E$3)</f>
        <v>3</v>
      </c>
      <c r="AB28" s="144">
        <f>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'2025年度出願'!$M:$M,"&lt;="&amp;日付設定!$B$1,'2025年度出願'!$E:$E,日付設定!$E$3,'2025年度出願'!$Y:$Y,"&lt;&gt;"&amp;"")
+COUNTIFS('2025年度出願'!$M:$M,"&gt;="&amp;DATE(LEFT($B28,LEN($B28)-2)-IF(VALUE(LEFT(AA$23,LEN(AA$23)-1))&lt;=4,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'2025年度出願'!$M:$M,"&lt;="&amp;日付設定!$B$1,'2025年度出願'!$E:$E,日付設定!$E$3,'2025年度出願'!$Y:$Y,"="&amp;"",'2025年度出願'!$AR:$AR,"N")
+COUNTIFS('2025年度出願'!$M:$M,"&gt;="&amp;DATE(LEFT($B28,LEN($B28)-2)-IF(VALUE(LEFT(AA$23,LEN(AA$23)-1))&lt;=4,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AC28" s="145">
        <f>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'2025年度出願'!$AG:$AG,日付設定!$E$3)
-COUNTIFS('2025年度出願'!$AA:$AA,"&gt;="&amp;DATE(LEFT($B28,LEN($B28)-2)-IF(VALUE(LEFT(AA$23,LEN(AA$23)-1))&lt;=4,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'2025年度出願'!$T:$T,日付設定!$F$8,
'2025年度出願'!$AG:$AG,日付設定!$E$3)
-COUNTIFS('2025年度出願'!$AA:$AA,"&gt;="&amp;DATE(LEFT($B28,LEN($B28)-2)-IF(VALUE(LEFT(AA$23,LEN(AA$23)-1))&lt;=4,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'2025年度出願'!$T:$T,日付設定!$F$11,
'2025年度出願'!$AG:$AG,日付設定!$E$3)</f>
        <v>12</v>
      </c>
      <c r="AD28" s="143">
        <f>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'2025年度出願'!$M:$M,"&lt;="&amp;日付設定!$B$1,'2025年度出願'!$T:$T,日付設定!$F$11,'2025年度出願'!$E:$E,日付設定!$E$3)</f>
        <v>12</v>
      </c>
      <c r="AE28" s="144">
        <f>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'2025年度出願'!$M:$M,"&lt;="&amp;日付設定!$B$1,'2025年度出願'!$E:$E,日付設定!$E$3,'2025年度出願'!$Y:$Y,"&lt;&gt;"&amp;"")
+COUNTIFS('2025年度出願'!$M:$M,"&gt;="&amp;DATE(LEFT($B28,LEN($B28)-2)-IF(VALUE(LEFT(AD$23,LEN(AD$23)-1))&lt;=4,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'2025年度出願'!$M:$M,"&lt;="&amp;日付設定!$B$1,'2025年度出願'!$E:$E,日付設定!$E$3,'2025年度出願'!$Y:$Y,"="&amp;"",'2025年度出願'!$AR:$AR,"N")
+COUNTIFS('2025年度出願'!$M:$M,"&gt;="&amp;DATE(LEFT($B28,LEN($B28)-2)-IF(VALUE(LEFT(AD$23,LEN(AD$23)-1))&lt;=4,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AF28" s="145">
        <f>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'2025年度出願'!$AG:$AG,日付設定!$E$3)
-COUNTIFS('2025年度出願'!$AA:$AA,"&gt;="&amp;DATE(LEFT($B28,LEN($B28)-2)-IF(VALUE(LEFT(AD$23,LEN(AD$23)-1))&lt;=4,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'2025年度出願'!$T:$T,日付設定!$F$8,
'2025年度出願'!$AG:$AG,日付設定!$E$3)
-COUNTIFS('2025年度出願'!$AA:$AA,"&gt;="&amp;DATE(LEFT($B28,LEN($B28)-2)-IF(VALUE(LEFT(AD$23,LEN(AD$23)-1))&lt;=4,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'2025年度出願'!$T:$T,日付設定!$F$11,
'2025年度出願'!$AG:$AG,日付設定!$E$3)</f>
        <v>13</v>
      </c>
      <c r="AG28" s="143">
        <f>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'2025年度出願'!$M:$M,"&lt;="&amp;日付設定!$B$1,'2025年度出願'!$T:$T,日付設定!$F$11,'2025年度出願'!$E:$E,日付設定!$E$3)</f>
        <v>0</v>
      </c>
      <c r="AH28" s="144">
        <f>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'2025年度出願'!$M:$M,"&lt;="&amp;日付設定!$B$1,'2025年度出願'!$E:$E,日付設定!$E$3,'2025年度出願'!$Y:$Y,"&lt;&gt;"&amp;"")
+COUNTIFS('2025年度出願'!$M:$M,"&gt;="&amp;DATE(LEFT($B28,LEN($B28)-2)-IF(VALUE(LEFT(AG$23,LEN(AG$23)-1))&lt;=4,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'2025年度出願'!$M:$M,"&lt;="&amp;日付設定!$B$1,'2025年度出願'!$E:$E,日付設定!$E$3,'2025年度出願'!$Y:$Y,"="&amp;"",'2025年度出願'!$AR:$AR,"N")
+COUNTIFS('2025年度出願'!$M:$M,"&gt;="&amp;DATE(LEFT($B28,LEN($B28)-2)-IF(VALUE(LEFT(AG$23,LEN(AG$23)-1))&lt;=4,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AI28" s="145">
        <f>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'2025年度出願'!$AG:$AG,日付設定!$E$3)
-COUNTIFS('2025年度出願'!$AA:$AA,"&gt;="&amp;DATE(LEFT($B28,LEN($B28)-2)-IF(VALUE(LEFT(AG$23,LEN(AG$23)-1))&lt;=4,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'2025年度出願'!$T:$T,日付設定!$F$8,
'2025年度出願'!$AG:$AG,日付設定!$E$3)
-COUNTIFS('2025年度出願'!$AA:$AA,"&gt;="&amp;DATE(LEFT($B28,LEN($B28)-2)-IF(VALUE(LEFT(AG$23,LEN(AG$23)-1))&lt;=4,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'2025年度出願'!$T:$T,日付設定!$F$11,
'2025年度出願'!$AG:$AG,日付設定!$E$3)</f>
        <v>5</v>
      </c>
      <c r="AJ28" s="143">
        <f t="shared" si="5"/>
        <v>204</v>
      </c>
      <c r="AK28" s="144">
        <f t="shared" si="5"/>
        <v>26</v>
      </c>
      <c r="AL28" s="145">
        <f t="shared" si="5"/>
        <v>178</v>
      </c>
    </row>
    <row r="29" spans="1:40" ht="51.75" customHeight="1" x14ac:dyDescent="0.45">
      <c r="A29" s="182"/>
      <c r="B29" s="138" t="s">
        <v>2660</v>
      </c>
      <c r="C29" s="132">
        <f>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'2024年度出願'!$M:$M,"&lt;="&amp;日付設定!$B$2,'2024年度出願'!$T:$T,日付設定!$F$11,'2024年度出願'!$E:$E,日付設定!$E$3)</f>
        <v>0</v>
      </c>
      <c r="D29" s="134">
        <f>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'2024年度出願'!$M:$M,"&lt;="&amp;日付設定!$B$2,'2024年度出願'!$E:$E,日付設定!$E$3,'2024年度出願'!$Y:$Y,"&lt;&gt;"&amp;"")
+COUNTIFS('2024年度出願'!$M:$M,"&gt;="&amp;DATE(LEFT($B29,LEN($B29)-2)-IF(VALUE(LEFT(C$23,LEN(C$23)-1))&lt;=4,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'2024年度出願'!$M:$M,"&lt;="&amp;日付設定!$B$2,'2024年度出願'!$E:$E,日付設定!$E$3,'2024年度出願'!$Y:$Y,"="&amp;"",'2024年度出願'!$AR:$AR,"N")
+COUNTIFS('2024年度出願'!$M:$M,"&gt;="&amp;DATE(LEFT($B29,LEN($B29)-2)-IF(VALUE(LEFT(C$23,LEN(C$23)-1))&lt;=4,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E29" s="133">
        <f>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'2024年度出願'!$AA:$AA,"&lt;="&amp;日付設定!$B$2,'2024年度出願'!$AG:$AG,日付設定!$E$3)
-COUNTIFS('2024年度出願'!$AA:$AA,"&gt;="&amp;DATE(LEFT($B29,LEN($B29)-2)-IF(VALUE(LEFT(C$23,LEN(C$23)-1))&lt;=4,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'2024年度出願'!$AA:$AA,"&lt;="&amp;日付設定!$B$2,'2024年度出願'!$T:$T,日付設定!$F$8,'2024年度出願'!$AG:$AG,日付設定!$E$3)
-COUNTIFS('2024年度出願'!$AA:$AA,"&gt;="&amp;DATE(LEFT($B29,LEN($B29)-2)-IF(VALUE(LEFT(C$23,LEN(C$23)-1))&lt;=4,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'2024年度出願'!$AA:$AA,"&lt;="&amp;日付設定!$B$2,'2024年度出願'!$T:$T,日付設定!$F$11,'2024年度出願'!$AG:$AG,日付設定!$E$3)</f>
        <v>0</v>
      </c>
      <c r="F29" s="132">
        <f>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'2024年度出願'!$M:$M,"&lt;="&amp;日付設定!$B$2,'2024年度出願'!$T:$T,日付設定!$F$11,'2024年度出願'!$E:$E,日付設定!$E$3)</f>
        <v>0</v>
      </c>
      <c r="G29" s="134">
        <f>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'2024年度出願'!$M:$M,"&lt;="&amp;日付設定!$B$2,'2024年度出願'!$E:$E,日付設定!$E$3,'2024年度出願'!$Y:$Y,"&lt;&gt;"&amp;"")
+COUNTIFS('2024年度出願'!$M:$M,"&gt;="&amp;DATE(LEFT($B29,LEN($B29)-2)-IF(VALUE(LEFT(F$23,LEN(F$23)-1))&lt;=4,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'2024年度出願'!$M:$M,"&lt;="&amp;日付設定!$B$2,'2024年度出願'!$E:$E,日付設定!$E$3,'2024年度出願'!$Y:$Y,"="&amp;"",'2024年度出願'!$AR:$AR,"N")
+COUNTIFS('2024年度出願'!$M:$M,"&gt;="&amp;DATE(LEFT($B29,LEN($B29)-2)-IF(VALUE(LEFT(F$23,LEN(F$23)-1))&lt;=4,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H29" s="133">
        <f>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'2024年度出願'!$AA:$AA,"&lt;="&amp;日付設定!$B$2,'2024年度出願'!$AG:$AG,日付設定!$E$3)
-COUNTIFS('2024年度出願'!$AA:$AA,"&gt;="&amp;DATE(LEFT($B29,LEN($B29)-2)-IF(VALUE(LEFT(F$23,LEN(F$23)-1))&lt;=4,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'2024年度出願'!$AA:$AA,"&lt;="&amp;日付設定!$B$2,'2024年度出願'!$T:$T,日付設定!$F$8,'2024年度出願'!$AG:$AG,日付設定!$E$3)
-COUNTIFS('2024年度出願'!$AA:$AA,"&gt;="&amp;DATE(LEFT($B29,LEN($B29)-2)-IF(VALUE(LEFT(F$23,LEN(F$23)-1))&lt;=4,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'2024年度出願'!$AA:$AA,"&lt;="&amp;日付設定!$B$2,'2024年度出願'!$T:$T,日付設定!$F$11,'2024年度出願'!$AG:$AG,日付設定!$E$3)</f>
        <v>0</v>
      </c>
      <c r="I29" s="132">
        <f>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'2024年度出願'!$M:$M,"&lt;="&amp;日付設定!$B$2,'2024年度出願'!$T:$T,日付設定!$F$11,'2024年度出願'!$E:$E,日付設定!$E$3)</f>
        <v>0</v>
      </c>
      <c r="J29" s="134">
        <f>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'2024年度出願'!$M:$M,"&lt;="&amp;日付設定!$B$2,'2024年度出願'!$E:$E,日付設定!$E$3,'2024年度出願'!$Y:$Y,"&lt;&gt;"&amp;"")
+COUNTIFS('2024年度出願'!$M:$M,"&gt;="&amp;DATE(LEFT($B29,LEN($B29)-2)-IF(VALUE(LEFT(I$23,LEN(I$23)-1))&lt;=4,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'2024年度出願'!$M:$M,"&lt;="&amp;日付設定!$B$2,'2024年度出願'!$E:$E,日付設定!$E$3,'2024年度出願'!$Y:$Y,"="&amp;"",'2024年度出願'!$AR:$AR,"N")
+COUNTIFS('2024年度出願'!$M:$M,"&gt;="&amp;DATE(LEFT($B29,LEN($B29)-2)-IF(VALUE(LEFT(I$23,LEN(I$23)-1))&lt;=4,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K29" s="133">
        <f>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'2024年度出願'!$AA:$AA,"&lt;="&amp;日付設定!$B$2,'2024年度出願'!$AG:$AG,日付設定!$E$3)
-COUNTIFS('2024年度出願'!$AA:$AA,"&gt;="&amp;DATE(LEFT($B29,LEN($B29)-2)-IF(VALUE(LEFT(I$23,LEN(I$23)-1))&lt;=4,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'2024年度出願'!$AA:$AA,"&lt;="&amp;日付設定!$B$2,'2024年度出願'!$T:$T,日付設定!$F$8,'2024年度出願'!$AG:$AG,日付設定!$E$3)
-COUNTIFS('2024年度出願'!$AA:$AA,"&gt;="&amp;DATE(LEFT($B29,LEN($B29)-2)-IF(VALUE(LEFT(I$23,LEN(I$23)-1))&lt;=4,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'2024年度出願'!$AA:$AA,"&lt;="&amp;日付設定!$B$2,'2024年度出願'!$T:$T,日付設定!$F$11,'2024年度出願'!$AG:$AG,日付設定!$E$3)</f>
        <v>0</v>
      </c>
      <c r="L29" s="132">
        <f>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'2024年度出願'!$M:$M,"&lt;="&amp;日付設定!$B$2,'2024年度出願'!$T:$T,日付設定!$F$11,'2024年度出願'!$E:$E,日付設定!$E$3)</f>
        <v>75</v>
      </c>
      <c r="M29" s="134">
        <f>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'2024年度出願'!$M:$M,"&lt;="&amp;日付設定!$B$2,'2024年度出願'!$E:$E,日付設定!$E$3,'2024年度出願'!$Y:$Y,"&lt;&gt;"&amp;"")
+COUNTIFS('2024年度出願'!$M:$M,"&gt;="&amp;DATE(LEFT($B29,LEN($B29)-2)-IF(VALUE(LEFT(L$23,LEN(L$23)-1))&lt;=4,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'2024年度出願'!$M:$M,"&lt;="&amp;日付設定!$B$2,'2024年度出願'!$E:$E,日付設定!$E$3,'2024年度出願'!$Y:$Y,"="&amp;"",'2024年度出願'!$AR:$AR,"N")
+COUNTIFS('2024年度出願'!$M:$M,"&gt;="&amp;DATE(LEFT($B29,LEN($B29)-2)-IF(VALUE(LEFT(L$23,LEN(L$23)-1))&lt;=4,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'2024年度出願'!$M:$M,"&lt;="&amp;日付設定!$B$2,'2024年度出願'!$T:$T,日付設定!$F$11,'2024年度出願'!$E:$E,日付設定!$E$3,'2024年度出願'!$Y:$Y,"="&amp;"",'2024年度出願'!$AR:$AR,"S",'2024年度出願'!$AS:$AS,"N")</f>
        <v>7</v>
      </c>
      <c r="N29" s="133">
        <f>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'2024年度出願'!$AA:$AA,"&lt;="&amp;日付設定!$B$2,'2024年度出願'!$AG:$AG,日付設定!$E$3)
-COUNTIFS('2024年度出願'!$AA:$AA,"&gt;="&amp;DATE(LEFT($B29,LEN($B29)-2)-IF(VALUE(LEFT(L$23,LEN(L$23)-1))&lt;=4,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'2024年度出願'!$AA:$AA,"&lt;="&amp;日付設定!$B$2,'2024年度出願'!$T:$T,日付設定!$F$8,'2024年度出願'!$AG:$AG,日付設定!$E$3)
-COUNTIFS('2024年度出願'!$AA:$AA,"&gt;="&amp;DATE(LEFT($B29,LEN($B29)-2)-IF(VALUE(LEFT(L$23,LEN(L$23)-1))&lt;=4,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'2024年度出願'!$AA:$AA,"&lt;="&amp;日付設定!$B$2,'2024年度出願'!$T:$T,日付設定!$F$11,'2024年度出願'!$AG:$AG,日付設定!$E$3)</f>
        <v>5</v>
      </c>
      <c r="O29" s="132">
        <f>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'2024年度出願'!$M:$M,"&lt;="&amp;日付設定!$B$2,'2024年度出願'!$T:$T,日付設定!$F$11,'2024年度出願'!$E:$E,日付設定!$E$3)</f>
        <v>69</v>
      </c>
      <c r="P29" s="134">
        <f>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'2024年度出願'!$M:$M,"&lt;="&amp;日付設定!$B$2,'2024年度出願'!$E:$E,日付設定!$E$3,'2024年度出願'!$Y:$Y,"&lt;&gt;"&amp;"")
+COUNTIFS('2024年度出願'!$M:$M,"&gt;="&amp;DATE(LEFT($B29,LEN($B29)-2)-IF(VALUE(LEFT(O$23,LEN(O$23)-1))&lt;=4,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'2024年度出願'!$M:$M,"&lt;="&amp;日付設定!$B$2,'2024年度出願'!$E:$E,日付設定!$E$3,'2024年度出願'!$Y:$Y,"="&amp;"",'2024年度出願'!$AR:$AR,"N")
+COUNTIFS('2024年度出願'!$M:$M,"&gt;="&amp;DATE(LEFT($B29,LEN($B29)-2)-IF(VALUE(LEFT(O$23,LEN(O$23)-1))&lt;=4,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'2024年度出願'!$M:$M,"&lt;="&amp;日付設定!$B$2,'2024年度出願'!$T:$T,日付設定!$F$11,'2024年度出願'!$E:$E,日付設定!$E$3,'2024年度出願'!$Y:$Y,"="&amp;"",'2024年度出願'!$AR:$AR,"S",'2024年度出願'!$AS:$AS,"N")</f>
        <v>21</v>
      </c>
      <c r="Q29" s="133">
        <f>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'2024年度出願'!$AA:$AA,"&lt;="&amp;日付設定!$B$2,'2024年度出願'!$AG:$AG,日付設定!$E$3)
-COUNTIFS('2024年度出願'!$AA:$AA,"&gt;="&amp;DATE(LEFT($B29,LEN($B29)-2)-IF(VALUE(LEFT(O$23,LEN(O$23)-1))&lt;=4,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'2024年度出願'!$AA:$AA,"&lt;="&amp;日付設定!$B$2,'2024年度出願'!$T:$T,日付設定!$F$8,'2024年度出願'!$AG:$AG,日付設定!$E$3)
-COUNTIFS('2024年度出願'!$AA:$AA,"&gt;="&amp;DATE(LEFT($B29,LEN($B29)-2)-IF(VALUE(LEFT(O$23,LEN(O$23)-1))&lt;=4,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'2024年度出願'!$AA:$AA,"&lt;="&amp;日付設定!$B$2,'2024年度出願'!$T:$T,日付設定!$F$11,'2024年度出願'!$AG:$AG,日付設定!$E$3)</f>
        <v>52</v>
      </c>
      <c r="R29" s="132">
        <f>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'2024年度出願'!$M:$M,"&lt;="&amp;日付設定!$B$2,'2024年度出願'!$T:$T,日付設定!$F$11,'2024年度出願'!$E:$E,日付設定!$E$3)</f>
        <v>2</v>
      </c>
      <c r="S29" s="134">
        <f>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'2024年度出願'!$M:$M,"&lt;="&amp;日付設定!$B$2,'2024年度出願'!$E:$E,日付設定!$E$3,'2024年度出願'!$Y:$Y,"&lt;&gt;"&amp;"")
+COUNTIFS('2024年度出願'!$M:$M,"&gt;="&amp;DATE(LEFT($B29,LEN($B29)-2)-IF(VALUE(LEFT(R$23,LEN(R$23)-1))&lt;=4,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'2024年度出願'!$M:$M,"&lt;="&amp;日付設定!$B$2,'2024年度出願'!$E:$E,日付設定!$E$3,'2024年度出願'!$Y:$Y,"="&amp;"",'2024年度出願'!$AR:$AR,"N")
+COUNTIFS('2024年度出願'!$M:$M,"&gt;="&amp;DATE(LEFT($B29,LEN($B29)-2)-IF(VALUE(LEFT(R$23,LEN(R$23)-1))&lt;=4,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'2024年度出願'!$M:$M,"&lt;="&amp;日付設定!$B$2,'2024年度出願'!$T:$T,日付設定!$F$11,'2024年度出願'!$E:$E,日付設定!$E$3,'2024年度出願'!$Y:$Y,"="&amp;"",'2024年度出願'!$AR:$AR,"S",'2024年度出願'!$AS:$AS,"N")</f>
        <v>1</v>
      </c>
      <c r="T29" s="133">
        <f>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'2024年度出願'!$AA:$AA,"&lt;="&amp;日付設定!$B$2,'2024年度出願'!$AG:$AG,日付設定!$E$3)
-COUNTIFS('2024年度出願'!$AA:$AA,"&gt;="&amp;DATE(LEFT($B29,LEN($B29)-2)-IF(VALUE(LEFT(R$23,LEN(R$23)-1))&lt;=4,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'2024年度出願'!$AA:$AA,"&lt;="&amp;日付設定!$B$2,'2024年度出願'!$T:$T,日付設定!$F$8,'2024年度出願'!$AG:$AG,日付設定!$E$3)
-COUNTIFS('2024年度出願'!$AA:$AA,"&gt;="&amp;DATE(LEFT($B29,LEN($B29)-2)-IF(VALUE(LEFT(R$23,LEN(R$23)-1))&lt;=4,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'2024年度出願'!$AA:$AA,"&lt;="&amp;日付設定!$B$2,'2024年度出願'!$T:$T,日付設定!$F$11,'2024年度出願'!$AG:$AG,日付設定!$E$3)</f>
        <v>27</v>
      </c>
      <c r="U29" s="132">
        <f>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'2024年度出願'!$M:$M,"&lt;="&amp;日付設定!$B$2,'2024年度出願'!$T:$T,日付設定!$F$11,'2024年度出願'!$E:$E,日付設定!$E$3)</f>
        <v>0</v>
      </c>
      <c r="V29" s="134">
        <f>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'2024年度出願'!$M:$M,"&lt;="&amp;日付設定!$B$2,'2024年度出願'!$E:$E,日付設定!$E$3,'2024年度出願'!$Y:$Y,"&lt;&gt;"&amp;"")
+COUNTIFS('2024年度出願'!$M:$M,"&gt;="&amp;DATE(LEFT($B29,LEN($B29)-2)-IF(VALUE(LEFT(U$23,LEN(U$23)-1))&lt;=4,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'2024年度出願'!$M:$M,"&lt;="&amp;日付設定!$B$2,'2024年度出願'!$E:$E,日付設定!$E$3,'2024年度出願'!$Y:$Y,"="&amp;"",'2024年度出願'!$AR:$AR,"N")
+COUNTIFS('2024年度出願'!$M:$M,"&gt;="&amp;DATE(LEFT($B29,LEN($B29)-2)-IF(VALUE(LEFT(U$23,LEN(U$23)-1))&lt;=4,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W29" s="133">
        <f>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'2024年度出願'!$AA:$AA,"&lt;="&amp;日付設定!$B$2,'2024年度出願'!$AG:$AG,日付設定!$E$3)
-COUNTIFS('2024年度出願'!$AA:$AA,"&gt;="&amp;DATE(LEFT($B29,LEN($B29)-2)-IF(VALUE(LEFT(U$23,LEN(U$23)-1))&lt;=4,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'2024年度出願'!$AA:$AA,"&lt;="&amp;日付設定!$B$2,'2024年度出願'!$T:$T,日付設定!$F$8,'2024年度出願'!$AG:$AG,日付設定!$E$3)
-COUNTIFS('2024年度出願'!$AA:$AA,"&gt;="&amp;DATE(LEFT($B29,LEN($B29)-2)-IF(VALUE(LEFT(U$23,LEN(U$23)-1))&lt;=4,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'2024年度出願'!$AA:$AA,"&lt;="&amp;日付設定!$B$2,'2024年度出願'!$T:$T,日付設定!$F$11,'2024年度出願'!$AG:$AG,日付設定!$E$3)</f>
        <v>17</v>
      </c>
      <c r="X29" s="132">
        <f>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'2024年度出願'!$M:$M,"&lt;="&amp;日付設定!$B$2,'2024年度出願'!$T:$T,日付設定!$F$11,'2024年度出願'!$E:$E,日付設定!$E$3)</f>
        <v>0</v>
      </c>
      <c r="Y29" s="134">
        <f>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'2024年度出願'!$M:$M,"&lt;="&amp;日付設定!$B$2,'2024年度出願'!$E:$E,日付設定!$E$3,'2024年度出願'!$Y:$Y,"&lt;&gt;"&amp;"")
+COUNTIFS('2024年度出願'!$M:$M,"&gt;="&amp;DATE(LEFT($B29,LEN($B29)-2)-IF(VALUE(LEFT(X$23,LEN(X$23)-1))&lt;=4,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'2024年度出願'!$M:$M,"&lt;="&amp;日付設定!$B$2,'2024年度出願'!$E:$E,日付設定!$E$3,'2024年度出願'!$Y:$Y,"="&amp;"",'2024年度出願'!$AR:$AR,"N")
+COUNTIFS('2024年度出願'!$M:$M,"&gt;="&amp;DATE(LEFT($B29,LEN($B29)-2)-IF(VALUE(LEFT(X$23,LEN(X$23)-1))&lt;=4,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Z29" s="133">
        <f>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'2024年度出願'!$AA:$AA,"&lt;="&amp;日付設定!$B$2,'2024年度出願'!$AG:$AG,日付設定!$E$3)
-COUNTIFS('2024年度出願'!$AA:$AA,"&gt;="&amp;DATE(LEFT($B29,LEN($B29)-2)-IF(VALUE(LEFT(X$23,LEN(X$23)-1))&lt;=4,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'2024年度出願'!$AA:$AA,"&lt;="&amp;日付設定!$B$2,'2024年度出願'!$T:$T,日付設定!$F$8,'2024年度出願'!$AG:$AG,日付設定!$E$3)
-COUNTIFS('2024年度出願'!$AA:$AA,"&gt;="&amp;DATE(LEFT($B29,LEN($B29)-2)-IF(VALUE(LEFT(X$23,LEN(X$23)-1))&lt;=4,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'2024年度出願'!$AA:$AA,"&lt;="&amp;日付設定!$B$2,'2024年度出願'!$T:$T,日付設定!$F$11,'2024年度出願'!$AG:$AG,日付設定!$E$3)</f>
        <v>8</v>
      </c>
      <c r="AA29" s="132">
        <f>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'2024年度出願'!$M:$M,"&lt;="&amp;日付設定!$B$2,'2024年度出願'!$T:$T,日付設定!$F$11,'2024年度出願'!$E:$E,日付設定!$E$3)</f>
        <v>0</v>
      </c>
      <c r="AB29" s="134">
        <f>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'2024年度出願'!$M:$M,"&lt;="&amp;日付設定!$B$2,'2024年度出願'!$E:$E,日付設定!$E$3,'2024年度出願'!$Y:$Y,"&lt;&gt;"&amp;"")
+COUNTIFS('2024年度出願'!$M:$M,"&gt;="&amp;DATE(LEFT($B29,LEN($B29)-2)-IF(VALUE(LEFT(AA$23,LEN(AA$23)-1))&lt;=4,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'2024年度出願'!$M:$M,"&lt;="&amp;日付設定!$B$2,'2024年度出願'!$E:$E,日付設定!$E$3,'2024年度出願'!$Y:$Y,"="&amp;"",'2024年度出願'!$AR:$AR,"N")
+COUNTIFS('2024年度出願'!$M:$M,"&gt;="&amp;DATE(LEFT($B29,LEN($B29)-2)-IF(VALUE(LEFT(AA$23,LEN(AA$23)-1))&lt;=4,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C29" s="133">
        <f>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'2024年度出願'!$AA:$AA,"&lt;="&amp;日付設定!$B$2,'2024年度出願'!$AG:$AG,日付設定!$E$3)
-COUNTIFS('2024年度出願'!$AA:$AA,"&gt;="&amp;DATE(LEFT($B29,LEN($B29)-2)-IF(VALUE(LEFT(AA$23,LEN(AA$23)-1))&lt;=4,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'2024年度出願'!$AA:$AA,"&lt;="&amp;日付設定!$B$2,'2024年度出願'!$T:$T,日付設定!$F$8,'2024年度出願'!$AG:$AG,日付設定!$E$3)
-COUNTIFS('2024年度出願'!$AA:$AA,"&gt;="&amp;DATE(LEFT($B29,LEN($B29)-2)-IF(VALUE(LEFT(AA$23,LEN(AA$23)-1))&lt;=4,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'2024年度出願'!$AA:$AA,"&lt;="&amp;日付設定!$B$2,'2024年度出願'!$T:$T,日付設定!$F$11,'2024年度出願'!$AG:$AG,日付設定!$E$3)</f>
        <v>5</v>
      </c>
      <c r="AD29" s="132">
        <f>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'2024年度出願'!$M:$M,"&lt;="&amp;日付設定!$B$2,'2024年度出願'!$T:$T,日付設定!$F$11,'2024年度出願'!$E:$E,日付設定!$E$3)</f>
        <v>0</v>
      </c>
      <c r="AE29" s="134">
        <f>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'2024年度出願'!$M:$M,"&lt;="&amp;日付設定!$B$2,'2024年度出願'!$E:$E,日付設定!$E$3,'2024年度出願'!$Y:$Y,"&lt;&gt;"&amp;"")
+COUNTIFS('2024年度出願'!$M:$M,"&gt;="&amp;DATE(LEFT($B29,LEN($B29)-2)-IF(VALUE(LEFT(AD$23,LEN(AD$23)-1))&lt;=4,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'2024年度出願'!$M:$M,"&lt;="&amp;日付設定!$B$2,'2024年度出願'!$E:$E,日付設定!$E$3,'2024年度出願'!$Y:$Y,"="&amp;"",'2024年度出願'!$AR:$AR,"N")
+COUNTIFS('2024年度出願'!$M:$M,"&gt;="&amp;DATE(LEFT($B29,LEN($B29)-2)-IF(VALUE(LEFT(AD$23,LEN(AD$23)-1))&lt;=4,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F29" s="133">
        <f>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'2024年度出願'!$AA:$AA,"&lt;="&amp;日付設定!$B$2,'2024年度出願'!$AG:$AG,日付設定!$E$3)
-COUNTIFS('2024年度出願'!$AA:$AA,"&gt;="&amp;DATE(LEFT($B29,LEN($B29)-2)-IF(VALUE(LEFT(AD$23,LEN(AD$23)-1))&lt;=4,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'2024年度出願'!$AA:$AA,"&lt;="&amp;日付設定!$B$2,'2024年度出願'!$T:$T,日付設定!$F$8,'2024年度出願'!$AG:$AG,日付設定!$E$3)
-COUNTIFS('2024年度出願'!$AA:$AA,"&gt;="&amp;DATE(LEFT($B29,LEN($B29)-2)-IF(VALUE(LEFT(AD$23,LEN(AD$23)-1))&lt;=4,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'2024年度出願'!$AA:$AA,"&lt;="&amp;日付設定!$B$2,'2024年度出願'!$T:$T,日付設定!$F$11,'2024年度出願'!$AG:$AG,日付設定!$E$3)</f>
        <v>3</v>
      </c>
      <c r="AG29" s="132">
        <f>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'2024年度出願'!$M:$M,"&lt;="&amp;日付設定!$B$2,'2024年度出願'!$T:$T,日付設定!$F$11,'2024年度出願'!$E:$E,日付設定!$E$3)</f>
        <v>0</v>
      </c>
      <c r="AH29" s="134">
        <f>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'2024年度出願'!$M:$M,"&lt;="&amp;日付設定!$B$2,'2024年度出願'!$E:$E,日付設定!$E$3,'2024年度出願'!$Y:$Y,"&lt;&gt;"&amp;"")
+COUNTIFS('2024年度出願'!$M:$M,"&gt;="&amp;DATE(LEFT($B29,LEN($B29)-2)-IF(VALUE(LEFT(AG$23,LEN(AG$23)-1))&lt;=4,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'2024年度出願'!$M:$M,"&lt;="&amp;日付設定!$B$2,'2024年度出願'!$E:$E,日付設定!$E$3,'2024年度出願'!$Y:$Y,"="&amp;"",'2024年度出願'!$AR:$AR,"N")
+COUNTIFS('2024年度出願'!$M:$M,"&gt;="&amp;DATE(LEFT($B29,LEN($B29)-2)-IF(VALUE(LEFT(AG$23,LEN(AG$23)-1))&lt;=4,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I29" s="133">
        <f>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'2024年度出願'!$AA:$AA,"&lt;="&amp;日付設定!$B$2,'2024年度出願'!$AG:$AG,日付設定!$E$3)
-COUNTIFS('2024年度出願'!$AA:$AA,"&gt;="&amp;DATE(LEFT($B29,LEN($B29)-2)-IF(VALUE(LEFT(AG$23,LEN(AG$23)-1))&lt;=4,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'2024年度出願'!$AA:$AA,"&lt;="&amp;日付設定!$B$2,'2024年度出願'!$T:$T,日付設定!$F$8,'2024年度出願'!$AG:$AG,日付設定!$E$3)
-COUNTIFS('2024年度出願'!$AA:$AA,"&gt;="&amp;DATE(LEFT($B29,LEN($B29)-2)-IF(VALUE(LEFT(AG$23,LEN(AG$23)-1))&lt;=4,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'2024年度出願'!$AA:$AA,"&lt;="&amp;日付設定!$B$2,'2024年度出願'!$T:$T,日付設定!$F$11,'2024年度出願'!$AG:$AG,日付設定!$E$3)</f>
        <v>0</v>
      </c>
      <c r="AJ29" s="132">
        <f t="shared" si="5"/>
        <v>146</v>
      </c>
      <c r="AK29" s="134">
        <f t="shared" si="5"/>
        <v>29</v>
      </c>
      <c r="AL29" s="133">
        <f t="shared" si="5"/>
        <v>117</v>
      </c>
    </row>
    <row r="30" spans="1:40" ht="51.75" customHeight="1" thickBot="1" x14ac:dyDescent="0.5">
      <c r="A30" s="183"/>
      <c r="B30" s="140" t="s">
        <v>1335</v>
      </c>
      <c r="C30" s="141">
        <f>C28-C29</f>
        <v>0</v>
      </c>
      <c r="D30" s="96">
        <f t="shared" ref="D30:J30" si="15">D28-D29</f>
        <v>0</v>
      </c>
      <c r="E30" s="97">
        <f>E28-E29</f>
        <v>0</v>
      </c>
      <c r="F30" s="95">
        <f>F28-F29</f>
        <v>0</v>
      </c>
      <c r="G30" s="96">
        <f t="shared" si="15"/>
        <v>0</v>
      </c>
      <c r="H30" s="97">
        <f>H28-H29</f>
        <v>0</v>
      </c>
      <c r="I30" s="95">
        <f>I28-I29</f>
        <v>0</v>
      </c>
      <c r="J30" s="96">
        <f t="shared" si="15"/>
        <v>0</v>
      </c>
      <c r="K30" s="97">
        <f>K28-K29</f>
        <v>0</v>
      </c>
      <c r="L30" s="95">
        <f>L28-L29</f>
        <v>27</v>
      </c>
      <c r="M30" s="96">
        <f t="shared" ref="M30" si="16">M28-M29</f>
        <v>-2</v>
      </c>
      <c r="N30" s="97">
        <f>N28-N29</f>
        <v>4</v>
      </c>
      <c r="O30" s="95">
        <f>O28-O29</f>
        <v>-3</v>
      </c>
      <c r="P30" s="96">
        <f t="shared" ref="P30" si="17">P28-P29</f>
        <v>-3</v>
      </c>
      <c r="Q30" s="97">
        <f>Q28-Q29</f>
        <v>15</v>
      </c>
      <c r="R30" s="95">
        <f>R28-R29</f>
        <v>6</v>
      </c>
      <c r="S30" s="96">
        <f t="shared" ref="S30" si="18">S28-S29</f>
        <v>-1</v>
      </c>
      <c r="T30" s="97">
        <f>T28-T29</f>
        <v>4</v>
      </c>
      <c r="U30" s="95">
        <f>U28-U29</f>
        <v>5</v>
      </c>
      <c r="V30" s="96">
        <f t="shared" ref="V30" si="19">V28-V29</f>
        <v>0</v>
      </c>
      <c r="W30" s="97">
        <f>W28-W29</f>
        <v>-6</v>
      </c>
      <c r="X30" s="95">
        <f>X28-X29</f>
        <v>8</v>
      </c>
      <c r="Y30" s="96">
        <f t="shared" ref="Y30" si="20">Y28-Y29</f>
        <v>1</v>
      </c>
      <c r="Z30" s="97">
        <f>Z28-Z29</f>
        <v>22</v>
      </c>
      <c r="AA30" s="95">
        <f>AA28-AA29</f>
        <v>3</v>
      </c>
      <c r="AB30" s="96">
        <f t="shared" ref="AB30" si="21">AB28-AB29</f>
        <v>1</v>
      </c>
      <c r="AC30" s="97">
        <f>AC28-AC29</f>
        <v>7</v>
      </c>
      <c r="AD30" s="95">
        <f>AD28-AD29</f>
        <v>12</v>
      </c>
      <c r="AE30" s="96">
        <f t="shared" ref="AE30" si="22">AE28-AE29</f>
        <v>1</v>
      </c>
      <c r="AF30" s="97">
        <f>AF28-AF29</f>
        <v>10</v>
      </c>
      <c r="AG30" s="95">
        <f t="shared" ref="AG30:AH30" si="23">AG28-AG29</f>
        <v>0</v>
      </c>
      <c r="AH30" s="96">
        <f t="shared" si="23"/>
        <v>0</v>
      </c>
      <c r="AI30" s="97">
        <f>AI28-AI29</f>
        <v>5</v>
      </c>
      <c r="AJ30" s="95">
        <f t="shared" si="5"/>
        <v>58</v>
      </c>
      <c r="AK30" s="96">
        <f t="shared" si="5"/>
        <v>-3</v>
      </c>
      <c r="AL30" s="97">
        <f t="shared" si="5"/>
        <v>61</v>
      </c>
    </row>
  </sheetData>
  <mergeCells count="31">
    <mergeCell ref="A1:D1"/>
    <mergeCell ref="E1:F1"/>
    <mergeCell ref="B4:D4"/>
    <mergeCell ref="E4:G4"/>
    <mergeCell ref="C12:E12"/>
    <mergeCell ref="F12:H12"/>
    <mergeCell ref="AA12:AC12"/>
    <mergeCell ref="AD12:AF12"/>
    <mergeCell ref="AG12:AI12"/>
    <mergeCell ref="A14:A16"/>
    <mergeCell ref="A17:A19"/>
    <mergeCell ref="I12:K12"/>
    <mergeCell ref="L12:N12"/>
    <mergeCell ref="O12:Q12"/>
    <mergeCell ref="R12:T12"/>
    <mergeCell ref="U12:W12"/>
    <mergeCell ref="X12:Z12"/>
    <mergeCell ref="AJ23:AL23"/>
    <mergeCell ref="A25:A27"/>
    <mergeCell ref="A28:A30"/>
    <mergeCell ref="R23:T23"/>
    <mergeCell ref="U23:W23"/>
    <mergeCell ref="X23:Z23"/>
    <mergeCell ref="AA23:AC23"/>
    <mergeCell ref="AD23:AF23"/>
    <mergeCell ref="AG23:AI23"/>
    <mergeCell ref="C23:E23"/>
    <mergeCell ref="F23:H23"/>
    <mergeCell ref="I23:K23"/>
    <mergeCell ref="L23:N23"/>
    <mergeCell ref="O23:Q23"/>
  </mergeCells>
  <phoneticPr fontId="2"/>
  <pageMargins left="0.7" right="0.7" top="0.75" bottom="0.75" header="0.3" footer="0.3"/>
  <pageSetup paperSize="12" scale="3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  <pageSetUpPr fitToPage="1"/>
  </sheetPr>
  <dimension ref="A1:AL30"/>
  <sheetViews>
    <sheetView zoomScale="85" zoomScaleNormal="85" workbookViewId="0"/>
  </sheetViews>
  <sheetFormatPr defaultColWidth="8.69921875" defaultRowHeight="18" x14ac:dyDescent="0.45"/>
  <cols>
    <col min="1" max="1" width="8.69921875" style="59"/>
    <col min="2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5" width="9.8984375" style="59" customWidth="1"/>
    <col min="36" max="37" width="8.69921875" style="59"/>
    <col min="38" max="38" width="9.5" style="59" customWidth="1"/>
    <col min="39" max="16384" width="8.69921875" style="59"/>
  </cols>
  <sheetData>
    <row r="1" spans="1:35" ht="28.8" x14ac:dyDescent="0.45">
      <c r="A1" s="37" t="s">
        <v>1640</v>
      </c>
      <c r="E1" s="200">
        <f>日付設定!$B$1</f>
        <v>46534</v>
      </c>
      <c r="F1" s="200"/>
    </row>
    <row r="2" spans="1:35" x14ac:dyDescent="0.45">
      <c r="I2" s="59" t="s">
        <v>1333</v>
      </c>
      <c r="M2" s="59" t="s">
        <v>2859</v>
      </c>
    </row>
    <row r="3" spans="1:35" ht="18.600000000000001" thickBot="1" x14ac:dyDescent="0.5">
      <c r="A3" s="36" t="s">
        <v>1353</v>
      </c>
      <c r="I3" s="59" t="s">
        <v>1641</v>
      </c>
      <c r="J3" s="59" t="s">
        <v>1365</v>
      </c>
      <c r="K3" s="59" t="s">
        <v>2852</v>
      </c>
      <c r="M3" s="59" t="s">
        <v>1641</v>
      </c>
      <c r="N3" s="59" t="s">
        <v>1365</v>
      </c>
      <c r="O3" s="59" t="s">
        <v>2852</v>
      </c>
    </row>
    <row r="4" spans="1:35" ht="33" customHeight="1" x14ac:dyDescent="0.45">
      <c r="A4" s="61"/>
      <c r="B4" s="196" t="s">
        <v>1336</v>
      </c>
      <c r="C4" s="197"/>
      <c r="D4" s="198"/>
      <c r="E4" s="196" t="s">
        <v>1334</v>
      </c>
      <c r="F4" s="197"/>
      <c r="G4" s="198"/>
      <c r="I4" s="59">
        <f t="shared" ref="I4:K9" si="0">AG14</f>
        <v>188</v>
      </c>
      <c r="J4" s="59">
        <f t="shared" si="0"/>
        <v>205</v>
      </c>
      <c r="K4" s="59">
        <f t="shared" si="0"/>
        <v>175</v>
      </c>
      <c r="M4" s="59">
        <f t="shared" ref="M4:N8" si="1">AJ25</f>
        <v>188</v>
      </c>
      <c r="N4" s="59">
        <f t="shared" si="1"/>
        <v>205</v>
      </c>
      <c r="O4" s="59">
        <f t="shared" ref="O4" si="2">AL25</f>
        <v>175</v>
      </c>
      <c r="Q4" s="59">
        <f t="shared" ref="Q4:R6" si="3">C6-J4</f>
        <v>0</v>
      </c>
      <c r="R4" s="59">
        <f t="shared" si="3"/>
        <v>0</v>
      </c>
      <c r="S4" s="59">
        <f>B6-I4</f>
        <v>0</v>
      </c>
      <c r="U4" s="59">
        <f t="shared" ref="U4:V9" si="4">J4-N4</f>
        <v>0</v>
      </c>
      <c r="V4" s="59">
        <f t="shared" si="4"/>
        <v>0</v>
      </c>
      <c r="W4" s="59">
        <f t="shared" ref="W4:W9" si="5">I4-M4</f>
        <v>0</v>
      </c>
    </row>
    <row r="5" spans="1:35" ht="33" customHeight="1" thickBot="1" x14ac:dyDescent="0.5">
      <c r="A5" s="52"/>
      <c r="B5" s="67" t="s">
        <v>1642</v>
      </c>
      <c r="C5" s="83" t="s">
        <v>1365</v>
      </c>
      <c r="D5" s="80" t="s">
        <v>2851</v>
      </c>
      <c r="E5" s="67" t="s">
        <v>1642</v>
      </c>
      <c r="F5" s="83" t="s">
        <v>1365</v>
      </c>
      <c r="G5" s="80" t="s">
        <v>2851</v>
      </c>
      <c r="I5" s="59">
        <f t="shared" si="0"/>
        <v>171</v>
      </c>
      <c r="J5" s="59">
        <f t="shared" si="0"/>
        <v>128</v>
      </c>
      <c r="K5" s="59">
        <f t="shared" si="0"/>
        <v>103</v>
      </c>
      <c r="M5" s="59">
        <f t="shared" si="1"/>
        <v>171</v>
      </c>
      <c r="N5" s="59">
        <f t="shared" si="1"/>
        <v>128</v>
      </c>
      <c r="O5" s="59">
        <f>AL26</f>
        <v>103</v>
      </c>
      <c r="Q5" s="59">
        <f t="shared" si="3"/>
        <v>0</v>
      </c>
      <c r="R5" s="59">
        <f t="shared" si="3"/>
        <v>0</v>
      </c>
      <c r="S5" s="59">
        <f>B7-I5</f>
        <v>0</v>
      </c>
      <c r="U5" s="59">
        <f t="shared" si="4"/>
        <v>0</v>
      </c>
      <c r="V5" s="59">
        <f t="shared" si="4"/>
        <v>0</v>
      </c>
      <c r="W5" s="59">
        <f t="shared" si="5"/>
        <v>0</v>
      </c>
    </row>
    <row r="6" spans="1:35" ht="33" customHeight="1" thickTop="1" x14ac:dyDescent="0.45">
      <c r="A6" s="53" t="s">
        <v>2659</v>
      </c>
      <c r="B6" s="62">
        <f>COUNTIFS('2025年度AOエントリー'!$H:$H,"&lt;="&amp;日付設定!$B$1,'2025年度AOエントリー'!$A:$A,日付設定!$I$2)</f>
        <v>188</v>
      </c>
      <c r="C6" s="76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D6" s="3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62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76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G6" s="3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  <c r="I6" s="59">
        <f t="shared" si="0"/>
        <v>17</v>
      </c>
      <c r="J6" s="59">
        <f t="shared" si="0"/>
        <v>77</v>
      </c>
      <c r="K6" s="59">
        <f t="shared" si="0"/>
        <v>72</v>
      </c>
      <c r="M6" s="59">
        <f t="shared" si="1"/>
        <v>17</v>
      </c>
      <c r="N6" s="59">
        <f t="shared" si="1"/>
        <v>77</v>
      </c>
      <c r="O6" s="59">
        <f>AL27</f>
        <v>72</v>
      </c>
      <c r="Q6" s="59">
        <f t="shared" si="3"/>
        <v>0</v>
      </c>
      <c r="R6" s="59">
        <f t="shared" si="3"/>
        <v>0</v>
      </c>
      <c r="S6" s="59">
        <f>B8-I6</f>
        <v>0</v>
      </c>
      <c r="U6" s="59">
        <f t="shared" si="4"/>
        <v>0</v>
      </c>
      <c r="V6" s="59">
        <f t="shared" si="4"/>
        <v>0</v>
      </c>
      <c r="W6" s="59">
        <f t="shared" si="5"/>
        <v>0</v>
      </c>
    </row>
    <row r="7" spans="1:35" ht="33" customHeight="1" x14ac:dyDescent="0.45">
      <c r="A7" s="54" t="s">
        <v>2660</v>
      </c>
      <c r="B7" s="63">
        <f>COUNTIFS('2024年度AOエントリー'!$H:$H,"&lt;="&amp;日付設定!$B$2,'2024年度AOエントリー'!$A:$A,日付設定!$I$2)</f>
        <v>171</v>
      </c>
      <c r="C7" s="79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D7" s="74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63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79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G7" s="74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  <c r="I7" s="59">
        <f t="shared" si="0"/>
        <v>212</v>
      </c>
      <c r="J7" s="59">
        <f t="shared" si="0"/>
        <v>204</v>
      </c>
      <c r="K7" s="59">
        <f t="shared" si="0"/>
        <v>178</v>
      </c>
      <c r="M7" s="59">
        <f t="shared" si="1"/>
        <v>212</v>
      </c>
      <c r="N7" s="59">
        <f t="shared" si="1"/>
        <v>204</v>
      </c>
      <c r="O7" s="59">
        <f>AL28</f>
        <v>178</v>
      </c>
      <c r="Q7" s="59">
        <f t="shared" ref="Q7:R9" si="6">F6-J7</f>
        <v>0</v>
      </c>
      <c r="R7" s="59">
        <f t="shared" si="6"/>
        <v>0</v>
      </c>
      <c r="S7" s="59">
        <f>E6-I7</f>
        <v>0</v>
      </c>
      <c r="U7" s="59">
        <f t="shared" si="4"/>
        <v>0</v>
      </c>
      <c r="V7" s="59">
        <f t="shared" si="4"/>
        <v>0</v>
      </c>
      <c r="W7" s="59">
        <f t="shared" si="5"/>
        <v>0</v>
      </c>
    </row>
    <row r="8" spans="1:35" ht="33" customHeight="1" thickBot="1" x14ac:dyDescent="0.5">
      <c r="A8" s="55" t="s">
        <v>1335</v>
      </c>
      <c r="B8" s="64">
        <f>B6-B7</f>
        <v>17</v>
      </c>
      <c r="C8" s="82">
        <f t="shared" ref="C8:G8" si="7">C6-C7</f>
        <v>77</v>
      </c>
      <c r="D8" s="81">
        <f t="shared" si="7"/>
        <v>72</v>
      </c>
      <c r="E8" s="64">
        <f>E6-E7</f>
        <v>20</v>
      </c>
      <c r="F8" s="82">
        <f t="shared" si="7"/>
        <v>58</v>
      </c>
      <c r="G8" s="81">
        <f t="shared" si="7"/>
        <v>61</v>
      </c>
      <c r="I8" s="59">
        <f t="shared" si="0"/>
        <v>192</v>
      </c>
      <c r="J8" s="59">
        <f t="shared" si="0"/>
        <v>146</v>
      </c>
      <c r="K8" s="59">
        <f t="shared" si="0"/>
        <v>117</v>
      </c>
      <c r="M8" s="59">
        <f t="shared" si="1"/>
        <v>192</v>
      </c>
      <c r="N8" s="59">
        <f t="shared" si="1"/>
        <v>146</v>
      </c>
      <c r="O8" s="59">
        <f>AL29</f>
        <v>117</v>
      </c>
      <c r="Q8" s="59">
        <f t="shared" si="6"/>
        <v>0</v>
      </c>
      <c r="R8" s="59">
        <f t="shared" si="6"/>
        <v>0</v>
      </c>
      <c r="S8" s="59">
        <f>E7-I8</f>
        <v>0</v>
      </c>
      <c r="U8" s="59">
        <f t="shared" si="4"/>
        <v>0</v>
      </c>
      <c r="V8" s="59">
        <f t="shared" si="4"/>
        <v>0</v>
      </c>
      <c r="W8" s="59">
        <f t="shared" si="5"/>
        <v>0</v>
      </c>
    </row>
    <row r="9" spans="1:35" x14ac:dyDescent="0.45">
      <c r="I9" s="59">
        <f t="shared" si="0"/>
        <v>20</v>
      </c>
      <c r="J9" s="59">
        <f t="shared" si="0"/>
        <v>58</v>
      </c>
      <c r="K9" s="59">
        <f t="shared" si="0"/>
        <v>61</v>
      </c>
      <c r="M9" s="59">
        <f>AJ30</f>
        <v>20</v>
      </c>
      <c r="N9" s="59">
        <f t="shared" ref="N9:O9" si="8">AK30</f>
        <v>58</v>
      </c>
      <c r="O9" s="59">
        <f t="shared" si="8"/>
        <v>61</v>
      </c>
      <c r="Q9" s="59">
        <f t="shared" si="6"/>
        <v>0</v>
      </c>
      <c r="R9" s="65">
        <f t="shared" si="6"/>
        <v>0</v>
      </c>
      <c r="S9" s="59">
        <f>E8-I9</f>
        <v>0</v>
      </c>
      <c r="U9" s="59">
        <f t="shared" si="4"/>
        <v>0</v>
      </c>
      <c r="V9" s="59">
        <f t="shared" si="4"/>
        <v>0</v>
      </c>
      <c r="W9" s="59">
        <f t="shared" si="5"/>
        <v>0</v>
      </c>
    </row>
    <row r="11" spans="1:35" ht="18.600000000000001" thickBot="1" x14ac:dyDescent="0.5">
      <c r="A11" s="36" t="s">
        <v>1352</v>
      </c>
    </row>
    <row r="12" spans="1:35" ht="33" customHeight="1" x14ac:dyDescent="0.45">
      <c r="A12" s="66"/>
      <c r="B12" s="85"/>
      <c r="C12" s="196" t="s">
        <v>1643</v>
      </c>
      <c r="D12" s="197"/>
      <c r="E12" s="198"/>
      <c r="F12" s="196" t="s">
        <v>1644</v>
      </c>
      <c r="G12" s="197"/>
      <c r="H12" s="198"/>
      <c r="I12" s="196" t="s">
        <v>1342</v>
      </c>
      <c r="J12" s="197"/>
      <c r="K12" s="198"/>
      <c r="L12" s="196" t="s">
        <v>1347</v>
      </c>
      <c r="M12" s="197"/>
      <c r="N12" s="198"/>
      <c r="O12" s="196" t="s">
        <v>1357</v>
      </c>
      <c r="P12" s="197"/>
      <c r="Q12" s="198"/>
      <c r="R12" s="196" t="s">
        <v>1356</v>
      </c>
      <c r="S12" s="197"/>
      <c r="T12" s="198"/>
      <c r="U12" s="196" t="s">
        <v>1345</v>
      </c>
      <c r="V12" s="197"/>
      <c r="W12" s="198"/>
      <c r="X12" s="196" t="s">
        <v>1341</v>
      </c>
      <c r="Y12" s="197"/>
      <c r="Z12" s="198"/>
      <c r="AA12" s="196" t="s">
        <v>1346</v>
      </c>
      <c r="AB12" s="197"/>
      <c r="AC12" s="198"/>
      <c r="AD12" s="196" t="s">
        <v>1344</v>
      </c>
      <c r="AE12" s="197"/>
      <c r="AF12" s="198"/>
      <c r="AG12" s="196" t="s">
        <v>1333</v>
      </c>
      <c r="AH12" s="197"/>
      <c r="AI12" s="198"/>
    </row>
    <row r="13" spans="1:35" ht="33" customHeight="1" thickBot="1" x14ac:dyDescent="0.5">
      <c r="A13" s="67"/>
      <c r="B13" s="84"/>
      <c r="C13" s="49" t="s">
        <v>1641</v>
      </c>
      <c r="D13" s="75" t="s">
        <v>1365</v>
      </c>
      <c r="E13" s="71" t="s">
        <v>2852</v>
      </c>
      <c r="F13" s="49" t="s">
        <v>1641</v>
      </c>
      <c r="G13" s="75" t="s">
        <v>1365</v>
      </c>
      <c r="H13" s="71" t="s">
        <v>2852</v>
      </c>
      <c r="I13" s="49" t="s">
        <v>1641</v>
      </c>
      <c r="J13" s="75" t="s">
        <v>1365</v>
      </c>
      <c r="K13" s="71" t="s">
        <v>2852</v>
      </c>
      <c r="L13" s="49" t="s">
        <v>1641</v>
      </c>
      <c r="M13" s="75" t="s">
        <v>1365</v>
      </c>
      <c r="N13" s="71" t="s">
        <v>2852</v>
      </c>
      <c r="O13" s="49" t="s">
        <v>1641</v>
      </c>
      <c r="P13" s="75" t="s">
        <v>1365</v>
      </c>
      <c r="Q13" s="71" t="s">
        <v>2852</v>
      </c>
      <c r="R13" s="49" t="s">
        <v>1641</v>
      </c>
      <c r="S13" s="75" t="s">
        <v>1365</v>
      </c>
      <c r="T13" s="71" t="s">
        <v>2852</v>
      </c>
      <c r="U13" s="49" t="s">
        <v>1641</v>
      </c>
      <c r="V13" s="75" t="s">
        <v>1365</v>
      </c>
      <c r="W13" s="71" t="s">
        <v>2852</v>
      </c>
      <c r="X13" s="49" t="s">
        <v>1641</v>
      </c>
      <c r="Y13" s="75" t="s">
        <v>1365</v>
      </c>
      <c r="Z13" s="71" t="s">
        <v>2852</v>
      </c>
      <c r="AA13" s="49" t="s">
        <v>1641</v>
      </c>
      <c r="AB13" s="75" t="s">
        <v>1365</v>
      </c>
      <c r="AC13" s="71" t="s">
        <v>2852</v>
      </c>
      <c r="AD13" s="49" t="s">
        <v>1641</v>
      </c>
      <c r="AE13" s="75" t="s">
        <v>1365</v>
      </c>
      <c r="AF13" s="71" t="s">
        <v>2852</v>
      </c>
      <c r="AG13" s="49" t="s">
        <v>1641</v>
      </c>
      <c r="AH13" s="75" t="s">
        <v>1365</v>
      </c>
      <c r="AI13" s="71" t="s">
        <v>2852</v>
      </c>
    </row>
    <row r="14" spans="1:35" ht="33" customHeight="1" thickTop="1" x14ac:dyDescent="0.45">
      <c r="A14" s="193" t="s">
        <v>1340</v>
      </c>
      <c r="B14" s="33" t="s">
        <v>2659</v>
      </c>
      <c r="C14" s="63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76">
        <f>COUNTIFS('2025年度出願'!$M:$M,"&lt;="&amp;日付設定!$B$1,'2025年度出願'!$E:$E,日付設定!$E$2,'2025年度出願'!$T:$T,日付設定!$F$4,'2025年度出願'!$R:$R,2)</f>
        <v>68</v>
      </c>
      <c r="E14" s="34">
        <f>COUNTIFS('2025年度出願'!$AA:$AA,"&lt;="&amp;日付設定!$B$1,'2025年度出願'!$AG:$AG,日付設定!$E$2,'2025年度出願'!$T:$T,日付設定!$F$4,'2025年度出願'!$R:$R,2)</f>
        <v>60</v>
      </c>
      <c r="F14" s="63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76">
        <f>COUNTIFS('2025年度出願'!$M:$M,"&lt;="&amp;日付設定!$B$1,'2025年度出願'!$E:$E,日付設定!$E$2,'2025年度出願'!$T:$T,日付設定!$F$4,'2025年度出願'!$R:$R,1)</f>
        <v>22</v>
      </c>
      <c r="H14" s="34">
        <f>COUNTIFS('2025年度出願'!$AA:$AA,"&lt;="&amp;日付設定!$B$1,'2025年度出願'!$AG:$AG,日付設定!$E$2,'2025年度出願'!$T:$T,日付設定!$F$4,'2025年度出願'!$R:$R,1)</f>
        <v>12</v>
      </c>
      <c r="I14" s="63">
        <f>COUNTIFS('2025年度AOエントリー'!$H:$H,"&lt;="&amp;日付設定!$B$1,'2025年度AOエントリー'!$A:$A,日付設定!$I$2,'2025年度AOエントリー'!$J:$J,日付設定!$J$3)</f>
        <v>25</v>
      </c>
      <c r="J14" s="76">
        <f>COUNTIFS('2025年度出願'!$M:$M,"&lt;="&amp;日付設定!$B$1,'2025年度出願'!$E:$E,日付設定!$E$2,'2025年度出願'!$T:$T,日付設定!$F$6)</f>
        <v>33</v>
      </c>
      <c r="K14" s="34">
        <f>COUNTIFS('2025年度出願'!$AA:$AA,"&lt;="&amp;日付設定!$B$1,'2025年度出願'!$AG:$AG,日付設定!$E$2,'2025年度出願'!$T:$T,日付設定!$F$6)</f>
        <v>30</v>
      </c>
      <c r="L14" s="63">
        <f>COUNTIFS('2025年度AOエントリー'!$H:$H,"&lt;="&amp;日付設定!$B$1,'2025年度AOエントリー'!$A:$A,日付設定!$I$2,'2025年度AOエントリー'!$J:$J,日付設定!$J$5)</f>
        <v>31</v>
      </c>
      <c r="M14" s="76">
        <f>COUNTIFS('2025年度出願'!$M:$M,"&lt;="&amp;日付設定!$B$1,'2025年度出願'!$E:$E,日付設定!$E$2,'2025年度出願'!$T:$T,日付設定!$F$10)</f>
        <v>50</v>
      </c>
      <c r="N14" s="34">
        <f>COUNTIFS('2025年度出願'!$AA:$AA,"&lt;="&amp;日付設定!$B$1,'2025年度出願'!$AG:$AG,日付設定!$E$2,'2025年度出願'!$T:$T,日付設定!$F$10)</f>
        <v>45</v>
      </c>
      <c r="O14" s="63">
        <f>COUNTIFS('2025年度AOエントリー'!$H:$H,"&lt;="&amp;日付設定!$B$1,'2025年度AOエントリー'!$A:$A,日付設定!$I$2,'2025年度AOエントリー'!$G:$G,日付設定!$L$7)</f>
        <v>0</v>
      </c>
      <c r="P14" s="76">
        <f>COUNTIFS('2025年度出願'!$M:$M,"&lt;="&amp;日付設定!$B$1,'2025年度出願'!$E:$E,日付設定!$E$2,'2025年度出願'!$Q:$Q,日付設定!$H$2)</f>
        <v>0</v>
      </c>
      <c r="Q14" s="34">
        <f>COUNTIFS('2025年度出願'!$AA:$AA,"&lt;="&amp;日付設定!$B$1,'2025年度出願'!$AG:$AG,日付設定!$E$2,'2025年度出願'!$Q:$Q,日付設定!$H$2)</f>
        <v>0</v>
      </c>
      <c r="R14" s="63">
        <f>COUNTIFS('2025年度AOエントリー'!$H:$H,"&lt;="&amp;日付設定!$B$1,'2025年度AOエントリー'!$A:$A,日付設定!$I$2,'2025年度AOエントリー'!$G:$G,日付設定!$K$7)</f>
        <v>0</v>
      </c>
      <c r="S14" s="76">
        <f>COUNTIFS('2025年度出願'!$M:$M,"&lt;="&amp;日付設定!$B$1,'2025年度出願'!$E:$E,日付設定!$E$2,'2025年度出願'!$Q:$Q,日付設定!$G$2)</f>
        <v>0</v>
      </c>
      <c r="T14" s="34">
        <f>COUNTIFS('2025年度出願'!$AA:$AA,"&lt;="&amp;日付設定!$B$1,'2025年度出願'!$AG:$AG,日付設定!$E$2,'2025年度出願'!$Q:$Q,日付設定!$G$2)</f>
        <v>0</v>
      </c>
      <c r="U14" s="63">
        <f>COUNTIFS('2025年度AOエントリー'!$H:$H,"&lt;="&amp;日付設定!$B$1,'2025年度AOエントリー'!$A:$A,日付設定!$I$2,'2025年度AOエントリー'!$J:$J,日付設定!$J$8)</f>
        <v>0</v>
      </c>
      <c r="V14" s="76">
        <f>COUNTIFS('2025年度出願'!$M:$M,"&lt;="&amp;日付設定!$B$1,'2025年度出願'!$E:$E,日付設定!$E$2,'2025年度出願'!$T:$T,日付設定!$F$3)</f>
        <v>0</v>
      </c>
      <c r="W14" s="34">
        <f>COUNTIFS('2025年度出願'!$AA:$AA,"&lt;="&amp;日付設定!$B$1,'2025年度出願'!$AG:$AG,日付設定!$E$2,'2025年度出願'!$T:$T,日付設定!$F$3)</f>
        <v>0</v>
      </c>
      <c r="X14" s="63">
        <f>COUNTIFS('2025年度AOエントリー'!$H:$H,"&lt;="&amp;日付設定!$B$1,'2025年度AOエントリー'!$A:$A,日付設定!$I$2,'2025年度AOエントリー'!$J:$J,日付設定!$J$2)</f>
        <v>27</v>
      </c>
      <c r="Y14" s="76">
        <f>COUNTIFS('2025年度出願'!$M:$M,"&lt;="&amp;日付設定!$B$1,'2025年度出願'!$E:$E,日付設定!$E$2,'2025年度出願'!$T:$T,日付設定!$F$5)</f>
        <v>24</v>
      </c>
      <c r="Z14" s="34">
        <f>COUNTIFS('2025年度出願'!$AA:$AA,"&lt;="&amp;日付設定!$B$1,'2025年度出願'!$AG:$AG,日付設定!$E$2,'2025年度出願'!$T:$T,日付設定!$F$5)</f>
        <v>20</v>
      </c>
      <c r="AA14" s="63">
        <f>COUNTIFS('2025年度AOエントリー'!$H:$H,"&lt;="&amp;日付設定!$B$1,'2025年度AOエントリー'!$A:$A,日付設定!$I$2,'2025年度AOエントリー'!$J:$J,日付設定!$J$6)</f>
        <v>9</v>
      </c>
      <c r="AB14" s="76">
        <f>COUNTIFS('2025年度出願'!$M:$M,"&lt;="&amp;日付設定!$B$1,'2025年度出願'!$E:$E,日付設定!$E$2,'2025年度出願'!$T:$T,日付設定!$F$9)</f>
        <v>8</v>
      </c>
      <c r="AC14" s="34">
        <f>COUNTIFS('2025年度出願'!$AA:$AA,"&lt;="&amp;日付設定!$B$1,'2025年度出願'!$AG:$AG,日付設定!$E$2,'2025年度出願'!$T:$T,日付設定!$F$9)</f>
        <v>8</v>
      </c>
      <c r="AD14" s="63">
        <f>COUNTIFS('2025年度AOエントリー'!$H:$H,"&lt;="&amp;日付設定!$B$1,'2025年度AOエントリー'!$A:$A,日付設定!$I$2,'2025年度AOエントリー'!$J:$J,日付設定!$J$9)</f>
        <v>0</v>
      </c>
      <c r="AE14" s="76">
        <f>COUNTIFS('2025年度出願'!$M:$M,"&lt;="&amp;日付設定!$B$1,'2025年度出願'!$E:$E,日付設定!$E$2,'2025年度出願'!$T:$T,日付設定!$F$7)</f>
        <v>0</v>
      </c>
      <c r="AF14" s="34">
        <f>COUNTIFS('2025年度出願'!$AA:$AA,"&lt;="&amp;日付設定!$B$1,'2025年度出願'!$AG:$AG,日付設定!$E$2,'2025年度出願'!$T:$T,日付設定!$F$7)</f>
        <v>0</v>
      </c>
      <c r="AG14" s="63">
        <f t="shared" ref="AG14:AI19" si="9">SUM(C14,F14,I14,L14,O14,R14,U14,X14,AA14,AD14)</f>
        <v>188</v>
      </c>
      <c r="AH14" s="76">
        <f t="shared" si="9"/>
        <v>205</v>
      </c>
      <c r="AI14" s="34">
        <f t="shared" si="9"/>
        <v>175</v>
      </c>
    </row>
    <row r="15" spans="1:35" ht="33" customHeight="1" x14ac:dyDescent="0.45">
      <c r="A15" s="194"/>
      <c r="B15" s="32" t="s">
        <v>2660</v>
      </c>
      <c r="C15" s="69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77">
        <f>COUNTIFS('2024年度出願'!$M:$M,"&lt;="&amp;日付設定!$B$2,'2024年度出願'!$E:$E,日付設定!$E$2,'2024年度出願'!$T:$T,日付設定!$F$4,'2024年度出願'!$R:$R,2)</f>
        <v>56</v>
      </c>
      <c r="E15" s="72">
        <f>COUNTIFS('2024年度出願'!$AA:$AA,"&lt;="&amp;日付設定!$B$2,'2024年度出願'!$AG:$AG,日付設定!$E$2,'2024年度出願'!$T:$T,日付設定!$F$4,'2024年度出願'!$R:$R,2)</f>
        <v>50</v>
      </c>
      <c r="F15" s="69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77">
        <f>COUNTIFS('2024年度出願'!$M:$M,"&lt;="&amp;日付設定!$B$2,'2024年度出願'!$E:$E,日付設定!$E$2,'2024年度出願'!$T:$T,日付設定!$F$4,'2024年度出願'!$R:$R,1)</f>
        <v>29</v>
      </c>
      <c r="H15" s="72">
        <f>COUNTIFS('2024年度出願'!$AA:$AA,"&lt;="&amp;日付設定!$B$2,'2024年度出願'!$AG:$AG,日付設定!$E$2,'2024年度出願'!$T:$T,日付設定!$F$4,'2024年度出願'!$R:$R,1)</f>
        <v>13</v>
      </c>
      <c r="I15" s="69">
        <f>COUNTIFS('2024年度AOエントリー'!$H:$H,"&lt;="&amp;日付設定!$B$2,'2024年度AOエントリー'!$A:$A,日付設定!$I$2,'2024年度AOエントリー'!$J:$J,日付設定!$J$3)</f>
        <v>14</v>
      </c>
      <c r="J15" s="77">
        <f>COUNTIFS('2024年度出願'!$M:$M,"&lt;="&amp;日付設定!$B$2,'2024年度出願'!$E:$E,日付設定!$E$2,'2024年度出願'!$T:$T,日付設定!$F$6)</f>
        <v>11</v>
      </c>
      <c r="K15" s="72">
        <f>COUNTIFS('2024年度出願'!$AA:$AA,"&lt;="&amp;日付設定!$B$2,'2024年度出願'!$AG:$AG,日付設定!$E$2,'2024年度出願'!$T:$T,日付設定!$F$6)</f>
        <v>9</v>
      </c>
      <c r="L15" s="69">
        <f>COUNTIFS('2024年度AOエントリー'!$H:$H,"&lt;="&amp;日付設定!$B$2,'2024年度AOエントリー'!$A:$A,日付設定!$I$2,'2024年度AOエントリー'!$J:$J,日付設定!$J$5)</f>
        <v>23</v>
      </c>
      <c r="M15" s="77">
        <f>COUNTIFS('2024年度出願'!$M:$M,"&lt;="&amp;日付設定!$B$2,'2024年度出願'!$E:$E,日付設定!$E$2,'2024年度出願'!$T:$T,日付設定!$F$10)</f>
        <v>20</v>
      </c>
      <c r="N15" s="72">
        <f>COUNTIFS('2024年度出願'!$AA:$AA,"&lt;="&amp;日付設定!$B$2,'2024年度出願'!$AG:$AG,日付設定!$E$2,'2024年度出願'!$T:$T,日付設定!$F$10)</f>
        <v>19</v>
      </c>
      <c r="O15" s="69">
        <f>COUNTIFS('2024年度AOエントリー'!$H:$H,"&lt;="&amp;日付設定!$B$2,'2024年度AOエントリー'!$A:$A,日付設定!$I$2,'2024年度AOエントリー'!$G:$G,日付設定!$L$7)</f>
        <v>0</v>
      </c>
      <c r="P15" s="77">
        <f>COUNTIFS('2024年度出願'!$M:$M,"&lt;="&amp;日付設定!$B$2,'2024年度出願'!$E:$E,日付設定!$E$2,'2024年度出願'!$Q:$Q,日付設定!$H$2)</f>
        <v>0</v>
      </c>
      <c r="Q15" s="72">
        <f>COUNTIFS('2024年度出願'!$AA:$AA,"&lt;="&amp;日付設定!$B$2,'2024年度出願'!$AG:$AG,日付設定!$E$2,'2024年度出願'!$Q:$Q,日付設定!$H$2)</f>
        <v>0</v>
      </c>
      <c r="R15" s="69">
        <f>COUNTIFS('2024年度AOエントリー'!$H:$H,"&lt;="&amp;日付設定!$B$2,'2024年度AOエントリー'!$A:$A,日付設定!$I$2,'2024年度AOエントリー'!$G:$G,日付設定!$K$7)</f>
        <v>0</v>
      </c>
      <c r="S15" s="77">
        <f>COUNTIFS('2024年度出願'!$M:$M,"&lt;="&amp;日付設定!$B$2,'2024年度出願'!$E:$E,日付設定!$E$2,'2024年度出願'!$Q:$Q,日付設定!$G$2)</f>
        <v>0</v>
      </c>
      <c r="T15" s="72">
        <f>COUNTIFS('2024年度出願'!$AA:$AA,"&lt;="&amp;日付設定!$B$2,'2024年度出願'!$AG:$AG,日付設定!$E$2,'2024年度出願'!$Q:$Q,日付設定!$G$2)</f>
        <v>0</v>
      </c>
      <c r="U15" s="69">
        <f>COUNTIFS('2024年度AOエントリー'!$H:$H,"&lt;="&amp;日付設定!$B$2,'2024年度AOエントリー'!$A:$A,日付設定!$I$2,'2024年度AOエントリー'!$J:$J,日付設定!$J$8)</f>
        <v>0</v>
      </c>
      <c r="V15" s="77">
        <f>COUNTIFS('2024年度出願'!$M:$M,"&lt;="&amp;日付設定!$B$2,'2024年度出願'!$E:$E,日付設定!$E$2,'2024年度出願'!$T:$T,日付設定!$F$3)</f>
        <v>0</v>
      </c>
      <c r="W15" s="72">
        <f>COUNTIFS('2024年度出願'!$AA:$AA,"&lt;="&amp;日付設定!$B$2,'2024年度出願'!$AG:$AG,日付設定!$E$2,'2024年度出願'!$T:$T,日付設定!$F$3)</f>
        <v>0</v>
      </c>
      <c r="X15" s="69">
        <f>COUNTIFS('2024年度AOエントリー'!$H:$H,"&lt;="&amp;日付設定!$B$2,'2024年度AOエントリー'!$A:$A,日付設定!$I$2,'2024年度AOエントリー'!$J:$J,日付設定!$J$2)</f>
        <v>9</v>
      </c>
      <c r="Y15" s="77">
        <f>COUNTIFS('2024年度出願'!$M:$M,"&lt;="&amp;日付設定!$B$2,'2024年度出願'!$E:$E,日付設定!$E$2,'2024年度出願'!$T:$T,日付設定!$F$5)</f>
        <v>6</v>
      </c>
      <c r="Z15" s="72">
        <f>COUNTIFS('2024年度出願'!$AA:$AA,"&lt;="&amp;日付設定!$B$2,'2024年度出願'!$AG:$AG,日付設定!$E$2,'2024年度出願'!$T:$T,日付設定!$F$5)</f>
        <v>6</v>
      </c>
      <c r="AA15" s="69">
        <f>COUNTIFS('2024年度AOエントリー'!$H:$H,"&lt;="&amp;日付設定!$B$2,'2024年度AOエントリー'!$A:$A,日付設定!$I$2,'2024年度AOエントリー'!$J:$J,日付設定!$J$6)</f>
        <v>9</v>
      </c>
      <c r="AB15" s="77">
        <f>COUNTIFS('2024年度出願'!$M:$M,"&lt;="&amp;日付設定!$B$2,'2024年度出願'!$E:$E,日付設定!$E$2,'2024年度出願'!$T:$T,日付設定!$F$9)</f>
        <v>6</v>
      </c>
      <c r="AC15" s="72">
        <f>COUNTIFS('2024年度出願'!$AA:$AA,"&lt;="&amp;日付設定!$B$2,'2024年度出願'!$AG:$AG,日付設定!$E$2,'2024年度出願'!$T:$T,日付設定!$F$9)</f>
        <v>6</v>
      </c>
      <c r="AD15" s="69">
        <f>COUNTIFS('2024年度AOエントリー'!$H:$H,"&lt;="&amp;日付設定!$B$2,'2024年度AOエントリー'!$A:$A,日付設定!$I$2,'2024年度AOエントリー'!$J:$J,日付設定!$J$9)</f>
        <v>0</v>
      </c>
      <c r="AE15" s="77">
        <f>COUNTIFS('2024年度出願'!$M:$M,"&lt;="&amp;日付設定!$B$2,'2024年度出願'!$E:$E,日付設定!$E$2,'2024年度出願'!$T:$T,日付設定!$F$7)</f>
        <v>0</v>
      </c>
      <c r="AF15" s="72">
        <f>COUNTIFS('2024年度出願'!$AA:$AA,"&lt;="&amp;日付設定!$B$2,'2024年度出願'!$AG:$AG,日付設定!$E$2,'2024年度出願'!$T:$T,日付設定!$F$7)</f>
        <v>0</v>
      </c>
      <c r="AG15" s="69">
        <f t="shared" si="9"/>
        <v>171</v>
      </c>
      <c r="AH15" s="77">
        <f t="shared" si="9"/>
        <v>128</v>
      </c>
      <c r="AI15" s="72">
        <f t="shared" si="9"/>
        <v>103</v>
      </c>
    </row>
    <row r="16" spans="1:35" ht="33" customHeight="1" thickBot="1" x14ac:dyDescent="0.5">
      <c r="A16" s="195"/>
      <c r="B16" s="19" t="s">
        <v>1335</v>
      </c>
      <c r="C16" s="70">
        <f>C14-C15</f>
        <v>-12</v>
      </c>
      <c r="D16" s="78">
        <f t="shared" ref="D16:Q16" si="10">D14-D15</f>
        <v>12</v>
      </c>
      <c r="E16" s="73">
        <f t="shared" si="10"/>
        <v>10</v>
      </c>
      <c r="F16" s="70">
        <f>F14-F15</f>
        <v>-8</v>
      </c>
      <c r="G16" s="78">
        <f t="shared" si="10"/>
        <v>-7</v>
      </c>
      <c r="H16" s="73">
        <f t="shared" si="10"/>
        <v>-1</v>
      </c>
      <c r="I16" s="70">
        <f>I14-I15</f>
        <v>11</v>
      </c>
      <c r="J16" s="78">
        <f t="shared" si="10"/>
        <v>22</v>
      </c>
      <c r="K16" s="73">
        <f t="shared" si="10"/>
        <v>21</v>
      </c>
      <c r="L16" s="70">
        <f>L14-L15</f>
        <v>8</v>
      </c>
      <c r="M16" s="78">
        <f t="shared" si="10"/>
        <v>30</v>
      </c>
      <c r="N16" s="73">
        <f t="shared" si="10"/>
        <v>26</v>
      </c>
      <c r="O16" s="70">
        <f>O14-O15</f>
        <v>0</v>
      </c>
      <c r="P16" s="78">
        <f t="shared" si="10"/>
        <v>0</v>
      </c>
      <c r="Q16" s="73">
        <f t="shared" si="10"/>
        <v>0</v>
      </c>
      <c r="R16" s="70">
        <f>R14-R15</f>
        <v>0</v>
      </c>
      <c r="S16" s="78">
        <f>S14-S15</f>
        <v>0</v>
      </c>
      <c r="T16" s="73">
        <f>T14-T15</f>
        <v>0</v>
      </c>
      <c r="U16" s="70">
        <f>U14-U15</f>
        <v>0</v>
      </c>
      <c r="V16" s="78">
        <f t="shared" ref="V16:AC16" si="11">V14-V15</f>
        <v>0</v>
      </c>
      <c r="W16" s="73">
        <f t="shared" si="11"/>
        <v>0</v>
      </c>
      <c r="X16" s="70">
        <f>X14-X15</f>
        <v>18</v>
      </c>
      <c r="Y16" s="78">
        <f t="shared" si="11"/>
        <v>18</v>
      </c>
      <c r="Z16" s="73">
        <f t="shared" si="11"/>
        <v>14</v>
      </c>
      <c r="AA16" s="70">
        <f>AA14-AA15</f>
        <v>0</v>
      </c>
      <c r="AB16" s="78">
        <f t="shared" si="11"/>
        <v>2</v>
      </c>
      <c r="AC16" s="73">
        <f t="shared" si="11"/>
        <v>2</v>
      </c>
      <c r="AD16" s="70">
        <f>AD14-AD15</f>
        <v>0</v>
      </c>
      <c r="AE16" s="78">
        <f>AE14-AE15</f>
        <v>0</v>
      </c>
      <c r="AF16" s="73">
        <f>AF14-AF15</f>
        <v>0</v>
      </c>
      <c r="AG16" s="70">
        <f t="shared" si="9"/>
        <v>17</v>
      </c>
      <c r="AH16" s="78">
        <f t="shared" si="9"/>
        <v>77</v>
      </c>
      <c r="AI16" s="73">
        <f t="shared" si="9"/>
        <v>72</v>
      </c>
    </row>
    <row r="17" spans="1:38" ht="33" customHeight="1" x14ac:dyDescent="0.45">
      <c r="A17" s="193" t="s">
        <v>1334</v>
      </c>
      <c r="B17" s="15" t="s">
        <v>2659</v>
      </c>
      <c r="C17" s="63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79">
        <f>COUNTIFS('2025年度出願'!$M:$M,"&lt;="&amp;日付設定!$B$1,'2025年度出願'!$E:$E,日付設定!$E$3,'2025年度出願'!$T:$T,日付設定!$F$4,'2025年度出願'!$R:$R,2)</f>
        <v>57</v>
      </c>
      <c r="E17" s="74">
        <f>COUNTIFS('2025年度出願'!$AA:$AA,"&lt;="&amp;日付設定!$B$1,'2025年度出願'!$AG:$AG,日付設定!$E$3,'2025年度出願'!$T:$T,日付設定!$F$4,'2025年度出願'!$R:$R,2)</f>
        <v>45</v>
      </c>
      <c r="F17" s="63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79">
        <f>COUNTIFS('2025年度出願'!$M:$M,"&lt;="&amp;日付設定!$B$1,'2025年度出願'!$E:$E,日付設定!$E$3,'2025年度出願'!$T:$T,日付設定!$F$4,'2025年度出願'!$R:$R,1)</f>
        <v>17</v>
      </c>
      <c r="H17" s="74">
        <f>COUNTIFS('2025年度出願'!$AA:$AA,"&lt;="&amp;日付設定!$B$1,'2025年度出願'!$AG:$AG,日付設定!$E$3,'2025年度出願'!$T:$T,日付設定!$F$4,'2025年度出願'!$R:$R,1)</f>
        <v>10</v>
      </c>
      <c r="I17" s="63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79">
        <f>COUNTIFS('2025年度出願'!$M:$M,"&lt;="&amp;日付設定!$B$1,'2025年度出願'!$E:$E,日付設定!$E$3,'2025年度出願'!$T:$T,日付設定!$F$6)</f>
        <v>23</v>
      </c>
      <c r="K17" s="74">
        <f>COUNTIFS('2025年度出願'!$AA:$AA,"&lt;="&amp;日付設定!$B$1,'2025年度出願'!$AG:$AG,日付設定!$E$3,'2025年度出願'!$T:$T,日付設定!$F$6)</f>
        <v>21</v>
      </c>
      <c r="L17" s="63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79">
        <f>COUNTIFS('2025年度出願'!$M:$M,"&lt;="&amp;日付設定!$B$1,'2025年度出願'!$E:$E,日付設定!$E$3,'2025年度出願'!$T:$T,日付設定!$F$10)</f>
        <v>1</v>
      </c>
      <c r="N17" s="74">
        <f>COUNTIFS('2025年度出願'!$AA:$AA,"&lt;="&amp;日付設定!$B$1,'2025年度出願'!$AG:$AG,日付設定!$E$3,'2025年度出願'!$T:$T,日付設定!$F$10)</f>
        <v>1</v>
      </c>
      <c r="O17" s="63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79">
        <f>COUNTIFS('2025年度出願'!$M:$M,"&lt;="&amp;日付設定!$B$1,'2025年度出願'!$E:$E,日付設定!$E$3,'2025年度出願'!$Q:$Q,日付設定!$H$2)</f>
        <v>11</v>
      </c>
      <c r="Q17" s="74">
        <f>COUNTIFS('2025年度出願'!$AA:$AA,"&lt;="&amp;日付設定!$B$1,'2025年度出願'!$AG:$AG,日付設定!$E$3,'2025年度出願'!$Q:$Q,日付設定!$H$2)</f>
        <v>11</v>
      </c>
      <c r="R17" s="63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79">
        <f>COUNTIFS('2025年度出願'!$M:$M,"&lt;="&amp;日付設定!$B$1,'2025年度出願'!$E:$E,日付設定!$E$3,'2025年度出願'!$Q:$Q,日付設定!$G$2)</f>
        <v>30</v>
      </c>
      <c r="T17" s="74">
        <f>COUNTIFS('2025年度出願'!$AA:$AA,"&lt;="&amp;日付設定!$B$1,'2025年度出願'!$AG:$AG,日付設定!$E$3,'2025年度出願'!$Q:$Q,日付設定!$G$2)</f>
        <v>26</v>
      </c>
      <c r="U17" s="63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79">
        <f>COUNTIFS('2025年度出願'!$M:$M,"&lt;="&amp;日付設定!$B$1,'2025年度出願'!$E:$E,日付設定!$E$3,'2025年度出願'!$T:$T,日付設定!$F$3)</f>
        <v>18</v>
      </c>
      <c r="W17" s="74">
        <f>COUNTIFS('2025年度出願'!$AA:$AA,"&lt;="&amp;日付設定!$B$1,'2025年度出願'!$AG:$AG,日付設定!$E$3,'2025年度出願'!$T:$T,日付設定!$F$3)</f>
        <v>18</v>
      </c>
      <c r="X17" s="63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79">
        <f>COUNTIFS('2025年度出願'!$M:$M,"&lt;="&amp;日付設定!$B$1,'2025年度出願'!$E:$E,日付設定!$E$3,'2025年度出願'!$T:$T,日付設定!$F$5)</f>
        <v>25</v>
      </c>
      <c r="Z17" s="74">
        <f>COUNTIFS('2025年度出願'!$AA:$AA,"&lt;="&amp;日付設定!$B$1,'2025年度出願'!$AG:$AG,日付設定!$E$3,'2025年度出願'!$T:$T,日付設定!$F$5)</f>
        <v>25</v>
      </c>
      <c r="AA17" s="63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79">
        <f>COUNTIFS('2025年度出願'!$M:$M,"&lt;="&amp;日付設定!$B$1,'2025年度出願'!$E:$E,日付設定!$E$3,'2025年度出願'!$T:$T,日付設定!$F$9)</f>
        <v>10</v>
      </c>
      <c r="AC17" s="74">
        <f>COUNTIFS('2025年度出願'!$AA:$AA,"&lt;="&amp;日付設定!$B$1,'2025年度出願'!$AG:$AG,日付設定!$E$3,'2025年度出願'!$T:$T,日付設定!$F$9)</f>
        <v>10</v>
      </c>
      <c r="AD17" s="63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79">
        <f>COUNTIFS('2025年度出願'!$M:$M,"&lt;="&amp;日付設定!$B$1,'2025年度出願'!$E:$E,日付設定!$E$3,'2025年度出願'!$T:$T,日付設定!$F$7)</f>
        <v>12</v>
      </c>
      <c r="AF17" s="74">
        <f>COUNTIFS('2025年度出願'!$AA:$AA,"&lt;="&amp;日付設定!$B$1,'2025年度出願'!$AG:$AG,日付設定!$E$3,'2025年度出願'!$T:$T,日付設定!$F$7)</f>
        <v>11</v>
      </c>
      <c r="AG17" s="63">
        <f t="shared" si="9"/>
        <v>212</v>
      </c>
      <c r="AH17" s="79">
        <f t="shared" si="9"/>
        <v>204</v>
      </c>
      <c r="AI17" s="74">
        <f t="shared" si="9"/>
        <v>178</v>
      </c>
    </row>
    <row r="18" spans="1:38" ht="33" customHeight="1" x14ac:dyDescent="0.45">
      <c r="A18" s="194"/>
      <c r="B18" s="17" t="s">
        <v>2660</v>
      </c>
      <c r="C18" s="69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77">
        <f>COUNTIFS('2024年度出願'!$M:$M,"&lt;="&amp;日付設定!$B$2,'2024年度出願'!$E:$E,日付設定!$E$3,'2024年度出願'!$T:$T,日付設定!$F$4,'2024年度出願'!$R:$R,2)</f>
        <v>44</v>
      </c>
      <c r="E18" s="72">
        <f>COUNTIFS('2024年度出願'!$AA:$AA,"&lt;="&amp;日付設定!$B$2,'2024年度出願'!$AG:$AG,日付設定!$E$3,'2024年度出願'!$T:$T,日付設定!$F$4,'2024年度出願'!$R:$R,2)</f>
        <v>35</v>
      </c>
      <c r="F18" s="69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77">
        <f>COUNTIFS('2024年度出願'!$M:$M,"&lt;="&amp;日付設定!$B$2,'2024年度出願'!$E:$E,日付設定!$E$3,'2024年度出願'!$T:$T,日付設定!$F$4,'2024年度出願'!$R:$R,1)</f>
        <v>16</v>
      </c>
      <c r="H18" s="72">
        <f>COUNTIFS('2024年度出願'!$AA:$AA,"&lt;="&amp;日付設定!$B$2,'2024年度出願'!$AG:$AG,日付設定!$E$3,'2024年度出願'!$T:$T,日付設定!$F$4,'2024年度出願'!$R:$R,1)</f>
        <v>2</v>
      </c>
      <c r="I18" s="69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77">
        <f>COUNTIFS('2024年度出願'!$M:$M,"&lt;="&amp;日付設定!$B$2,'2024年度出願'!$E:$E,日付設定!$E$3,'2024年度出願'!$T:$T,日付設定!$F$6)</f>
        <v>9</v>
      </c>
      <c r="K18" s="72">
        <f>COUNTIFS('2024年度出願'!$AA:$AA,"&lt;="&amp;日付設定!$B$2,'2024年度出願'!$AG:$AG,日付設定!$E$3,'2024年度出願'!$T:$T,日付設定!$F$6)</f>
        <v>8</v>
      </c>
      <c r="L18" s="69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77">
        <f>COUNTIFS('2024年度出願'!$M:$M,"&lt;="&amp;日付設定!$B$2,'2024年度出願'!$E:$E,日付設定!$E$3,'2024年度出願'!$T:$T,日付設定!$F$10)</f>
        <v>3</v>
      </c>
      <c r="N18" s="72">
        <f>COUNTIFS('2024年度出願'!$AA:$AA,"&lt;="&amp;日付設定!$B$2,'2024年度出願'!$AG:$AG,日付設定!$E$3,'2024年度出願'!$T:$T,日付設定!$F$10)</f>
        <v>2</v>
      </c>
      <c r="O18" s="69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77">
        <f>COUNTIFS('2024年度出願'!$M:$M,"&lt;="&amp;日付設定!$B$2,'2024年度出願'!$E:$E,日付設定!$E$3,'2024年度出願'!$Q:$Q,日付設定!$H$2)</f>
        <v>8</v>
      </c>
      <c r="Q18" s="72">
        <f>COUNTIFS('2024年度出願'!$AA:$AA,"&lt;="&amp;日付設定!$B$2,'2024年度出願'!$AG:$AG,日付設定!$E$3,'2024年度出願'!$Q:$Q,日付設定!$H$2)</f>
        <v>7</v>
      </c>
      <c r="R18" s="69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77">
        <f>COUNTIFS('2024年度出願'!$M:$M,"&lt;="&amp;日付設定!$B$2,'2024年度出願'!$E:$E,日付設定!$E$3,'2024年度出願'!$Q:$Q,日付設定!$G$2)</f>
        <v>14</v>
      </c>
      <c r="T18" s="72">
        <f>COUNTIFS('2024年度出願'!$AA:$AA,"&lt;="&amp;日付設定!$B$2,'2024年度出願'!$AG:$AG,日付設定!$E$3,'2024年度出願'!$Q:$Q,日付設定!$G$2)</f>
        <v>14</v>
      </c>
      <c r="U18" s="69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77">
        <f>COUNTIFS('2024年度出願'!$M:$M,"&lt;="&amp;日付設定!$B$2,'2024年度出願'!$E:$E,日付設定!$E$3,'2024年度出願'!$T:$T,日付設定!$F$3)</f>
        <v>21</v>
      </c>
      <c r="W18" s="72">
        <f>COUNTIFS('2024年度出願'!$AA:$AA,"&lt;="&amp;日付設定!$B$2,'2024年度出願'!$AG:$AG,日付設定!$E$3,'2024年度出願'!$T:$T,日付設定!$F$3)</f>
        <v>20</v>
      </c>
      <c r="X18" s="69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77">
        <f>COUNTIFS('2024年度出願'!$M:$M,"&lt;="&amp;日付設定!$B$2,'2024年度出願'!$E:$E,日付設定!$E$3,'2024年度出願'!$T:$T,日付設定!$F$5)</f>
        <v>14</v>
      </c>
      <c r="Z18" s="72">
        <f>COUNTIFS('2024年度出願'!$AA:$AA,"&lt;="&amp;日付設定!$B$2,'2024年度出願'!$AG:$AG,日付設定!$E$3,'2024年度出願'!$T:$T,日付設定!$F$5)</f>
        <v>14</v>
      </c>
      <c r="AA18" s="69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77">
        <f>COUNTIFS('2024年度出願'!$M:$M,"&lt;="&amp;日付設定!$B$2,'2024年度出願'!$E:$E,日付設定!$E$3,'2024年度出願'!$T:$T,日付設定!$F$9)</f>
        <v>11</v>
      </c>
      <c r="AC18" s="72">
        <f>COUNTIFS('2024年度出願'!$AA:$AA,"&lt;="&amp;日付設定!$B$2,'2024年度出願'!$AG:$AG,日付設定!$E$3,'2024年度出願'!$T:$T,日付設定!$F$9)</f>
        <v>9</v>
      </c>
      <c r="AD18" s="69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77">
        <f>COUNTIFS('2024年度出願'!$M:$M,"&lt;="&amp;日付設定!$B$2,'2024年度出願'!$E:$E,日付設定!$E$3,'2024年度出願'!$T:$T,日付設定!$F$7)</f>
        <v>6</v>
      </c>
      <c r="AF18" s="72">
        <f>COUNTIFS('2024年度出願'!$AA:$AA,"&lt;="&amp;日付設定!$B$2,'2024年度出願'!$AG:$AG,日付設定!$E$3,'2024年度出願'!$T:$T,日付設定!$F$7)</f>
        <v>6</v>
      </c>
      <c r="AG18" s="69">
        <f t="shared" si="9"/>
        <v>192</v>
      </c>
      <c r="AH18" s="77">
        <f t="shared" si="9"/>
        <v>146</v>
      </c>
      <c r="AI18" s="72">
        <f t="shared" si="9"/>
        <v>117</v>
      </c>
    </row>
    <row r="19" spans="1:38" ht="33" customHeight="1" thickBot="1" x14ac:dyDescent="0.5">
      <c r="A19" s="195"/>
      <c r="B19" s="19" t="s">
        <v>1335</v>
      </c>
      <c r="C19" s="70">
        <f>C17-C18</f>
        <v>6</v>
      </c>
      <c r="D19" s="78">
        <f t="shared" ref="D19:Q19" si="12">D17-D18</f>
        <v>13</v>
      </c>
      <c r="E19" s="73">
        <f t="shared" si="12"/>
        <v>10</v>
      </c>
      <c r="F19" s="70">
        <f>F17-F18</f>
        <v>-4</v>
      </c>
      <c r="G19" s="78">
        <f t="shared" si="12"/>
        <v>1</v>
      </c>
      <c r="H19" s="73">
        <f t="shared" si="12"/>
        <v>8</v>
      </c>
      <c r="I19" s="70">
        <f>I17-I18</f>
        <v>11</v>
      </c>
      <c r="J19" s="78">
        <f t="shared" si="12"/>
        <v>14</v>
      </c>
      <c r="K19" s="73">
        <f t="shared" si="12"/>
        <v>13</v>
      </c>
      <c r="L19" s="70">
        <f>L17-L18</f>
        <v>0</v>
      </c>
      <c r="M19" s="78">
        <f t="shared" si="12"/>
        <v>-2</v>
      </c>
      <c r="N19" s="73">
        <f t="shared" si="12"/>
        <v>-1</v>
      </c>
      <c r="O19" s="70">
        <f>O17-O18</f>
        <v>2</v>
      </c>
      <c r="P19" s="78">
        <f t="shared" si="12"/>
        <v>3</v>
      </c>
      <c r="Q19" s="73">
        <f t="shared" si="12"/>
        <v>4</v>
      </c>
      <c r="R19" s="70">
        <f>R17-R18</f>
        <v>-3</v>
      </c>
      <c r="S19" s="78">
        <f>S17-S18</f>
        <v>16</v>
      </c>
      <c r="T19" s="73">
        <f>T17-T18</f>
        <v>12</v>
      </c>
      <c r="U19" s="70">
        <f>U17-U18</f>
        <v>-7</v>
      </c>
      <c r="V19" s="78">
        <f t="shared" ref="V19:AC19" si="13">V17-V18</f>
        <v>-3</v>
      </c>
      <c r="W19" s="73">
        <f t="shared" si="13"/>
        <v>-2</v>
      </c>
      <c r="X19" s="70">
        <f>X17-X18</f>
        <v>12</v>
      </c>
      <c r="Y19" s="78">
        <f t="shared" si="13"/>
        <v>11</v>
      </c>
      <c r="Z19" s="73">
        <f t="shared" si="13"/>
        <v>11</v>
      </c>
      <c r="AA19" s="70">
        <f>AA17-AA18</f>
        <v>1</v>
      </c>
      <c r="AB19" s="78">
        <f t="shared" si="13"/>
        <v>-1</v>
      </c>
      <c r="AC19" s="73">
        <f t="shared" si="13"/>
        <v>1</v>
      </c>
      <c r="AD19" s="70">
        <f>AD17-AD18</f>
        <v>2</v>
      </c>
      <c r="AE19" s="78">
        <f>AE17-AE18</f>
        <v>6</v>
      </c>
      <c r="AF19" s="73">
        <f>AF17-AF18</f>
        <v>5</v>
      </c>
      <c r="AG19" s="70">
        <f t="shared" si="9"/>
        <v>20</v>
      </c>
      <c r="AH19" s="78">
        <f t="shared" si="9"/>
        <v>58</v>
      </c>
      <c r="AI19" s="73">
        <f t="shared" si="9"/>
        <v>61</v>
      </c>
    </row>
    <row r="22" spans="1:38" ht="18.600000000000001" thickBot="1" x14ac:dyDescent="0.5">
      <c r="A22" s="36" t="s">
        <v>1351</v>
      </c>
    </row>
    <row r="23" spans="1:38" ht="33" customHeight="1" x14ac:dyDescent="0.45">
      <c r="A23" s="47"/>
      <c r="B23" s="48"/>
      <c r="C23" s="196" t="s">
        <v>1298</v>
      </c>
      <c r="D23" s="197"/>
      <c r="E23" s="198"/>
      <c r="F23" s="196" t="s">
        <v>1299</v>
      </c>
      <c r="G23" s="197"/>
      <c r="H23" s="198"/>
      <c r="I23" s="196" t="s">
        <v>2861</v>
      </c>
      <c r="J23" s="197"/>
      <c r="K23" s="198"/>
      <c r="L23" s="196" t="s">
        <v>1364</v>
      </c>
      <c r="M23" s="197"/>
      <c r="N23" s="198"/>
      <c r="O23" s="196" t="s">
        <v>2862</v>
      </c>
      <c r="P23" s="197"/>
      <c r="Q23" s="198"/>
      <c r="R23" s="196" t="s">
        <v>2853</v>
      </c>
      <c r="S23" s="197"/>
      <c r="T23" s="198"/>
      <c r="U23" s="196" t="s">
        <v>2854</v>
      </c>
      <c r="V23" s="197"/>
      <c r="W23" s="198"/>
      <c r="X23" s="196" t="s">
        <v>2855</v>
      </c>
      <c r="Y23" s="197"/>
      <c r="Z23" s="198"/>
      <c r="AA23" s="196" t="s">
        <v>2856</v>
      </c>
      <c r="AB23" s="197"/>
      <c r="AC23" s="198"/>
      <c r="AD23" s="196" t="s">
        <v>2857</v>
      </c>
      <c r="AE23" s="197"/>
      <c r="AF23" s="198"/>
      <c r="AG23" s="196" t="s">
        <v>2858</v>
      </c>
      <c r="AH23" s="197"/>
      <c r="AI23" s="198"/>
      <c r="AJ23" s="196" t="s">
        <v>2860</v>
      </c>
      <c r="AK23" s="197"/>
      <c r="AL23" s="198"/>
    </row>
    <row r="24" spans="1:38" ht="33" customHeight="1" thickBot="1" x14ac:dyDescent="0.5">
      <c r="A24" s="49"/>
      <c r="B24" s="50"/>
      <c r="C24" s="49" t="s">
        <v>1641</v>
      </c>
      <c r="D24" s="75" t="s">
        <v>1365</v>
      </c>
      <c r="E24" s="71" t="s">
        <v>2852</v>
      </c>
      <c r="F24" s="49" t="s">
        <v>1642</v>
      </c>
      <c r="G24" s="75" t="s">
        <v>1365</v>
      </c>
      <c r="H24" s="71" t="s">
        <v>2852</v>
      </c>
      <c r="I24" s="49" t="s">
        <v>1642</v>
      </c>
      <c r="J24" s="75" t="s">
        <v>1365</v>
      </c>
      <c r="K24" s="71" t="s">
        <v>2852</v>
      </c>
      <c r="L24" s="49" t="s">
        <v>1642</v>
      </c>
      <c r="M24" s="75" t="s">
        <v>1365</v>
      </c>
      <c r="N24" s="71" t="s">
        <v>2852</v>
      </c>
      <c r="O24" s="49" t="s">
        <v>1642</v>
      </c>
      <c r="P24" s="75" t="s">
        <v>1365</v>
      </c>
      <c r="Q24" s="71" t="s">
        <v>2852</v>
      </c>
      <c r="R24" s="49" t="s">
        <v>1642</v>
      </c>
      <c r="S24" s="75" t="s">
        <v>1365</v>
      </c>
      <c r="T24" s="71" t="s">
        <v>2852</v>
      </c>
      <c r="U24" s="49" t="s">
        <v>1642</v>
      </c>
      <c r="V24" s="75" t="s">
        <v>1365</v>
      </c>
      <c r="W24" s="71" t="s">
        <v>2852</v>
      </c>
      <c r="X24" s="49" t="s">
        <v>1642</v>
      </c>
      <c r="Y24" s="75" t="s">
        <v>1365</v>
      </c>
      <c r="Z24" s="71" t="s">
        <v>2852</v>
      </c>
      <c r="AA24" s="49" t="s">
        <v>1642</v>
      </c>
      <c r="AB24" s="75" t="s">
        <v>1365</v>
      </c>
      <c r="AC24" s="71" t="s">
        <v>2852</v>
      </c>
      <c r="AD24" s="49" t="s">
        <v>1642</v>
      </c>
      <c r="AE24" s="75" t="s">
        <v>1365</v>
      </c>
      <c r="AF24" s="71" t="s">
        <v>2852</v>
      </c>
      <c r="AG24" s="49" t="s">
        <v>1642</v>
      </c>
      <c r="AH24" s="75" t="s">
        <v>1365</v>
      </c>
      <c r="AI24" s="71" t="s">
        <v>2852</v>
      </c>
      <c r="AJ24" s="49" t="s">
        <v>1642</v>
      </c>
      <c r="AK24" s="75" t="s">
        <v>1365</v>
      </c>
      <c r="AL24" s="71" t="s">
        <v>2852</v>
      </c>
    </row>
    <row r="25" spans="1:38" ht="33" customHeight="1" thickTop="1" x14ac:dyDescent="0.45">
      <c r="A25" s="199" t="s">
        <v>1340</v>
      </c>
      <c r="B25" s="51" t="s">
        <v>2659</v>
      </c>
      <c r="C25" s="63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76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34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63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76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34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63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76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34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63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76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55</v>
      </c>
      <c r="N25" s="34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63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76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87</v>
      </c>
      <c r="Q25" s="34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63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76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34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30</v>
      </c>
      <c r="U25" s="63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76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5</v>
      </c>
      <c r="W25" s="34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63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76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34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21</v>
      </c>
      <c r="AA25" s="63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76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34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63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76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34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63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76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34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63">
        <f t="shared" ref="AJ25:AL30" si="14">SUM(C25,F25,I25,L25,O25,R25,U25,X25,AA25,AD25,AG25)</f>
        <v>188</v>
      </c>
      <c r="AK25" s="76">
        <f t="shared" si="14"/>
        <v>205</v>
      </c>
      <c r="AL25" s="34">
        <f t="shared" si="14"/>
        <v>175</v>
      </c>
    </row>
    <row r="26" spans="1:38" ht="33" customHeight="1" x14ac:dyDescent="0.45">
      <c r="A26" s="194"/>
      <c r="B26" s="17" t="s">
        <v>2660</v>
      </c>
      <c r="C26" s="69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77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72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69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77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72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69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77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72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69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77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72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69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77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67</v>
      </c>
      <c r="Q26" s="72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38</v>
      </c>
      <c r="R26" s="69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77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6</v>
      </c>
      <c r="T26" s="72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27</v>
      </c>
      <c r="U26" s="69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77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0</v>
      </c>
      <c r="W26" s="72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11</v>
      </c>
      <c r="X26" s="69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77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0</v>
      </c>
      <c r="Z26" s="72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7</v>
      </c>
      <c r="AA26" s="69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77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0</v>
      </c>
      <c r="AC26" s="72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12</v>
      </c>
      <c r="AD26" s="69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77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0</v>
      </c>
      <c r="AF26" s="72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6</v>
      </c>
      <c r="AG26" s="69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77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0</v>
      </c>
      <c r="AI26" s="72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2</v>
      </c>
      <c r="AJ26" s="69">
        <f t="shared" si="14"/>
        <v>171</v>
      </c>
      <c r="AK26" s="77">
        <f t="shared" si="14"/>
        <v>128</v>
      </c>
      <c r="AL26" s="72">
        <f t="shared" si="14"/>
        <v>103</v>
      </c>
    </row>
    <row r="27" spans="1:38" ht="33" customHeight="1" thickBot="1" x14ac:dyDescent="0.5">
      <c r="A27" s="195"/>
      <c r="B27" s="19" t="s">
        <v>1335</v>
      </c>
      <c r="C27" s="70">
        <f t="shared" ref="C27:I27" si="15">C25-C26</f>
        <v>12</v>
      </c>
      <c r="D27" s="78">
        <f t="shared" si="15"/>
        <v>0</v>
      </c>
      <c r="E27" s="73">
        <f t="shared" si="15"/>
        <v>0</v>
      </c>
      <c r="F27" s="70">
        <f t="shared" si="15"/>
        <v>5</v>
      </c>
      <c r="G27" s="78">
        <f t="shared" si="15"/>
        <v>0</v>
      </c>
      <c r="H27" s="73">
        <f t="shared" si="15"/>
        <v>0</v>
      </c>
      <c r="I27" s="70">
        <f t="shared" si="15"/>
        <v>-7</v>
      </c>
      <c r="J27" s="78">
        <f t="shared" ref="J27" si="16">J25-J26</f>
        <v>0</v>
      </c>
      <c r="K27" s="73">
        <f>K25-K26</f>
        <v>0</v>
      </c>
      <c r="L27" s="70">
        <f>L25-L26</f>
        <v>4</v>
      </c>
      <c r="M27" s="78">
        <f t="shared" ref="M27" si="17">M25-M26</f>
        <v>0</v>
      </c>
      <c r="N27" s="73">
        <f>N25-N26</f>
        <v>1</v>
      </c>
      <c r="O27" s="70">
        <f>O25-O26</f>
        <v>3</v>
      </c>
      <c r="P27" s="78">
        <f t="shared" ref="P27" si="18">P25-P26</f>
        <v>20</v>
      </c>
      <c r="Q27" s="73">
        <f>Q25-Q26</f>
        <v>1</v>
      </c>
      <c r="R27" s="70">
        <f>R25-R26</f>
        <v>0</v>
      </c>
      <c r="S27" s="78">
        <f t="shared" ref="S27" si="19">S25-S26</f>
        <v>1</v>
      </c>
      <c r="T27" s="73">
        <f>T25-T26</f>
        <v>3</v>
      </c>
      <c r="U27" s="70">
        <f>U25-U26</f>
        <v>0</v>
      </c>
      <c r="V27" s="78">
        <f t="shared" ref="V27" si="20">V25-V26</f>
        <v>5</v>
      </c>
      <c r="W27" s="73">
        <f>W25-W26</f>
        <v>14</v>
      </c>
      <c r="X27" s="70">
        <f>X25-X26</f>
        <v>0</v>
      </c>
      <c r="Y27" s="78">
        <f t="shared" ref="Y27" si="21">Y25-Y26</f>
        <v>9</v>
      </c>
      <c r="Z27" s="73">
        <f>Z25-Z26</f>
        <v>14</v>
      </c>
      <c r="AA27" s="70">
        <f>AA25-AA26</f>
        <v>0</v>
      </c>
      <c r="AB27" s="78">
        <f t="shared" ref="AB27" si="22">AB25-AB26</f>
        <v>20</v>
      </c>
      <c r="AC27" s="73">
        <f>AC25-AC26</f>
        <v>3</v>
      </c>
      <c r="AD27" s="70">
        <f>AD25-AD26</f>
        <v>0</v>
      </c>
      <c r="AE27" s="78">
        <f t="shared" ref="AE27" si="23">AE25-AE26</f>
        <v>22</v>
      </c>
      <c r="AF27" s="73">
        <f>AF25-AF26</f>
        <v>32</v>
      </c>
      <c r="AG27" s="70">
        <f t="shared" ref="AG27" si="24">AG25-AG26</f>
        <v>0</v>
      </c>
      <c r="AH27" s="78">
        <f t="shared" ref="AH27" si="25">AH25-AH26</f>
        <v>0</v>
      </c>
      <c r="AI27" s="73">
        <f>AI25-AI26</f>
        <v>4</v>
      </c>
      <c r="AJ27" s="70">
        <f t="shared" si="14"/>
        <v>17</v>
      </c>
      <c r="AK27" s="78">
        <f t="shared" si="14"/>
        <v>77</v>
      </c>
      <c r="AL27" s="73">
        <f t="shared" si="14"/>
        <v>72</v>
      </c>
    </row>
    <row r="28" spans="1:38" ht="33" customHeight="1" x14ac:dyDescent="0.45">
      <c r="A28" s="193" t="s">
        <v>1334</v>
      </c>
      <c r="B28" s="15" t="s">
        <v>2659</v>
      </c>
      <c r="C28" s="63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79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74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63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79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74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63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79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74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63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79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102</v>
      </c>
      <c r="N28" s="74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63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79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74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63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79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74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63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79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5</v>
      </c>
      <c r="W28" s="74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63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79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74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30</v>
      </c>
      <c r="AA28" s="63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79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74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63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79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12</v>
      </c>
      <c r="AF28" s="74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63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79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74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63">
        <f t="shared" si="14"/>
        <v>212</v>
      </c>
      <c r="AK28" s="79">
        <f t="shared" si="14"/>
        <v>204</v>
      </c>
      <c r="AL28" s="74">
        <f t="shared" si="14"/>
        <v>178</v>
      </c>
    </row>
    <row r="29" spans="1:38" ht="33" customHeight="1" x14ac:dyDescent="0.45">
      <c r="A29" s="194"/>
      <c r="B29" s="17" t="s">
        <v>2660</v>
      </c>
      <c r="C29" s="69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77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72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69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77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72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69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77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72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69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77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72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69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77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69</v>
      </c>
      <c r="Q29" s="72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69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77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2</v>
      </c>
      <c r="T29" s="72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27</v>
      </c>
      <c r="U29" s="69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77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0</v>
      </c>
      <c r="W29" s="72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17</v>
      </c>
      <c r="X29" s="69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77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0</v>
      </c>
      <c r="Z29" s="72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8</v>
      </c>
      <c r="AA29" s="69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77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0</v>
      </c>
      <c r="AC29" s="72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5</v>
      </c>
      <c r="AD29" s="69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77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0</v>
      </c>
      <c r="AF29" s="72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3</v>
      </c>
      <c r="AG29" s="69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77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72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0</v>
      </c>
      <c r="AJ29" s="69">
        <f t="shared" si="14"/>
        <v>192</v>
      </c>
      <c r="AK29" s="77">
        <f t="shared" si="14"/>
        <v>146</v>
      </c>
      <c r="AL29" s="72">
        <f t="shared" si="14"/>
        <v>117</v>
      </c>
    </row>
    <row r="30" spans="1:38" ht="33" customHeight="1" thickBot="1" x14ac:dyDescent="0.5">
      <c r="A30" s="195"/>
      <c r="B30" s="19" t="s">
        <v>1335</v>
      </c>
      <c r="C30" s="70">
        <f>C28-C29</f>
        <v>16</v>
      </c>
      <c r="D30" s="78">
        <f t="shared" ref="D30:J30" si="26">D28-D29</f>
        <v>0</v>
      </c>
      <c r="E30" s="73">
        <f>E28-E29</f>
        <v>0</v>
      </c>
      <c r="F30" s="70">
        <f>F28-F29</f>
        <v>10</v>
      </c>
      <c r="G30" s="78">
        <f t="shared" si="26"/>
        <v>0</v>
      </c>
      <c r="H30" s="73">
        <f>H28-H29</f>
        <v>0</v>
      </c>
      <c r="I30" s="70">
        <f>I28-I29</f>
        <v>-6</v>
      </c>
      <c r="J30" s="78">
        <f t="shared" si="26"/>
        <v>0</v>
      </c>
      <c r="K30" s="73">
        <f>K28-K29</f>
        <v>0</v>
      </c>
      <c r="L30" s="70">
        <f>L28-L29</f>
        <v>1</v>
      </c>
      <c r="M30" s="78">
        <f t="shared" ref="M30" si="27">M28-M29</f>
        <v>27</v>
      </c>
      <c r="N30" s="73">
        <f>N28-N29</f>
        <v>4</v>
      </c>
      <c r="O30" s="70">
        <f>O28-O29</f>
        <v>-1</v>
      </c>
      <c r="P30" s="78">
        <f t="shared" ref="P30" si="28">P28-P29</f>
        <v>-3</v>
      </c>
      <c r="Q30" s="73">
        <f>Q28-Q29</f>
        <v>15</v>
      </c>
      <c r="R30" s="70">
        <f>R28-R29</f>
        <v>0</v>
      </c>
      <c r="S30" s="78">
        <f t="shared" ref="S30" si="29">S28-S29</f>
        <v>6</v>
      </c>
      <c r="T30" s="73">
        <f>T28-T29</f>
        <v>4</v>
      </c>
      <c r="U30" s="70">
        <f>U28-U29</f>
        <v>0</v>
      </c>
      <c r="V30" s="78">
        <f t="shared" ref="V30" si="30">V28-V29</f>
        <v>5</v>
      </c>
      <c r="W30" s="73">
        <f>W28-W29</f>
        <v>-6</v>
      </c>
      <c r="X30" s="70">
        <f>X28-X29</f>
        <v>0</v>
      </c>
      <c r="Y30" s="78">
        <f t="shared" ref="Y30" si="31">Y28-Y29</f>
        <v>8</v>
      </c>
      <c r="Z30" s="73">
        <f>Z28-Z29</f>
        <v>22</v>
      </c>
      <c r="AA30" s="70">
        <f>AA28-AA29</f>
        <v>0</v>
      </c>
      <c r="AB30" s="78">
        <f t="shared" ref="AB30" si="32">AB28-AB29</f>
        <v>3</v>
      </c>
      <c r="AC30" s="73">
        <f>AC28-AC29</f>
        <v>7</v>
      </c>
      <c r="AD30" s="70">
        <f>AD28-AD29</f>
        <v>0</v>
      </c>
      <c r="AE30" s="78">
        <f t="shared" ref="AE30" si="33">AE28-AE29</f>
        <v>12</v>
      </c>
      <c r="AF30" s="73">
        <f>AF28-AF29</f>
        <v>10</v>
      </c>
      <c r="AG30" s="70">
        <f t="shared" ref="AG30" si="34">AG28-AG29</f>
        <v>0</v>
      </c>
      <c r="AH30" s="78">
        <f t="shared" ref="AH30" si="35">AH28-AH29</f>
        <v>0</v>
      </c>
      <c r="AI30" s="73">
        <f>AI28-AI29</f>
        <v>5</v>
      </c>
      <c r="AJ30" s="70">
        <f t="shared" si="14"/>
        <v>20</v>
      </c>
      <c r="AK30" s="78">
        <f t="shared" si="14"/>
        <v>58</v>
      </c>
      <c r="AL30" s="73">
        <f t="shared" si="14"/>
        <v>61</v>
      </c>
    </row>
  </sheetData>
  <mergeCells count="30">
    <mergeCell ref="AA12:AC12"/>
    <mergeCell ref="AD12:AF12"/>
    <mergeCell ref="E1:F1"/>
    <mergeCell ref="C12:E12"/>
    <mergeCell ref="F12:H12"/>
    <mergeCell ref="I12:K12"/>
    <mergeCell ref="L12:N12"/>
    <mergeCell ref="B4:D4"/>
    <mergeCell ref="E4:G4"/>
    <mergeCell ref="AJ23:AL23"/>
    <mergeCell ref="A25:A27"/>
    <mergeCell ref="AG12:AI12"/>
    <mergeCell ref="A14:A16"/>
    <mergeCell ref="A17:A19"/>
    <mergeCell ref="C23:E23"/>
    <mergeCell ref="F23:H23"/>
    <mergeCell ref="I23:K23"/>
    <mergeCell ref="L23:N23"/>
    <mergeCell ref="O23:Q23"/>
    <mergeCell ref="R23:T23"/>
    <mergeCell ref="U23:W23"/>
    <mergeCell ref="O12:Q12"/>
    <mergeCell ref="R12:T12"/>
    <mergeCell ref="U12:W12"/>
    <mergeCell ref="X12:Z12"/>
    <mergeCell ref="A28:A30"/>
    <mergeCell ref="X23:Z23"/>
    <mergeCell ref="AA23:AC23"/>
    <mergeCell ref="AD23:AF23"/>
    <mergeCell ref="AG23:AI23"/>
  </mergeCells>
  <phoneticPr fontId="2"/>
  <pageMargins left="0.7" right="0.7" top="0.75" bottom="0.75" header="0.3" footer="0.3"/>
  <pageSetup paperSize="9" scale="4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/>
    <pageSetUpPr fitToPage="1"/>
  </sheetPr>
  <dimension ref="A1:AL30"/>
  <sheetViews>
    <sheetView zoomScale="55" zoomScaleNormal="55" workbookViewId="0"/>
  </sheetViews>
  <sheetFormatPr defaultColWidth="8.69921875" defaultRowHeight="18" x14ac:dyDescent="0.45"/>
  <cols>
    <col min="1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8" width="9.8984375" style="59" customWidth="1"/>
    <col min="39" max="16384" width="8.69921875" style="59"/>
  </cols>
  <sheetData>
    <row r="1" spans="1:35" ht="28.8" x14ac:dyDescent="0.45">
      <c r="A1" s="37" t="s">
        <v>1640</v>
      </c>
      <c r="B1" s="110"/>
      <c r="E1" s="172">
        <f>日付設定!$B$1</f>
        <v>46534</v>
      </c>
      <c r="F1" s="172"/>
    </row>
    <row r="3" spans="1:35" ht="22.8" thickBot="1" x14ac:dyDescent="0.5">
      <c r="A3" s="109" t="s">
        <v>1353</v>
      </c>
    </row>
    <row r="4" spans="1:35" ht="51" customHeight="1" x14ac:dyDescent="0.45">
      <c r="A4" s="68"/>
      <c r="B4" s="173" t="s">
        <v>1336</v>
      </c>
      <c r="C4" s="174"/>
      <c r="D4" s="175"/>
      <c r="E4" s="176" t="s">
        <v>1334</v>
      </c>
      <c r="F4" s="174"/>
      <c r="G4" s="175"/>
    </row>
    <row r="5" spans="1:35" ht="51" customHeight="1" thickBot="1" x14ac:dyDescent="0.5">
      <c r="A5" s="52"/>
      <c r="B5" s="67" t="s">
        <v>1642</v>
      </c>
      <c r="C5" s="83" t="s">
        <v>1365</v>
      </c>
      <c r="D5" s="80" t="s">
        <v>2851</v>
      </c>
      <c r="E5" s="67" t="s">
        <v>1642</v>
      </c>
      <c r="F5" s="83" t="s">
        <v>1365</v>
      </c>
      <c r="G5" s="80" t="s">
        <v>2851</v>
      </c>
    </row>
    <row r="6" spans="1:35" ht="51" customHeight="1" thickTop="1" x14ac:dyDescent="0.45">
      <c r="A6" s="86" t="s">
        <v>2659</v>
      </c>
      <c r="B6" s="100">
        <f>COUNTIFS('2025年度AOエントリー'!$H:$H,"&lt;="&amp;日付設定!$B$1,'2025年度AOエントリー'!$A:$A,日付設定!$I$2)</f>
        <v>188</v>
      </c>
      <c r="C6" s="101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D6" s="102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100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101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G6" s="102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</row>
    <row r="7" spans="1:35" ht="51" customHeight="1" x14ac:dyDescent="0.45">
      <c r="A7" s="87" t="s">
        <v>2660</v>
      </c>
      <c r="B7" s="103">
        <f>COUNTIFS('2024年度AOエントリー'!$H:$H,"&lt;="&amp;日付設定!$B$2,'2024年度AOエントリー'!$A:$A,日付設定!$I$2)</f>
        <v>171</v>
      </c>
      <c r="C7" s="104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D7" s="105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103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104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G7" s="105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</row>
    <row r="8" spans="1:35" ht="51" customHeight="1" thickBot="1" x14ac:dyDescent="0.5">
      <c r="A8" s="88" t="s">
        <v>1335</v>
      </c>
      <c r="B8" s="106">
        <f>B6-B7</f>
        <v>17</v>
      </c>
      <c r="C8" s="107">
        <f t="shared" ref="C8:G8" si="0">C6-C7</f>
        <v>77</v>
      </c>
      <c r="D8" s="108">
        <f t="shared" si="0"/>
        <v>72</v>
      </c>
      <c r="E8" s="106">
        <f>E6-E7</f>
        <v>20</v>
      </c>
      <c r="F8" s="107">
        <f t="shared" si="0"/>
        <v>58</v>
      </c>
      <c r="G8" s="108">
        <f t="shared" si="0"/>
        <v>61</v>
      </c>
    </row>
    <row r="9" spans="1:35" x14ac:dyDescent="0.45">
      <c r="R9" s="65"/>
    </row>
    <row r="11" spans="1:35" ht="22.8" thickBot="1" x14ac:dyDescent="0.5">
      <c r="A11" s="109" t="s">
        <v>1352</v>
      </c>
    </row>
    <row r="12" spans="1:35" ht="53.25" customHeight="1" x14ac:dyDescent="0.45">
      <c r="A12" s="66"/>
      <c r="B12" s="85"/>
      <c r="C12" s="177" t="s">
        <v>1643</v>
      </c>
      <c r="D12" s="178"/>
      <c r="E12" s="179"/>
      <c r="F12" s="177" t="s">
        <v>1644</v>
      </c>
      <c r="G12" s="178"/>
      <c r="H12" s="179"/>
      <c r="I12" s="177" t="s">
        <v>1342</v>
      </c>
      <c r="J12" s="178"/>
      <c r="K12" s="179"/>
      <c r="L12" s="177" t="s">
        <v>1347</v>
      </c>
      <c r="M12" s="178"/>
      <c r="N12" s="179"/>
      <c r="O12" s="177" t="s">
        <v>1357</v>
      </c>
      <c r="P12" s="178"/>
      <c r="Q12" s="179"/>
      <c r="R12" s="177" t="s">
        <v>1356</v>
      </c>
      <c r="S12" s="178"/>
      <c r="T12" s="179"/>
      <c r="U12" s="177" t="s">
        <v>1345</v>
      </c>
      <c r="V12" s="178"/>
      <c r="W12" s="179"/>
      <c r="X12" s="177" t="s">
        <v>1341</v>
      </c>
      <c r="Y12" s="178"/>
      <c r="Z12" s="179"/>
      <c r="AA12" s="177" t="s">
        <v>1346</v>
      </c>
      <c r="AB12" s="178"/>
      <c r="AC12" s="179"/>
      <c r="AD12" s="177" t="s">
        <v>1344</v>
      </c>
      <c r="AE12" s="178"/>
      <c r="AF12" s="179"/>
      <c r="AG12" s="177" t="s">
        <v>1333</v>
      </c>
      <c r="AH12" s="178"/>
      <c r="AI12" s="179"/>
    </row>
    <row r="13" spans="1:35" ht="53.25" customHeight="1" thickBot="1" x14ac:dyDescent="0.5">
      <c r="A13" s="67"/>
      <c r="B13" s="84"/>
      <c r="C13" s="49" t="s">
        <v>1641</v>
      </c>
      <c r="D13" s="75" t="s">
        <v>1365</v>
      </c>
      <c r="E13" s="71" t="s">
        <v>2852</v>
      </c>
      <c r="F13" s="49" t="s">
        <v>1641</v>
      </c>
      <c r="G13" s="75" t="s">
        <v>1365</v>
      </c>
      <c r="H13" s="71" t="s">
        <v>2852</v>
      </c>
      <c r="I13" s="49" t="s">
        <v>1641</v>
      </c>
      <c r="J13" s="75" t="s">
        <v>1365</v>
      </c>
      <c r="K13" s="71" t="s">
        <v>2852</v>
      </c>
      <c r="L13" s="49" t="s">
        <v>1641</v>
      </c>
      <c r="M13" s="75" t="s">
        <v>1365</v>
      </c>
      <c r="N13" s="71" t="s">
        <v>2852</v>
      </c>
      <c r="O13" s="49" t="s">
        <v>1641</v>
      </c>
      <c r="P13" s="75" t="s">
        <v>1365</v>
      </c>
      <c r="Q13" s="71" t="s">
        <v>2852</v>
      </c>
      <c r="R13" s="49" t="s">
        <v>1641</v>
      </c>
      <c r="S13" s="75" t="s">
        <v>1365</v>
      </c>
      <c r="T13" s="71" t="s">
        <v>2852</v>
      </c>
      <c r="U13" s="49" t="s">
        <v>1641</v>
      </c>
      <c r="V13" s="75" t="s">
        <v>1365</v>
      </c>
      <c r="W13" s="71" t="s">
        <v>2852</v>
      </c>
      <c r="X13" s="49" t="s">
        <v>1641</v>
      </c>
      <c r="Y13" s="75" t="s">
        <v>1365</v>
      </c>
      <c r="Z13" s="71" t="s">
        <v>2852</v>
      </c>
      <c r="AA13" s="49" t="s">
        <v>1641</v>
      </c>
      <c r="AB13" s="75" t="s">
        <v>1365</v>
      </c>
      <c r="AC13" s="71" t="s">
        <v>2852</v>
      </c>
      <c r="AD13" s="49" t="s">
        <v>1641</v>
      </c>
      <c r="AE13" s="75" t="s">
        <v>1365</v>
      </c>
      <c r="AF13" s="71" t="s">
        <v>2852</v>
      </c>
      <c r="AG13" s="49" t="s">
        <v>1641</v>
      </c>
      <c r="AH13" s="75" t="s">
        <v>1365</v>
      </c>
      <c r="AI13" s="71" t="s">
        <v>2852</v>
      </c>
    </row>
    <row r="14" spans="1:35" ht="53.25" customHeight="1" thickTop="1" x14ac:dyDescent="0.45">
      <c r="A14" s="181" t="s">
        <v>1340</v>
      </c>
      <c r="B14" s="33" t="s">
        <v>2659</v>
      </c>
      <c r="C14" s="89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90">
        <f>COUNTIFS('2025年度出願'!$M:$M,"&lt;="&amp;日付設定!$B$1,'2025年度出願'!$E:$E,日付設定!$E$2,'2025年度出願'!$T:$T,日付設定!$F$4,'2025年度出願'!$R:$R,2)</f>
        <v>68</v>
      </c>
      <c r="E14" s="91">
        <f>COUNTIFS('2025年度出願'!$AA:$AA,"&lt;="&amp;日付設定!$B$1,'2025年度出願'!$AG:$AG,日付設定!$E$2,'2025年度出願'!$T:$T,日付設定!$F$4,'2025年度出願'!$R:$R,2)</f>
        <v>60</v>
      </c>
      <c r="F14" s="89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90">
        <f>COUNTIFS('2025年度出願'!$M:$M,"&lt;="&amp;日付設定!$B$1,'2025年度出願'!$E:$E,日付設定!$E$2,'2025年度出願'!$T:$T,日付設定!$F$4,'2025年度出願'!$R:$R,1)</f>
        <v>22</v>
      </c>
      <c r="H14" s="91">
        <f>COUNTIFS('2025年度出願'!$AA:$AA,"&lt;="&amp;日付設定!$B$1,'2025年度出願'!$AG:$AG,日付設定!$E$2,'2025年度出願'!$T:$T,日付設定!$F$4,'2025年度出願'!$R:$R,1)</f>
        <v>12</v>
      </c>
      <c r="I14" s="89">
        <f>COUNTIFS('2025年度AOエントリー'!$H:$H,"&lt;="&amp;日付設定!$B$1,'2025年度AOエントリー'!$A:$A,日付設定!$I$2,'2025年度AOエントリー'!$J:$J,日付設定!$J$3)</f>
        <v>25</v>
      </c>
      <c r="J14" s="90">
        <f>COUNTIFS('2025年度出願'!$M:$M,"&lt;="&amp;日付設定!$B$1,'2025年度出願'!$E:$E,日付設定!$E$2,'2025年度出願'!$T:$T,日付設定!$F$6)</f>
        <v>33</v>
      </c>
      <c r="K14" s="91">
        <f>COUNTIFS('2025年度出願'!$AA:$AA,"&lt;="&amp;日付設定!$B$1,'2025年度出願'!$AG:$AG,日付設定!$E$2,'2025年度出願'!$T:$T,日付設定!$F$6)</f>
        <v>30</v>
      </c>
      <c r="L14" s="89">
        <f>COUNTIFS('2025年度AOエントリー'!$H:$H,"&lt;="&amp;日付設定!$B$1,'2025年度AOエントリー'!$A:$A,日付設定!$I$2,'2025年度AOエントリー'!$J:$J,日付設定!$J$5)</f>
        <v>31</v>
      </c>
      <c r="M14" s="90">
        <f>COUNTIFS('2025年度出願'!$M:$M,"&lt;="&amp;日付設定!$B$1,'2025年度出願'!$E:$E,日付設定!$E$2,'2025年度出願'!$T:$T,日付設定!$F$10)</f>
        <v>50</v>
      </c>
      <c r="N14" s="91">
        <f>COUNTIFS('2025年度出願'!$AA:$AA,"&lt;="&amp;日付設定!$B$1,'2025年度出願'!$AG:$AG,日付設定!$E$2,'2025年度出願'!$T:$T,日付設定!$F$10)</f>
        <v>45</v>
      </c>
      <c r="O14" s="89">
        <f>COUNTIFS('2025年度AOエントリー'!$H:$H,"&lt;="&amp;日付設定!$B$1,'2025年度AOエントリー'!$A:$A,日付設定!$I$2,'2025年度AOエントリー'!$G:$G,日付設定!$L$7)</f>
        <v>0</v>
      </c>
      <c r="P14" s="90">
        <f>COUNTIFS('2025年度出願'!$M:$M,"&lt;="&amp;日付設定!$B$1,'2025年度出願'!$E:$E,日付設定!$E$2,'2025年度出願'!$Q:$Q,日付設定!$H$2)</f>
        <v>0</v>
      </c>
      <c r="Q14" s="91">
        <f>COUNTIFS('2025年度出願'!$AA:$AA,"&lt;="&amp;日付設定!$B$1,'2025年度出願'!$AG:$AG,日付設定!$E$2,'2025年度出願'!$Q:$Q,日付設定!$H$2)</f>
        <v>0</v>
      </c>
      <c r="R14" s="89">
        <f>COUNTIFS('2025年度AOエントリー'!$H:$H,"&lt;="&amp;日付設定!$B$1,'2025年度AOエントリー'!$A:$A,日付設定!$I$2,'2025年度AOエントリー'!$G:$G,日付設定!$K$7)</f>
        <v>0</v>
      </c>
      <c r="S14" s="90">
        <f>COUNTIFS('2025年度出願'!$M:$M,"&lt;="&amp;日付設定!$B$1,'2025年度出願'!$E:$E,日付設定!$E$2,'2025年度出願'!$Q:$Q,日付設定!$G$2)</f>
        <v>0</v>
      </c>
      <c r="T14" s="91">
        <f>COUNTIFS('2025年度出願'!$AA:$AA,"&lt;="&amp;日付設定!$B$1,'2025年度出願'!$AG:$AG,日付設定!$E$2,'2025年度出願'!$Q:$Q,日付設定!$G$2)</f>
        <v>0</v>
      </c>
      <c r="U14" s="89">
        <f>COUNTIFS('2025年度AOエントリー'!$H:$H,"&lt;="&amp;日付設定!$B$1,'2025年度AOエントリー'!$A:$A,日付設定!$I$2,'2025年度AOエントリー'!$J:$J,日付設定!$J$8)</f>
        <v>0</v>
      </c>
      <c r="V14" s="90">
        <f>COUNTIFS('2025年度出願'!$M:$M,"&lt;="&amp;日付設定!$B$1,'2025年度出願'!$E:$E,日付設定!$E$2,'2025年度出願'!$T:$T,日付設定!$F$3)</f>
        <v>0</v>
      </c>
      <c r="W14" s="91">
        <f>COUNTIFS('2025年度出願'!$AA:$AA,"&lt;="&amp;日付設定!$B$1,'2025年度出願'!$AG:$AG,日付設定!$E$2,'2025年度出願'!$T:$T,日付設定!$F$3)</f>
        <v>0</v>
      </c>
      <c r="X14" s="89">
        <f>COUNTIFS('2025年度AOエントリー'!$H:$H,"&lt;="&amp;日付設定!$B$1,'2025年度AOエントリー'!$A:$A,日付設定!$I$2,'2025年度AOエントリー'!$J:$J,日付設定!$J$2)</f>
        <v>27</v>
      </c>
      <c r="Y14" s="90">
        <f>COUNTIFS('2025年度出願'!$M:$M,"&lt;="&amp;日付設定!$B$1,'2025年度出願'!$E:$E,日付設定!$E$2,'2025年度出願'!$T:$T,日付設定!$F$5)</f>
        <v>24</v>
      </c>
      <c r="Z14" s="91">
        <f>COUNTIFS('2025年度出願'!$AA:$AA,"&lt;="&amp;日付設定!$B$1,'2025年度出願'!$AG:$AG,日付設定!$E$2,'2025年度出願'!$T:$T,日付設定!$F$5)</f>
        <v>20</v>
      </c>
      <c r="AA14" s="89">
        <f>COUNTIFS('2025年度AOエントリー'!$H:$H,"&lt;="&amp;日付設定!$B$1,'2025年度AOエントリー'!$A:$A,日付設定!$I$2,'2025年度AOエントリー'!$J:$J,日付設定!$J$6)</f>
        <v>9</v>
      </c>
      <c r="AB14" s="90">
        <f>COUNTIFS('2025年度出願'!$M:$M,"&lt;="&amp;日付設定!$B$1,'2025年度出願'!$E:$E,日付設定!$E$2,'2025年度出願'!$T:$T,日付設定!$F$9)</f>
        <v>8</v>
      </c>
      <c r="AC14" s="91">
        <f>COUNTIFS('2025年度出願'!$AA:$AA,"&lt;="&amp;日付設定!$B$1,'2025年度出願'!$AG:$AG,日付設定!$E$2,'2025年度出願'!$T:$T,日付設定!$F$9)</f>
        <v>8</v>
      </c>
      <c r="AD14" s="89">
        <f>COUNTIFS('2025年度AOエントリー'!$H:$H,"&lt;="&amp;日付設定!$B$1,'2025年度AOエントリー'!$A:$A,日付設定!$I$2,'2025年度AOエントリー'!$J:$J,日付設定!$J$9)</f>
        <v>0</v>
      </c>
      <c r="AE14" s="90">
        <f>COUNTIFS('2025年度出願'!$M:$M,"&lt;="&amp;日付設定!$B$1,'2025年度出願'!$E:$E,日付設定!$E$2,'2025年度出願'!$T:$T,日付設定!$F$7)</f>
        <v>0</v>
      </c>
      <c r="AF14" s="91">
        <f>COUNTIFS('2025年度出願'!$AA:$AA,"&lt;="&amp;日付設定!$B$1,'2025年度出願'!$AG:$AG,日付設定!$E$2,'2025年度出願'!$T:$T,日付設定!$F$7)</f>
        <v>0</v>
      </c>
      <c r="AG14" s="89">
        <f t="shared" ref="AG14:AI19" si="1">SUM(C14,F14,I14,L14,O14,R14,U14,X14,AA14,AD14)</f>
        <v>188</v>
      </c>
      <c r="AH14" s="90">
        <f t="shared" si="1"/>
        <v>205</v>
      </c>
      <c r="AI14" s="91">
        <f t="shared" si="1"/>
        <v>175</v>
      </c>
    </row>
    <row r="15" spans="1:35" ht="53.25" customHeight="1" x14ac:dyDescent="0.45">
      <c r="A15" s="182"/>
      <c r="B15" s="32" t="s">
        <v>2660</v>
      </c>
      <c r="C15" s="92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93">
        <f>COUNTIFS('2024年度出願'!$M:$M,"&lt;="&amp;日付設定!$B$2,'2024年度出願'!$E:$E,日付設定!$E$2,'2024年度出願'!$T:$T,日付設定!$F$4,'2024年度出願'!$R:$R,2)</f>
        <v>56</v>
      </c>
      <c r="E15" s="94">
        <f>COUNTIFS('2024年度出願'!$AA:$AA,"&lt;="&amp;日付設定!$B$2,'2024年度出願'!$AG:$AG,日付設定!$E$2,'2024年度出願'!$T:$T,日付設定!$F$4,'2024年度出願'!$R:$R,2)</f>
        <v>50</v>
      </c>
      <c r="F15" s="92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93">
        <f>COUNTIFS('2024年度出願'!$M:$M,"&lt;="&amp;日付設定!$B$2,'2024年度出願'!$E:$E,日付設定!$E$2,'2024年度出願'!$T:$T,日付設定!$F$4,'2024年度出願'!$R:$R,1)</f>
        <v>29</v>
      </c>
      <c r="H15" s="94">
        <f>COUNTIFS('2024年度出願'!$AA:$AA,"&lt;="&amp;日付設定!$B$2,'2024年度出願'!$AG:$AG,日付設定!$E$2,'2024年度出願'!$T:$T,日付設定!$F$4,'2024年度出願'!$R:$R,1)</f>
        <v>13</v>
      </c>
      <c r="I15" s="92">
        <f>COUNTIFS('2024年度AOエントリー'!$H:$H,"&lt;="&amp;日付設定!$B$2,'2024年度AOエントリー'!$A:$A,日付設定!$I$2,'2024年度AOエントリー'!$J:$J,日付設定!$J$3)</f>
        <v>14</v>
      </c>
      <c r="J15" s="93">
        <f>COUNTIFS('2024年度出願'!$M:$M,"&lt;="&amp;日付設定!$B$2,'2024年度出願'!$E:$E,日付設定!$E$2,'2024年度出願'!$T:$T,日付設定!$F$6)</f>
        <v>11</v>
      </c>
      <c r="K15" s="94">
        <f>COUNTIFS('2024年度出願'!$AA:$AA,"&lt;="&amp;日付設定!$B$2,'2024年度出願'!$AG:$AG,日付設定!$E$2,'2024年度出願'!$T:$T,日付設定!$F$6)</f>
        <v>9</v>
      </c>
      <c r="L15" s="92">
        <f>COUNTIFS('2024年度AOエントリー'!$H:$H,"&lt;="&amp;日付設定!$B$2,'2024年度AOエントリー'!$A:$A,日付設定!$I$2,'2024年度AOエントリー'!$J:$J,日付設定!$J$5)</f>
        <v>23</v>
      </c>
      <c r="M15" s="93">
        <f>COUNTIFS('2024年度出願'!$M:$M,"&lt;="&amp;日付設定!$B$2,'2024年度出願'!$E:$E,日付設定!$E$2,'2024年度出願'!$T:$T,日付設定!$F$10)</f>
        <v>20</v>
      </c>
      <c r="N15" s="94">
        <f>COUNTIFS('2024年度出願'!$AA:$AA,"&lt;="&amp;日付設定!$B$2,'2024年度出願'!$AG:$AG,日付設定!$E$2,'2024年度出願'!$T:$T,日付設定!$F$10)</f>
        <v>19</v>
      </c>
      <c r="O15" s="92">
        <f>COUNTIFS('2024年度AOエントリー'!$H:$H,"&lt;="&amp;日付設定!$B$2,'2024年度AOエントリー'!$A:$A,日付設定!$I$2,'2024年度AOエントリー'!$G:$G,日付設定!$L$7)</f>
        <v>0</v>
      </c>
      <c r="P15" s="93">
        <f>COUNTIFS('2024年度出願'!$M:$M,"&lt;="&amp;日付設定!$B$2,'2024年度出願'!$E:$E,日付設定!$E$2,'2024年度出願'!$Q:$Q,日付設定!$H$2)</f>
        <v>0</v>
      </c>
      <c r="Q15" s="94">
        <f>COUNTIFS('2024年度出願'!$AA:$AA,"&lt;="&amp;日付設定!$B$2,'2024年度出願'!$AG:$AG,日付設定!$E$2,'2024年度出願'!$Q:$Q,日付設定!$H$2)</f>
        <v>0</v>
      </c>
      <c r="R15" s="92">
        <f>COUNTIFS('2024年度AOエントリー'!$H:$H,"&lt;="&amp;日付設定!$B$2,'2024年度AOエントリー'!$A:$A,日付設定!$I$2,'2024年度AOエントリー'!$G:$G,日付設定!$K$7)</f>
        <v>0</v>
      </c>
      <c r="S15" s="93">
        <f>COUNTIFS('2024年度出願'!$M:$M,"&lt;="&amp;日付設定!$B$2,'2024年度出願'!$E:$E,日付設定!$E$2,'2024年度出願'!$Q:$Q,日付設定!$G$2)</f>
        <v>0</v>
      </c>
      <c r="T15" s="94">
        <f>COUNTIFS('2024年度出願'!$AA:$AA,"&lt;="&amp;日付設定!$B$2,'2024年度出願'!$AG:$AG,日付設定!$E$2,'2024年度出願'!$Q:$Q,日付設定!$G$2)</f>
        <v>0</v>
      </c>
      <c r="U15" s="92">
        <f>COUNTIFS('2024年度AOエントリー'!$H:$H,"&lt;="&amp;日付設定!$B$2,'2024年度AOエントリー'!$A:$A,日付設定!$I$2,'2024年度AOエントリー'!$J:$J,日付設定!$J$8)</f>
        <v>0</v>
      </c>
      <c r="V15" s="93">
        <f>COUNTIFS('2024年度出願'!$M:$M,"&lt;="&amp;日付設定!$B$2,'2024年度出願'!$E:$E,日付設定!$E$2,'2024年度出願'!$T:$T,日付設定!$F$3)</f>
        <v>0</v>
      </c>
      <c r="W15" s="94">
        <f>COUNTIFS('2024年度出願'!$AA:$AA,"&lt;="&amp;日付設定!$B$2,'2024年度出願'!$AG:$AG,日付設定!$E$2,'2024年度出願'!$T:$T,日付設定!$F$3)</f>
        <v>0</v>
      </c>
      <c r="X15" s="92">
        <f>COUNTIFS('2024年度AOエントリー'!$H:$H,"&lt;="&amp;日付設定!$B$2,'2024年度AOエントリー'!$A:$A,日付設定!$I$2,'2024年度AOエントリー'!$J:$J,日付設定!$J$2)</f>
        <v>9</v>
      </c>
      <c r="Y15" s="93">
        <f>COUNTIFS('2024年度出願'!$M:$M,"&lt;="&amp;日付設定!$B$2,'2024年度出願'!$E:$E,日付設定!$E$2,'2024年度出願'!$T:$T,日付設定!$F$5)</f>
        <v>6</v>
      </c>
      <c r="Z15" s="94">
        <f>COUNTIFS('2024年度出願'!$AA:$AA,"&lt;="&amp;日付設定!$B$2,'2024年度出願'!$AG:$AG,日付設定!$E$2,'2024年度出願'!$T:$T,日付設定!$F$5)</f>
        <v>6</v>
      </c>
      <c r="AA15" s="92">
        <f>COUNTIFS('2024年度AOエントリー'!$H:$H,"&lt;="&amp;日付設定!$B$2,'2024年度AOエントリー'!$A:$A,日付設定!$I$2,'2024年度AOエントリー'!$J:$J,日付設定!$J$6)</f>
        <v>9</v>
      </c>
      <c r="AB15" s="93">
        <f>COUNTIFS('2024年度出願'!$M:$M,"&lt;="&amp;日付設定!$B$2,'2024年度出願'!$E:$E,日付設定!$E$2,'2024年度出願'!$T:$T,日付設定!$F$9)</f>
        <v>6</v>
      </c>
      <c r="AC15" s="94">
        <f>COUNTIFS('2024年度出願'!$AA:$AA,"&lt;="&amp;日付設定!$B$2,'2024年度出願'!$AG:$AG,日付設定!$E$2,'2024年度出願'!$T:$T,日付設定!$F$9)</f>
        <v>6</v>
      </c>
      <c r="AD15" s="92">
        <f>COUNTIFS('2024年度AOエントリー'!$H:$H,"&lt;="&amp;日付設定!$B$2,'2024年度AOエントリー'!$A:$A,日付設定!$I$2,'2024年度AOエントリー'!$J:$J,日付設定!$J$9)</f>
        <v>0</v>
      </c>
      <c r="AE15" s="93">
        <f>COUNTIFS('2024年度出願'!$M:$M,"&lt;="&amp;日付設定!$B$2,'2024年度出願'!$E:$E,日付設定!$E$2,'2024年度出願'!$T:$T,日付設定!$F$7)</f>
        <v>0</v>
      </c>
      <c r="AF15" s="94">
        <f>COUNTIFS('2024年度出願'!$AA:$AA,"&lt;="&amp;日付設定!$B$2,'2024年度出願'!$AG:$AG,日付設定!$E$2,'2024年度出願'!$T:$T,日付設定!$F$7)</f>
        <v>0</v>
      </c>
      <c r="AG15" s="92">
        <f t="shared" si="1"/>
        <v>171</v>
      </c>
      <c r="AH15" s="93">
        <f t="shared" si="1"/>
        <v>128</v>
      </c>
      <c r="AI15" s="94">
        <f t="shared" si="1"/>
        <v>103</v>
      </c>
    </row>
    <row r="16" spans="1:35" ht="53.25" customHeight="1" thickBot="1" x14ac:dyDescent="0.5">
      <c r="A16" s="183"/>
      <c r="B16" s="19" t="s">
        <v>1335</v>
      </c>
      <c r="C16" s="95">
        <f>C14-C15</f>
        <v>-12</v>
      </c>
      <c r="D16" s="96">
        <f t="shared" ref="D16:Q16" si="2">D14-D15</f>
        <v>12</v>
      </c>
      <c r="E16" s="97">
        <f t="shared" si="2"/>
        <v>10</v>
      </c>
      <c r="F16" s="95">
        <f>F14-F15</f>
        <v>-8</v>
      </c>
      <c r="G16" s="96">
        <f t="shared" si="2"/>
        <v>-7</v>
      </c>
      <c r="H16" s="97">
        <f t="shared" si="2"/>
        <v>-1</v>
      </c>
      <c r="I16" s="95">
        <f>I14-I15</f>
        <v>11</v>
      </c>
      <c r="J16" s="96">
        <f t="shared" si="2"/>
        <v>22</v>
      </c>
      <c r="K16" s="97">
        <f t="shared" si="2"/>
        <v>21</v>
      </c>
      <c r="L16" s="95">
        <f>L14-L15</f>
        <v>8</v>
      </c>
      <c r="M16" s="96">
        <f t="shared" si="2"/>
        <v>30</v>
      </c>
      <c r="N16" s="97">
        <f t="shared" si="2"/>
        <v>26</v>
      </c>
      <c r="O16" s="95">
        <f>O14-O15</f>
        <v>0</v>
      </c>
      <c r="P16" s="96">
        <f t="shared" si="2"/>
        <v>0</v>
      </c>
      <c r="Q16" s="97">
        <f t="shared" si="2"/>
        <v>0</v>
      </c>
      <c r="R16" s="95">
        <f>R14-R15</f>
        <v>0</v>
      </c>
      <c r="S16" s="96">
        <f>S14-S15</f>
        <v>0</v>
      </c>
      <c r="T16" s="97">
        <f>T14-T15</f>
        <v>0</v>
      </c>
      <c r="U16" s="95">
        <f>U14-U15</f>
        <v>0</v>
      </c>
      <c r="V16" s="96">
        <f t="shared" ref="V16:AC16" si="3">V14-V15</f>
        <v>0</v>
      </c>
      <c r="W16" s="97">
        <f t="shared" si="3"/>
        <v>0</v>
      </c>
      <c r="X16" s="95">
        <f>X14-X15</f>
        <v>18</v>
      </c>
      <c r="Y16" s="96">
        <f t="shared" si="3"/>
        <v>18</v>
      </c>
      <c r="Z16" s="97">
        <f t="shared" si="3"/>
        <v>14</v>
      </c>
      <c r="AA16" s="95">
        <f>AA14-AA15</f>
        <v>0</v>
      </c>
      <c r="AB16" s="96">
        <f t="shared" si="3"/>
        <v>2</v>
      </c>
      <c r="AC16" s="97">
        <f t="shared" si="3"/>
        <v>2</v>
      </c>
      <c r="AD16" s="95">
        <f>AD14-AD15</f>
        <v>0</v>
      </c>
      <c r="AE16" s="96">
        <f>AE14-AE15</f>
        <v>0</v>
      </c>
      <c r="AF16" s="97">
        <f>AF14-AF15</f>
        <v>0</v>
      </c>
      <c r="AG16" s="95">
        <f t="shared" si="1"/>
        <v>17</v>
      </c>
      <c r="AH16" s="96">
        <f t="shared" si="1"/>
        <v>77</v>
      </c>
      <c r="AI16" s="97">
        <f t="shared" si="1"/>
        <v>72</v>
      </c>
    </row>
    <row r="17" spans="1:38" ht="53.25" customHeight="1" x14ac:dyDescent="0.45">
      <c r="A17" s="184" t="s">
        <v>1334</v>
      </c>
      <c r="B17" s="15" t="s">
        <v>2659</v>
      </c>
      <c r="C17" s="89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98">
        <f>COUNTIFS('2025年度出願'!$M:$M,"&lt;="&amp;日付設定!$B$1,'2025年度出願'!$E:$E,日付設定!$E$3,'2025年度出願'!$T:$T,日付設定!$F$4,'2025年度出願'!$R:$R,2)</f>
        <v>57</v>
      </c>
      <c r="E17" s="99">
        <f>COUNTIFS('2025年度出願'!$AA:$AA,"&lt;="&amp;日付設定!$B$1,'2025年度出願'!$AG:$AG,日付設定!$E$3,'2025年度出願'!$T:$T,日付設定!$F$4,'2025年度出願'!$R:$R,2)</f>
        <v>45</v>
      </c>
      <c r="F17" s="89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98">
        <f>COUNTIFS('2025年度出願'!$M:$M,"&lt;="&amp;日付設定!$B$1,'2025年度出願'!$E:$E,日付設定!$E$3,'2025年度出願'!$T:$T,日付設定!$F$4,'2025年度出願'!$R:$R,1)</f>
        <v>17</v>
      </c>
      <c r="H17" s="99">
        <f>COUNTIFS('2025年度出願'!$AA:$AA,"&lt;="&amp;日付設定!$B$1,'2025年度出願'!$AG:$AG,日付設定!$E$3,'2025年度出願'!$T:$T,日付設定!$F$4,'2025年度出願'!$R:$R,1)</f>
        <v>10</v>
      </c>
      <c r="I17" s="89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98">
        <f>COUNTIFS('2025年度出願'!$M:$M,"&lt;="&amp;日付設定!$B$1,'2025年度出願'!$E:$E,日付設定!$E$3,'2025年度出願'!$T:$T,日付設定!$F$6)</f>
        <v>23</v>
      </c>
      <c r="K17" s="99">
        <f>COUNTIFS('2025年度出願'!$AA:$AA,"&lt;="&amp;日付設定!$B$1,'2025年度出願'!$AG:$AG,日付設定!$E$3,'2025年度出願'!$T:$T,日付設定!$F$6)</f>
        <v>21</v>
      </c>
      <c r="L17" s="89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98">
        <f>COUNTIFS('2025年度出願'!$M:$M,"&lt;="&amp;日付設定!$B$1,'2025年度出願'!$E:$E,日付設定!$E$3,'2025年度出願'!$T:$T,日付設定!$F$10)</f>
        <v>1</v>
      </c>
      <c r="N17" s="99">
        <f>COUNTIFS('2025年度出願'!$AA:$AA,"&lt;="&amp;日付設定!$B$1,'2025年度出願'!$AG:$AG,日付設定!$E$3,'2025年度出願'!$T:$T,日付設定!$F$10)</f>
        <v>1</v>
      </c>
      <c r="O17" s="89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98">
        <f>COUNTIFS('2025年度出願'!$M:$M,"&lt;="&amp;日付設定!$B$1,'2025年度出願'!$E:$E,日付設定!$E$3,'2025年度出願'!$Q:$Q,日付設定!$H$2)</f>
        <v>11</v>
      </c>
      <c r="Q17" s="99">
        <f>COUNTIFS('2025年度出願'!$AA:$AA,"&lt;="&amp;日付設定!$B$1,'2025年度出願'!$AG:$AG,日付設定!$E$3,'2025年度出願'!$Q:$Q,日付設定!$H$2)</f>
        <v>11</v>
      </c>
      <c r="R17" s="89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98">
        <f>COUNTIFS('2025年度出願'!$M:$M,"&lt;="&amp;日付設定!$B$1,'2025年度出願'!$E:$E,日付設定!$E$3,'2025年度出願'!$Q:$Q,日付設定!$G$2)</f>
        <v>30</v>
      </c>
      <c r="T17" s="99">
        <f>COUNTIFS('2025年度出願'!$AA:$AA,"&lt;="&amp;日付設定!$B$1,'2025年度出願'!$AG:$AG,日付設定!$E$3,'2025年度出願'!$Q:$Q,日付設定!$G$2)</f>
        <v>26</v>
      </c>
      <c r="U17" s="89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98">
        <f>COUNTIFS('2025年度出願'!$M:$M,"&lt;="&amp;日付設定!$B$1,'2025年度出願'!$E:$E,日付設定!$E$3,'2025年度出願'!$T:$T,日付設定!$F$3)</f>
        <v>18</v>
      </c>
      <c r="W17" s="99">
        <f>COUNTIFS('2025年度出願'!$AA:$AA,"&lt;="&amp;日付設定!$B$1,'2025年度出願'!$AG:$AG,日付設定!$E$3,'2025年度出願'!$T:$T,日付設定!$F$3)</f>
        <v>18</v>
      </c>
      <c r="X17" s="89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98">
        <f>COUNTIFS('2025年度出願'!$M:$M,"&lt;="&amp;日付設定!$B$1,'2025年度出願'!$E:$E,日付設定!$E$3,'2025年度出願'!$T:$T,日付設定!$F$5)</f>
        <v>25</v>
      </c>
      <c r="Z17" s="99">
        <f>COUNTIFS('2025年度出願'!$AA:$AA,"&lt;="&amp;日付設定!$B$1,'2025年度出願'!$AG:$AG,日付設定!$E$3,'2025年度出願'!$T:$T,日付設定!$F$5)</f>
        <v>25</v>
      </c>
      <c r="AA17" s="89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98">
        <f>COUNTIFS('2025年度出願'!$M:$M,"&lt;="&amp;日付設定!$B$1,'2025年度出願'!$E:$E,日付設定!$E$3,'2025年度出願'!$T:$T,日付設定!$F$9)</f>
        <v>10</v>
      </c>
      <c r="AC17" s="99">
        <f>COUNTIFS('2025年度出願'!$AA:$AA,"&lt;="&amp;日付設定!$B$1,'2025年度出願'!$AG:$AG,日付設定!$E$3,'2025年度出願'!$T:$T,日付設定!$F$9)</f>
        <v>10</v>
      </c>
      <c r="AD17" s="89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98">
        <f>COUNTIFS('2025年度出願'!$M:$M,"&lt;="&amp;日付設定!$B$1,'2025年度出願'!$E:$E,日付設定!$E$3,'2025年度出願'!$T:$T,日付設定!$F$7)</f>
        <v>12</v>
      </c>
      <c r="AF17" s="99">
        <f>COUNTIFS('2025年度出願'!$AA:$AA,"&lt;="&amp;日付設定!$B$1,'2025年度出願'!$AG:$AG,日付設定!$E$3,'2025年度出願'!$T:$T,日付設定!$F$7)</f>
        <v>11</v>
      </c>
      <c r="AG17" s="89">
        <f t="shared" si="1"/>
        <v>212</v>
      </c>
      <c r="AH17" s="98">
        <f t="shared" si="1"/>
        <v>204</v>
      </c>
      <c r="AI17" s="99">
        <f t="shared" si="1"/>
        <v>178</v>
      </c>
    </row>
    <row r="18" spans="1:38" ht="53.25" customHeight="1" x14ac:dyDescent="0.45">
      <c r="A18" s="182"/>
      <c r="B18" s="17" t="s">
        <v>2660</v>
      </c>
      <c r="C18" s="92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93">
        <f>COUNTIFS('2024年度出願'!$M:$M,"&lt;="&amp;日付設定!$B$2,'2024年度出願'!$E:$E,日付設定!$E$3,'2024年度出願'!$T:$T,日付設定!$F$4,'2024年度出願'!$R:$R,2)</f>
        <v>44</v>
      </c>
      <c r="E18" s="94">
        <f>COUNTIFS('2024年度出願'!$AA:$AA,"&lt;="&amp;日付設定!$B$2,'2024年度出願'!$AG:$AG,日付設定!$E$3,'2024年度出願'!$T:$T,日付設定!$F$4,'2024年度出願'!$R:$R,2)</f>
        <v>35</v>
      </c>
      <c r="F18" s="92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93">
        <f>COUNTIFS('2024年度出願'!$M:$M,"&lt;="&amp;日付設定!$B$2,'2024年度出願'!$E:$E,日付設定!$E$3,'2024年度出願'!$T:$T,日付設定!$F$4,'2024年度出願'!$R:$R,1)</f>
        <v>16</v>
      </c>
      <c r="H18" s="94">
        <f>COUNTIFS('2024年度出願'!$AA:$AA,"&lt;="&amp;日付設定!$B$2,'2024年度出願'!$AG:$AG,日付設定!$E$3,'2024年度出願'!$T:$T,日付設定!$F$4,'2024年度出願'!$R:$R,1)</f>
        <v>2</v>
      </c>
      <c r="I18" s="92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93">
        <f>COUNTIFS('2024年度出願'!$M:$M,"&lt;="&amp;日付設定!$B$2,'2024年度出願'!$E:$E,日付設定!$E$3,'2024年度出願'!$T:$T,日付設定!$F$6)</f>
        <v>9</v>
      </c>
      <c r="K18" s="94">
        <f>COUNTIFS('2024年度出願'!$AA:$AA,"&lt;="&amp;日付設定!$B$2,'2024年度出願'!$AG:$AG,日付設定!$E$3,'2024年度出願'!$T:$T,日付設定!$F$6)</f>
        <v>8</v>
      </c>
      <c r="L18" s="92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93">
        <f>COUNTIFS('2024年度出願'!$M:$M,"&lt;="&amp;日付設定!$B$2,'2024年度出願'!$E:$E,日付設定!$E$3,'2024年度出願'!$T:$T,日付設定!$F$10)</f>
        <v>3</v>
      </c>
      <c r="N18" s="94">
        <f>COUNTIFS('2024年度出願'!$AA:$AA,"&lt;="&amp;日付設定!$B$2,'2024年度出願'!$AG:$AG,日付設定!$E$3,'2024年度出願'!$T:$T,日付設定!$F$10)</f>
        <v>2</v>
      </c>
      <c r="O18" s="92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93">
        <f>COUNTIFS('2024年度出願'!$M:$M,"&lt;="&amp;日付設定!$B$2,'2024年度出願'!$E:$E,日付設定!$E$3,'2024年度出願'!$Q:$Q,日付設定!$H$2)</f>
        <v>8</v>
      </c>
      <c r="Q18" s="94">
        <f>COUNTIFS('2024年度出願'!$AA:$AA,"&lt;="&amp;日付設定!$B$2,'2024年度出願'!$AG:$AG,日付設定!$E$3,'2024年度出願'!$Q:$Q,日付設定!$H$2)</f>
        <v>7</v>
      </c>
      <c r="R18" s="92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93">
        <f>COUNTIFS('2024年度出願'!$M:$M,"&lt;="&amp;日付設定!$B$2,'2024年度出願'!$E:$E,日付設定!$E$3,'2024年度出願'!$Q:$Q,日付設定!$G$2)</f>
        <v>14</v>
      </c>
      <c r="T18" s="94">
        <f>COUNTIFS('2024年度出願'!$AA:$AA,"&lt;="&amp;日付設定!$B$2,'2024年度出願'!$AG:$AG,日付設定!$E$3,'2024年度出願'!$Q:$Q,日付設定!$G$2)</f>
        <v>14</v>
      </c>
      <c r="U18" s="92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93">
        <f>COUNTIFS('2024年度出願'!$M:$M,"&lt;="&amp;日付設定!$B$2,'2024年度出願'!$E:$E,日付設定!$E$3,'2024年度出願'!$T:$T,日付設定!$F$3)</f>
        <v>21</v>
      </c>
      <c r="W18" s="94">
        <f>COUNTIFS('2024年度出願'!$AA:$AA,"&lt;="&amp;日付設定!$B$2,'2024年度出願'!$AG:$AG,日付設定!$E$3,'2024年度出願'!$T:$T,日付設定!$F$3)</f>
        <v>20</v>
      </c>
      <c r="X18" s="92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93">
        <f>COUNTIFS('2024年度出願'!$M:$M,"&lt;="&amp;日付設定!$B$2,'2024年度出願'!$E:$E,日付設定!$E$3,'2024年度出願'!$T:$T,日付設定!$F$5)</f>
        <v>14</v>
      </c>
      <c r="Z18" s="94">
        <f>COUNTIFS('2024年度出願'!$AA:$AA,"&lt;="&amp;日付設定!$B$2,'2024年度出願'!$AG:$AG,日付設定!$E$3,'2024年度出願'!$T:$T,日付設定!$F$5)</f>
        <v>14</v>
      </c>
      <c r="AA18" s="92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93">
        <f>COUNTIFS('2024年度出願'!$M:$M,"&lt;="&amp;日付設定!$B$2,'2024年度出願'!$E:$E,日付設定!$E$3,'2024年度出願'!$T:$T,日付設定!$F$9)</f>
        <v>11</v>
      </c>
      <c r="AC18" s="94">
        <f>COUNTIFS('2024年度出願'!$AA:$AA,"&lt;="&amp;日付設定!$B$2,'2024年度出願'!$AG:$AG,日付設定!$E$3,'2024年度出願'!$T:$T,日付設定!$F$9)</f>
        <v>9</v>
      </c>
      <c r="AD18" s="92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93">
        <f>COUNTIFS('2024年度出願'!$M:$M,"&lt;="&amp;日付設定!$B$2,'2024年度出願'!$E:$E,日付設定!$E$3,'2024年度出願'!$T:$T,日付設定!$F$7)</f>
        <v>6</v>
      </c>
      <c r="AF18" s="94">
        <f>COUNTIFS('2024年度出願'!$AA:$AA,"&lt;="&amp;日付設定!$B$2,'2024年度出願'!$AG:$AG,日付設定!$E$3,'2024年度出願'!$T:$T,日付設定!$F$7)</f>
        <v>6</v>
      </c>
      <c r="AG18" s="92">
        <f t="shared" si="1"/>
        <v>192</v>
      </c>
      <c r="AH18" s="93">
        <f t="shared" si="1"/>
        <v>146</v>
      </c>
      <c r="AI18" s="94">
        <f t="shared" si="1"/>
        <v>117</v>
      </c>
    </row>
    <row r="19" spans="1:38" ht="53.25" customHeight="1" thickBot="1" x14ac:dyDescent="0.5">
      <c r="A19" s="183"/>
      <c r="B19" s="19" t="s">
        <v>1335</v>
      </c>
      <c r="C19" s="95">
        <f>C17-C18</f>
        <v>6</v>
      </c>
      <c r="D19" s="96">
        <f t="shared" ref="D19:Q19" si="4">D17-D18</f>
        <v>13</v>
      </c>
      <c r="E19" s="97">
        <f t="shared" si="4"/>
        <v>10</v>
      </c>
      <c r="F19" s="95">
        <f>F17-F18</f>
        <v>-4</v>
      </c>
      <c r="G19" s="96">
        <f t="shared" si="4"/>
        <v>1</v>
      </c>
      <c r="H19" s="97">
        <f t="shared" si="4"/>
        <v>8</v>
      </c>
      <c r="I19" s="95">
        <f>I17-I18</f>
        <v>11</v>
      </c>
      <c r="J19" s="96">
        <f t="shared" si="4"/>
        <v>14</v>
      </c>
      <c r="K19" s="97">
        <f t="shared" si="4"/>
        <v>13</v>
      </c>
      <c r="L19" s="95">
        <f>L17-L18</f>
        <v>0</v>
      </c>
      <c r="M19" s="96">
        <f t="shared" si="4"/>
        <v>-2</v>
      </c>
      <c r="N19" s="97">
        <f t="shared" si="4"/>
        <v>-1</v>
      </c>
      <c r="O19" s="95">
        <f>O17-O18</f>
        <v>2</v>
      </c>
      <c r="P19" s="96">
        <f t="shared" si="4"/>
        <v>3</v>
      </c>
      <c r="Q19" s="97">
        <f t="shared" si="4"/>
        <v>4</v>
      </c>
      <c r="R19" s="95">
        <f>R17-R18</f>
        <v>-3</v>
      </c>
      <c r="S19" s="96">
        <f>S17-S18</f>
        <v>16</v>
      </c>
      <c r="T19" s="97">
        <f>T17-T18</f>
        <v>12</v>
      </c>
      <c r="U19" s="95">
        <f>U17-U18</f>
        <v>-7</v>
      </c>
      <c r="V19" s="96">
        <f t="shared" ref="V19:AC19" si="5">V17-V18</f>
        <v>-3</v>
      </c>
      <c r="W19" s="97">
        <f t="shared" si="5"/>
        <v>-2</v>
      </c>
      <c r="X19" s="95">
        <f>X17-X18</f>
        <v>12</v>
      </c>
      <c r="Y19" s="96">
        <f t="shared" si="5"/>
        <v>11</v>
      </c>
      <c r="Z19" s="97">
        <f t="shared" si="5"/>
        <v>11</v>
      </c>
      <c r="AA19" s="95">
        <f>AA17-AA18</f>
        <v>1</v>
      </c>
      <c r="AB19" s="96">
        <f t="shared" si="5"/>
        <v>-1</v>
      </c>
      <c r="AC19" s="97">
        <f t="shared" si="5"/>
        <v>1</v>
      </c>
      <c r="AD19" s="95">
        <f>AD17-AD18</f>
        <v>2</v>
      </c>
      <c r="AE19" s="96">
        <f>AE17-AE18</f>
        <v>6</v>
      </c>
      <c r="AF19" s="97">
        <f>AF17-AF18</f>
        <v>5</v>
      </c>
      <c r="AG19" s="95">
        <f t="shared" si="1"/>
        <v>20</v>
      </c>
      <c r="AH19" s="96">
        <f t="shared" si="1"/>
        <v>58</v>
      </c>
      <c r="AI19" s="97">
        <f t="shared" si="1"/>
        <v>61</v>
      </c>
    </row>
    <row r="22" spans="1:38" ht="22.8" thickBot="1" x14ac:dyDescent="0.5">
      <c r="A22" s="109" t="s">
        <v>1351</v>
      </c>
    </row>
    <row r="23" spans="1:38" ht="51.75" customHeight="1" x14ac:dyDescent="0.45">
      <c r="A23" s="47"/>
      <c r="B23" s="48"/>
      <c r="C23" s="177" t="s">
        <v>1298</v>
      </c>
      <c r="D23" s="178"/>
      <c r="E23" s="179"/>
      <c r="F23" s="177" t="s">
        <v>1299</v>
      </c>
      <c r="G23" s="178"/>
      <c r="H23" s="179"/>
      <c r="I23" s="177" t="s">
        <v>2861</v>
      </c>
      <c r="J23" s="178"/>
      <c r="K23" s="179"/>
      <c r="L23" s="177" t="s">
        <v>1364</v>
      </c>
      <c r="M23" s="178"/>
      <c r="N23" s="179"/>
      <c r="O23" s="177" t="s">
        <v>2862</v>
      </c>
      <c r="P23" s="178"/>
      <c r="Q23" s="179"/>
      <c r="R23" s="177" t="s">
        <v>2853</v>
      </c>
      <c r="S23" s="178"/>
      <c r="T23" s="179"/>
      <c r="U23" s="177" t="s">
        <v>2854</v>
      </c>
      <c r="V23" s="178"/>
      <c r="W23" s="179"/>
      <c r="X23" s="177" t="s">
        <v>2855</v>
      </c>
      <c r="Y23" s="178"/>
      <c r="Z23" s="179"/>
      <c r="AA23" s="177" t="s">
        <v>2856</v>
      </c>
      <c r="AB23" s="178"/>
      <c r="AC23" s="179"/>
      <c r="AD23" s="177" t="s">
        <v>2857</v>
      </c>
      <c r="AE23" s="178"/>
      <c r="AF23" s="179"/>
      <c r="AG23" s="177" t="s">
        <v>2858</v>
      </c>
      <c r="AH23" s="178"/>
      <c r="AI23" s="179"/>
      <c r="AJ23" s="177" t="s">
        <v>2860</v>
      </c>
      <c r="AK23" s="178"/>
      <c r="AL23" s="179"/>
    </row>
    <row r="24" spans="1:38" ht="51.75" customHeight="1" thickBot="1" x14ac:dyDescent="0.5">
      <c r="A24" s="49"/>
      <c r="B24" s="50"/>
      <c r="C24" s="49" t="s">
        <v>1641</v>
      </c>
      <c r="D24" s="75" t="s">
        <v>1365</v>
      </c>
      <c r="E24" s="71" t="s">
        <v>2852</v>
      </c>
      <c r="F24" s="49" t="s">
        <v>1642</v>
      </c>
      <c r="G24" s="75" t="s">
        <v>1365</v>
      </c>
      <c r="H24" s="71" t="s">
        <v>2852</v>
      </c>
      <c r="I24" s="49" t="s">
        <v>1642</v>
      </c>
      <c r="J24" s="75" t="s">
        <v>1365</v>
      </c>
      <c r="K24" s="71" t="s">
        <v>2852</v>
      </c>
      <c r="L24" s="49" t="s">
        <v>1642</v>
      </c>
      <c r="M24" s="75" t="s">
        <v>1365</v>
      </c>
      <c r="N24" s="71" t="s">
        <v>2852</v>
      </c>
      <c r="O24" s="49" t="s">
        <v>1642</v>
      </c>
      <c r="P24" s="75" t="s">
        <v>1365</v>
      </c>
      <c r="Q24" s="71" t="s">
        <v>2852</v>
      </c>
      <c r="R24" s="49" t="s">
        <v>1642</v>
      </c>
      <c r="S24" s="75" t="s">
        <v>1365</v>
      </c>
      <c r="T24" s="71" t="s">
        <v>2852</v>
      </c>
      <c r="U24" s="49" t="s">
        <v>1642</v>
      </c>
      <c r="V24" s="75" t="s">
        <v>1365</v>
      </c>
      <c r="W24" s="71" t="s">
        <v>2852</v>
      </c>
      <c r="X24" s="49" t="s">
        <v>1642</v>
      </c>
      <c r="Y24" s="75" t="s">
        <v>1365</v>
      </c>
      <c r="Z24" s="71" t="s">
        <v>2852</v>
      </c>
      <c r="AA24" s="49" t="s">
        <v>1642</v>
      </c>
      <c r="AB24" s="75" t="s">
        <v>1365</v>
      </c>
      <c r="AC24" s="71" t="s">
        <v>2852</v>
      </c>
      <c r="AD24" s="49" t="s">
        <v>1642</v>
      </c>
      <c r="AE24" s="75" t="s">
        <v>1365</v>
      </c>
      <c r="AF24" s="71" t="s">
        <v>2852</v>
      </c>
      <c r="AG24" s="49" t="s">
        <v>1642</v>
      </c>
      <c r="AH24" s="75" t="s">
        <v>1365</v>
      </c>
      <c r="AI24" s="71" t="s">
        <v>2852</v>
      </c>
      <c r="AJ24" s="49" t="s">
        <v>1642</v>
      </c>
      <c r="AK24" s="75" t="s">
        <v>1365</v>
      </c>
      <c r="AL24" s="71" t="s">
        <v>2852</v>
      </c>
    </row>
    <row r="25" spans="1:38" ht="51.75" customHeight="1" thickTop="1" x14ac:dyDescent="0.45">
      <c r="A25" s="190" t="s">
        <v>1340</v>
      </c>
      <c r="B25" s="51" t="s">
        <v>2659</v>
      </c>
      <c r="C25" s="89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90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91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89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90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91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89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90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91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89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90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55</v>
      </c>
      <c r="N25" s="91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89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90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87</v>
      </c>
      <c r="Q25" s="91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89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90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91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30</v>
      </c>
      <c r="U25" s="89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90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5</v>
      </c>
      <c r="W25" s="91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89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90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91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21</v>
      </c>
      <c r="AA25" s="89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90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91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89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90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91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89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90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91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89">
        <f t="shared" ref="AJ25:AL30" si="6">SUM(C25,F25,I25,L25,O25,R25,U25,X25,AA25,AD25,AG25)</f>
        <v>188</v>
      </c>
      <c r="AK25" s="90">
        <f t="shared" si="6"/>
        <v>205</v>
      </c>
      <c r="AL25" s="91">
        <f t="shared" si="6"/>
        <v>175</v>
      </c>
    </row>
    <row r="26" spans="1:38" ht="51.75" customHeight="1" x14ac:dyDescent="0.45">
      <c r="A26" s="182"/>
      <c r="B26" s="17" t="s">
        <v>2660</v>
      </c>
      <c r="C26" s="92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93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94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92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93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94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92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93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94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92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93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94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92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93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67</v>
      </c>
      <c r="Q26" s="94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38</v>
      </c>
      <c r="R26" s="92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93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6</v>
      </c>
      <c r="T26" s="94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27</v>
      </c>
      <c r="U26" s="92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93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0</v>
      </c>
      <c r="W26" s="94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11</v>
      </c>
      <c r="X26" s="92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93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0</v>
      </c>
      <c r="Z26" s="94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7</v>
      </c>
      <c r="AA26" s="92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93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0</v>
      </c>
      <c r="AC26" s="94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12</v>
      </c>
      <c r="AD26" s="92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93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0</v>
      </c>
      <c r="AF26" s="94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6</v>
      </c>
      <c r="AG26" s="92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93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0</v>
      </c>
      <c r="AI26" s="94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2</v>
      </c>
      <c r="AJ26" s="92">
        <f t="shared" si="6"/>
        <v>171</v>
      </c>
      <c r="AK26" s="93">
        <f t="shared" si="6"/>
        <v>128</v>
      </c>
      <c r="AL26" s="94">
        <f t="shared" si="6"/>
        <v>103</v>
      </c>
    </row>
    <row r="27" spans="1:38" ht="51.75" customHeight="1" thickBot="1" x14ac:dyDescent="0.5">
      <c r="A27" s="183"/>
      <c r="B27" s="19" t="s">
        <v>1335</v>
      </c>
      <c r="C27" s="95">
        <f t="shared" ref="C27:I27" si="7">C25-C26</f>
        <v>12</v>
      </c>
      <c r="D27" s="96">
        <f t="shared" si="7"/>
        <v>0</v>
      </c>
      <c r="E27" s="97">
        <f t="shared" si="7"/>
        <v>0</v>
      </c>
      <c r="F27" s="95">
        <f t="shared" si="7"/>
        <v>5</v>
      </c>
      <c r="G27" s="96">
        <f t="shared" si="7"/>
        <v>0</v>
      </c>
      <c r="H27" s="97">
        <f t="shared" si="7"/>
        <v>0</v>
      </c>
      <c r="I27" s="95">
        <f t="shared" si="7"/>
        <v>-7</v>
      </c>
      <c r="J27" s="96">
        <f t="shared" ref="J27" si="8">J25-J26</f>
        <v>0</v>
      </c>
      <c r="K27" s="97">
        <f>K25-K26</f>
        <v>0</v>
      </c>
      <c r="L27" s="95">
        <f>L25-L26</f>
        <v>4</v>
      </c>
      <c r="M27" s="96">
        <f t="shared" ref="M27" si="9">M25-M26</f>
        <v>0</v>
      </c>
      <c r="N27" s="97">
        <f>N25-N26</f>
        <v>1</v>
      </c>
      <c r="O27" s="95">
        <f>O25-O26</f>
        <v>3</v>
      </c>
      <c r="P27" s="96">
        <f t="shared" ref="P27" si="10">P25-P26</f>
        <v>20</v>
      </c>
      <c r="Q27" s="97">
        <f>Q25-Q26</f>
        <v>1</v>
      </c>
      <c r="R27" s="95">
        <f>R25-R26</f>
        <v>0</v>
      </c>
      <c r="S27" s="96">
        <f t="shared" ref="S27" si="11">S25-S26</f>
        <v>1</v>
      </c>
      <c r="T27" s="97">
        <f>T25-T26</f>
        <v>3</v>
      </c>
      <c r="U27" s="95">
        <f>U25-U26</f>
        <v>0</v>
      </c>
      <c r="V27" s="96">
        <f t="shared" ref="V27" si="12">V25-V26</f>
        <v>5</v>
      </c>
      <c r="W27" s="97">
        <f>W25-W26</f>
        <v>14</v>
      </c>
      <c r="X27" s="95">
        <f>X25-X26</f>
        <v>0</v>
      </c>
      <c r="Y27" s="96">
        <f t="shared" ref="Y27" si="13">Y25-Y26</f>
        <v>9</v>
      </c>
      <c r="Z27" s="97">
        <f>Z25-Z26</f>
        <v>14</v>
      </c>
      <c r="AA27" s="95">
        <f>AA25-AA26</f>
        <v>0</v>
      </c>
      <c r="AB27" s="96">
        <f t="shared" ref="AB27" si="14">AB25-AB26</f>
        <v>20</v>
      </c>
      <c r="AC27" s="97">
        <f>AC25-AC26</f>
        <v>3</v>
      </c>
      <c r="AD27" s="95">
        <f>AD25-AD26</f>
        <v>0</v>
      </c>
      <c r="AE27" s="96">
        <f t="shared" ref="AE27" si="15">AE25-AE26</f>
        <v>22</v>
      </c>
      <c r="AF27" s="97">
        <f>AF25-AF26</f>
        <v>32</v>
      </c>
      <c r="AG27" s="95">
        <f t="shared" ref="AG27:AH27" si="16">AG25-AG26</f>
        <v>0</v>
      </c>
      <c r="AH27" s="96">
        <f t="shared" si="16"/>
        <v>0</v>
      </c>
      <c r="AI27" s="97">
        <f>AI25-AI26</f>
        <v>4</v>
      </c>
      <c r="AJ27" s="95">
        <f t="shared" si="6"/>
        <v>17</v>
      </c>
      <c r="AK27" s="96">
        <f t="shared" si="6"/>
        <v>77</v>
      </c>
      <c r="AL27" s="97">
        <f t="shared" si="6"/>
        <v>72</v>
      </c>
    </row>
    <row r="28" spans="1:38" ht="51.75" customHeight="1" x14ac:dyDescent="0.45">
      <c r="A28" s="184" t="s">
        <v>1334</v>
      </c>
      <c r="B28" s="15" t="s">
        <v>2659</v>
      </c>
      <c r="C28" s="89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98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99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89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98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99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89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98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99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89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98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102</v>
      </c>
      <c r="N28" s="99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89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98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99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89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98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99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89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98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5</v>
      </c>
      <c r="W28" s="99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89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98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99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30</v>
      </c>
      <c r="AA28" s="89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98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99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89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98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12</v>
      </c>
      <c r="AF28" s="99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89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98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99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89">
        <f t="shared" si="6"/>
        <v>212</v>
      </c>
      <c r="AK28" s="98">
        <f t="shared" si="6"/>
        <v>204</v>
      </c>
      <c r="AL28" s="99">
        <f t="shared" si="6"/>
        <v>178</v>
      </c>
    </row>
    <row r="29" spans="1:38" ht="51.75" customHeight="1" x14ac:dyDescent="0.45">
      <c r="A29" s="182"/>
      <c r="B29" s="17" t="s">
        <v>2660</v>
      </c>
      <c r="C29" s="92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93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94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92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93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94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92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93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94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92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93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94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92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93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69</v>
      </c>
      <c r="Q29" s="94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92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93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2</v>
      </c>
      <c r="T29" s="94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27</v>
      </c>
      <c r="U29" s="92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93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0</v>
      </c>
      <c r="W29" s="94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17</v>
      </c>
      <c r="X29" s="92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93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0</v>
      </c>
      <c r="Z29" s="94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8</v>
      </c>
      <c r="AA29" s="92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93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0</v>
      </c>
      <c r="AC29" s="94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5</v>
      </c>
      <c r="AD29" s="92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93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0</v>
      </c>
      <c r="AF29" s="94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3</v>
      </c>
      <c r="AG29" s="92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93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94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0</v>
      </c>
      <c r="AJ29" s="92">
        <f t="shared" si="6"/>
        <v>192</v>
      </c>
      <c r="AK29" s="93">
        <f t="shared" si="6"/>
        <v>146</v>
      </c>
      <c r="AL29" s="94">
        <f t="shared" si="6"/>
        <v>117</v>
      </c>
    </row>
    <row r="30" spans="1:38" ht="51.75" customHeight="1" thickBot="1" x14ac:dyDescent="0.5">
      <c r="A30" s="183"/>
      <c r="B30" s="19" t="s">
        <v>1335</v>
      </c>
      <c r="C30" s="95">
        <f>C28-C29</f>
        <v>16</v>
      </c>
      <c r="D30" s="96">
        <f t="shared" ref="D30:J30" si="17">D28-D29</f>
        <v>0</v>
      </c>
      <c r="E30" s="97">
        <f>E28-E29</f>
        <v>0</v>
      </c>
      <c r="F30" s="95">
        <f>F28-F29</f>
        <v>10</v>
      </c>
      <c r="G30" s="96">
        <f t="shared" si="17"/>
        <v>0</v>
      </c>
      <c r="H30" s="97">
        <f>H28-H29</f>
        <v>0</v>
      </c>
      <c r="I30" s="95">
        <f>I28-I29</f>
        <v>-6</v>
      </c>
      <c r="J30" s="96">
        <f t="shared" si="17"/>
        <v>0</v>
      </c>
      <c r="K30" s="97">
        <f>K28-K29</f>
        <v>0</v>
      </c>
      <c r="L30" s="95">
        <f>L28-L29</f>
        <v>1</v>
      </c>
      <c r="M30" s="96">
        <f t="shared" ref="M30" si="18">M28-M29</f>
        <v>27</v>
      </c>
      <c r="N30" s="97">
        <f>N28-N29</f>
        <v>4</v>
      </c>
      <c r="O30" s="95">
        <f>O28-O29</f>
        <v>-1</v>
      </c>
      <c r="P30" s="96">
        <f t="shared" ref="P30" si="19">P28-P29</f>
        <v>-3</v>
      </c>
      <c r="Q30" s="97">
        <f>Q28-Q29</f>
        <v>15</v>
      </c>
      <c r="R30" s="95">
        <f>R28-R29</f>
        <v>0</v>
      </c>
      <c r="S30" s="96">
        <f t="shared" ref="S30" si="20">S28-S29</f>
        <v>6</v>
      </c>
      <c r="T30" s="97">
        <f>T28-T29</f>
        <v>4</v>
      </c>
      <c r="U30" s="95">
        <f>U28-U29</f>
        <v>0</v>
      </c>
      <c r="V30" s="96">
        <f t="shared" ref="V30" si="21">V28-V29</f>
        <v>5</v>
      </c>
      <c r="W30" s="97">
        <f>W28-W29</f>
        <v>-6</v>
      </c>
      <c r="X30" s="95">
        <f>X28-X29</f>
        <v>0</v>
      </c>
      <c r="Y30" s="96">
        <f t="shared" ref="Y30" si="22">Y28-Y29</f>
        <v>8</v>
      </c>
      <c r="Z30" s="97">
        <f>Z28-Z29</f>
        <v>22</v>
      </c>
      <c r="AA30" s="95">
        <f>AA28-AA29</f>
        <v>0</v>
      </c>
      <c r="AB30" s="96">
        <f t="shared" ref="AB30" si="23">AB28-AB29</f>
        <v>3</v>
      </c>
      <c r="AC30" s="97">
        <f>AC28-AC29</f>
        <v>7</v>
      </c>
      <c r="AD30" s="95">
        <f>AD28-AD29</f>
        <v>0</v>
      </c>
      <c r="AE30" s="96">
        <f t="shared" ref="AE30" si="24">AE28-AE29</f>
        <v>12</v>
      </c>
      <c r="AF30" s="97">
        <f>AF28-AF29</f>
        <v>10</v>
      </c>
      <c r="AG30" s="95">
        <f t="shared" ref="AG30:AH30" si="25">AG28-AG29</f>
        <v>0</v>
      </c>
      <c r="AH30" s="96">
        <f t="shared" si="25"/>
        <v>0</v>
      </c>
      <c r="AI30" s="97">
        <f>AI28-AI29</f>
        <v>5</v>
      </c>
      <c r="AJ30" s="95">
        <f t="shared" si="6"/>
        <v>20</v>
      </c>
      <c r="AK30" s="96">
        <f t="shared" si="6"/>
        <v>58</v>
      </c>
      <c r="AL30" s="97">
        <f t="shared" si="6"/>
        <v>61</v>
      </c>
    </row>
  </sheetData>
  <mergeCells count="30">
    <mergeCell ref="AJ23:AL23"/>
    <mergeCell ref="AA12:AC12"/>
    <mergeCell ref="AD12:AF12"/>
    <mergeCell ref="AG12:AI12"/>
    <mergeCell ref="L12:N12"/>
    <mergeCell ref="O12:Q12"/>
    <mergeCell ref="R12:T12"/>
    <mergeCell ref="U12:W12"/>
    <mergeCell ref="X12:Z12"/>
    <mergeCell ref="AG23:AI23"/>
    <mergeCell ref="U23:W23"/>
    <mergeCell ref="X23:Z23"/>
    <mergeCell ref="AA23:AC23"/>
    <mergeCell ref="AD23:AF23"/>
    <mergeCell ref="E1:F1"/>
    <mergeCell ref="C12:E12"/>
    <mergeCell ref="F12:H12"/>
    <mergeCell ref="I12:K12"/>
    <mergeCell ref="C23:E23"/>
    <mergeCell ref="B4:D4"/>
    <mergeCell ref="E4:G4"/>
    <mergeCell ref="A28:A30"/>
    <mergeCell ref="A17:A19"/>
    <mergeCell ref="A14:A16"/>
    <mergeCell ref="A25:A27"/>
    <mergeCell ref="R23:T23"/>
    <mergeCell ref="O23:Q23"/>
    <mergeCell ref="L23:N23"/>
    <mergeCell ref="I23:K23"/>
    <mergeCell ref="F23:H23"/>
  </mergeCells>
  <phoneticPr fontId="2"/>
  <pageMargins left="0.7" right="0.7" top="0.75" bottom="0.75" header="0.3" footer="0.3"/>
  <pageSetup paperSize="12" scale="3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/>
    <pageSetUpPr fitToPage="1"/>
  </sheetPr>
  <dimension ref="A1:L28"/>
  <sheetViews>
    <sheetView workbookViewId="0">
      <selection activeCell="J30" sqref="J30"/>
    </sheetView>
  </sheetViews>
  <sheetFormatPr defaultColWidth="8.59765625" defaultRowHeight="18" x14ac:dyDescent="0.45"/>
  <cols>
    <col min="1" max="1" width="8.59765625" style="14"/>
    <col min="2" max="2" width="7.59765625" style="14" customWidth="1"/>
    <col min="3" max="3" width="9.59765625" style="14" customWidth="1"/>
    <col min="4" max="4" width="9.09765625" style="14" customWidth="1"/>
    <col min="5" max="7" width="7.59765625" style="14" customWidth="1"/>
    <col min="8" max="9" width="9.09765625" style="14" customWidth="1"/>
    <col min="10" max="10" width="7.59765625" style="14" customWidth="1"/>
    <col min="11" max="16384" width="8.59765625" style="14"/>
  </cols>
  <sheetData>
    <row r="1" spans="1:12" ht="28.8" x14ac:dyDescent="0.45">
      <c r="A1" s="37" t="s">
        <v>1354</v>
      </c>
      <c r="E1" s="200">
        <f>日付設定!$B$1</f>
        <v>46534</v>
      </c>
      <c r="F1" s="200"/>
    </row>
    <row r="3" spans="1:12" ht="18.600000000000001" thickBot="1" x14ac:dyDescent="0.5">
      <c r="A3" s="36" t="s">
        <v>1353</v>
      </c>
    </row>
    <row r="4" spans="1:12" x14ac:dyDescent="0.45">
      <c r="A4" s="201"/>
      <c r="B4" s="203" t="s">
        <v>1336</v>
      </c>
      <c r="C4" s="205" t="s">
        <v>1337</v>
      </c>
    </row>
    <row r="5" spans="1:12" ht="18.600000000000001" thickBot="1" x14ac:dyDescent="0.5">
      <c r="A5" s="202"/>
      <c r="B5" s="204"/>
      <c r="C5" s="206"/>
    </row>
    <row r="6" spans="1:12" ht="18.600000000000001" thickTop="1" x14ac:dyDescent="0.45">
      <c r="A6" s="11" t="s">
        <v>1338</v>
      </c>
      <c r="B6" s="31">
        <f>COUNTIFS('2025年度AOエントリー'!$H:$H,"&lt;="&amp;日付設定!$B$1,'2025年度AOエントリー'!$A:$A,日付設定!$I$2)</f>
        <v>188</v>
      </c>
      <c r="C6" s="3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</row>
    <row r="7" spans="1:12" x14ac:dyDescent="0.45">
      <c r="A7" s="12" t="s">
        <v>1339</v>
      </c>
      <c r="B7" s="16">
        <f>COUNTIFS('2024年度AOエントリー'!$H:$H,"&lt;="&amp;日付設定!$B$2,'2024年度AOエントリー'!$A:$A,日付設定!$I$2)</f>
        <v>171</v>
      </c>
      <c r="C7" s="16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</row>
    <row r="8" spans="1:12" ht="18.600000000000001" thickBot="1" x14ac:dyDescent="0.5">
      <c r="A8" s="13" t="s">
        <v>1335</v>
      </c>
      <c r="B8" s="20">
        <f>B6-B7</f>
        <v>17</v>
      </c>
      <c r="C8" s="20">
        <f>C6-C7</f>
        <v>20</v>
      </c>
    </row>
    <row r="11" spans="1:12" ht="18.600000000000001" thickBot="1" x14ac:dyDescent="0.5">
      <c r="A11" s="36" t="s">
        <v>1352</v>
      </c>
    </row>
    <row r="12" spans="1:12" ht="18.600000000000001" thickBot="1" x14ac:dyDescent="0.5">
      <c r="A12" s="21"/>
      <c r="B12" s="24"/>
      <c r="C12" s="22" t="s">
        <v>1341</v>
      </c>
      <c r="D12" s="23" t="s">
        <v>1342</v>
      </c>
      <c r="E12" s="25" t="s">
        <v>1343</v>
      </c>
      <c r="F12" s="25" t="s">
        <v>1347</v>
      </c>
      <c r="G12" s="25" t="s">
        <v>1346</v>
      </c>
      <c r="H12" s="25" t="s">
        <v>1357</v>
      </c>
      <c r="I12" s="25" t="s">
        <v>1356</v>
      </c>
      <c r="J12" s="26" t="s">
        <v>1345</v>
      </c>
      <c r="K12" s="26" t="s">
        <v>1344</v>
      </c>
      <c r="L12" s="25" t="s">
        <v>1333</v>
      </c>
    </row>
    <row r="13" spans="1:12" ht="18.600000000000001" thickTop="1" x14ac:dyDescent="0.45">
      <c r="A13" s="193" t="s">
        <v>1340</v>
      </c>
      <c r="B13" s="33" t="s">
        <v>1338</v>
      </c>
      <c r="C13" s="31">
        <f>COUNTIFS('2025年度AOエントリー'!$H:$H,"&lt;="&amp;日付設定!$B$1,'2025年度AOエントリー'!$A:$A,日付設定!$I$2,'2025年度AOエントリー'!$J:$J,日付設定!$J$2)</f>
        <v>27</v>
      </c>
      <c r="D13" s="31">
        <f>COUNTIFS('2025年度AOエントリー'!$H:$H,"&lt;="&amp;日付設定!$B$1,'2025年度AOエントリー'!$A:$A,日付設定!$I$2,'2025年度AOエントリー'!$J:$J,日付設定!$J$3)</f>
        <v>25</v>
      </c>
      <c r="E13" s="31">
        <f>COUNTIFS('2025年度AOエントリー'!$H:$H,"&lt;="&amp;日付設定!$B$1,'2025年度AOエントリー'!$A:$A,日付設定!$I$2,'2025年度AOエントリー'!$J:$J,日付設定!$J$4)</f>
        <v>96</v>
      </c>
      <c r="F13" s="31">
        <f>COUNTIFS('2025年度AOエントリー'!$H:$H,"&lt;="&amp;日付設定!$B$1,'2025年度AOエントリー'!$A:$A,日付設定!$I$2,'2025年度AOエントリー'!$J:$J,日付設定!$J$5)</f>
        <v>31</v>
      </c>
      <c r="G13" s="31">
        <f>COUNTIFS('2025年度AOエントリー'!$H:$H,"&lt;="&amp;日付設定!$B$1,'2025年度AOエントリー'!$A:$A,日付設定!$I$2,'2025年度AOエントリー'!$J:$J,日付設定!$J$6)</f>
        <v>9</v>
      </c>
      <c r="H13" s="31">
        <f>COUNTIFS('2025年度AOエントリー'!$H:$H,"&lt;="&amp;日付設定!$B$1,'2025年度AOエントリー'!$A:$A,日付設定!$I$2,'2025年度AOエントリー'!$J:$J,日付設定!$J$7)</f>
        <v>0</v>
      </c>
      <c r="I13" s="31">
        <f>COUNTIFS('2025年度AOエントリー'!$H:$H,"&lt;="&amp;日付設定!$B$1,'2025年度AOエントリー'!$A:$A,日付設定!$I$2,'2025年度AOエントリー'!$J:$J,日付設定!$J$7)</f>
        <v>0</v>
      </c>
      <c r="J13" s="34">
        <f>COUNTIFS('2025年度AOエントリー'!$H:$H,"&lt;="&amp;日付設定!$B$1,'2025年度AOエントリー'!$A:$A,日付設定!$I$2,'2025年度AOエントリー'!$J:$J,日付設定!$J$8)</f>
        <v>0</v>
      </c>
      <c r="K13" s="34">
        <f>COUNTIFS('2025年度AOエントリー'!$H:$H,"&lt;="&amp;日付設定!$B$1,'2025年度AOエントリー'!$A:$A,日付設定!$I$2,'2025年度AOエントリー'!$J:$J,日付設定!$J$9)</f>
        <v>0</v>
      </c>
      <c r="L13" s="31">
        <f t="shared" ref="L13:L18" si="0">SUM(C13:K13)</f>
        <v>188</v>
      </c>
    </row>
    <row r="14" spans="1:12" x14ac:dyDescent="0.45">
      <c r="A14" s="194"/>
      <c r="B14" s="32" t="s">
        <v>1339</v>
      </c>
      <c r="C14" s="16">
        <f>COUNTIFS('2024年度AOエントリー'!$H:$H,"&lt;="&amp;日付設定!$B$2,'2024年度AOエントリー'!$A:$A,日付設定!$I$2,'2024年度AOエントリー'!$J:$J,日付設定!$J$2)</f>
        <v>9</v>
      </c>
      <c r="D14" s="16">
        <f>COUNTIFS('2024年度AOエントリー'!$H:$H,"&lt;="&amp;日付設定!$B$2,'2024年度AOエントリー'!$A:$A,日付設定!$I$2,'2024年度AOエントリー'!$J:$J,日付設定!$J$3)</f>
        <v>14</v>
      </c>
      <c r="E14" s="16">
        <f>COUNTIFS('2024年度AOエントリー'!$H:$H,"&lt;="&amp;日付設定!$B$2,'2024年度AOエントリー'!$A:$A,日付設定!$I$2,'2024年度AOエントリー'!$J:$J,日付設定!$J$4)</f>
        <v>116</v>
      </c>
      <c r="F14" s="16">
        <f>COUNTIFS('2024年度AOエントリー'!$H:$H,"&lt;="&amp;日付設定!$B$2,'2024年度AOエントリー'!$A:$A,日付設定!$I$2,'2024年度AOエントリー'!$J:$J,日付設定!$J$5)</f>
        <v>23</v>
      </c>
      <c r="G14" s="16">
        <f>COUNTIFS('2024年度AOエントリー'!$H:$H,"&lt;="&amp;日付設定!$B$2,'2024年度AOエントリー'!$A:$A,日付設定!$I$2,'2024年度AOエントリー'!$J:$J,日付設定!$J$6)</f>
        <v>9</v>
      </c>
      <c r="H14" s="16">
        <f>COUNTIFS('2024年度AOエントリー'!$H:$H,"&lt;="&amp;日付設定!$B$2,'2024年度AOエントリー'!$A:$A,日付設定!$I$2,'2024年度AOエントリー'!$J:$J,日付設定!$J$7)</f>
        <v>0</v>
      </c>
      <c r="I14" s="16">
        <f>COUNTIFS('2024年度AOエントリー'!$H:$H,"&lt;="&amp;日付設定!$B$2,'2024年度AOエントリー'!$A:$A,日付設定!$I$2,'2024年度AOエントリー'!$J:$J,日付設定!$J$7)</f>
        <v>0</v>
      </c>
      <c r="J14" s="16">
        <f>COUNTIFS('2024年度AOエントリー'!$H:$H,"&lt;="&amp;日付設定!$B$2,'2024年度AOエントリー'!$A:$A,日付設定!$I$2,'2024年度AOエントリー'!$J:$J,日付設定!$J$8)</f>
        <v>0</v>
      </c>
      <c r="K14" s="18">
        <f>COUNTIFS('2024年度AOエントリー'!$H:$H,"&lt;="&amp;日付設定!$B$2,'2024年度AOエントリー'!$A:$A,日付設定!$I$2,'2024年度AOエントリー'!$J:$J,日付設定!$J$9)</f>
        <v>0</v>
      </c>
      <c r="L14" s="18">
        <f t="shared" si="0"/>
        <v>171</v>
      </c>
    </row>
    <row r="15" spans="1:12" ht="18.600000000000001" thickBot="1" x14ac:dyDescent="0.5">
      <c r="A15" s="195"/>
      <c r="B15" s="19" t="s">
        <v>1335</v>
      </c>
      <c r="C15" s="20">
        <f>C13-C14</f>
        <v>18</v>
      </c>
      <c r="D15" s="20">
        <f t="shared" ref="D15:G15" si="1">D13-D14</f>
        <v>11</v>
      </c>
      <c r="E15" s="20">
        <f t="shared" si="1"/>
        <v>-20</v>
      </c>
      <c r="F15" s="20">
        <f t="shared" si="1"/>
        <v>8</v>
      </c>
      <c r="G15" s="20">
        <f t="shared" si="1"/>
        <v>0</v>
      </c>
      <c r="H15" s="20">
        <f>H13-H14</f>
        <v>0</v>
      </c>
      <c r="I15" s="20">
        <f>I13-I14</f>
        <v>0</v>
      </c>
      <c r="J15" s="20">
        <f>J13-J14</f>
        <v>0</v>
      </c>
      <c r="K15" s="27">
        <f>K13-K14</f>
        <v>0</v>
      </c>
      <c r="L15" s="27">
        <f t="shared" si="0"/>
        <v>17</v>
      </c>
    </row>
    <row r="16" spans="1:12" x14ac:dyDescent="0.45">
      <c r="A16" s="193" t="s">
        <v>1334</v>
      </c>
      <c r="B16" s="15" t="s">
        <v>1338</v>
      </c>
      <c r="C16" s="16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D16" s="16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E16" s="16">
        <f>COUNTIFS('2025年度AOエントリー'!$H:$H,"&lt;="&amp;日付設定!$B$1,'2025年度AOエントリー'!$A:$A,日付設定!$I$3,'2025年度AOエントリー'!$J:$J,日付設定!$J$4)
+COUNTIFS('2025年度AOエントリー'!$H:$H,"&lt;="&amp;日付設定!$B$1,'2025年度AOエントリー'!$A:$A,日付設定!$I$4,'2025年度AOエントリー'!$J:$J,日付設定!$J$4)</f>
        <v>78</v>
      </c>
      <c r="F16" s="16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G16" s="16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H16" s="16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I16" s="16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J16" s="16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K16" s="16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L16" s="16">
        <f t="shared" si="0"/>
        <v>212</v>
      </c>
    </row>
    <row r="17" spans="1:12" x14ac:dyDescent="0.45">
      <c r="A17" s="194"/>
      <c r="B17" s="17" t="s">
        <v>1339</v>
      </c>
      <c r="C17" s="18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D17" s="18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E17" s="18">
        <f>COUNTIFS('2024年度AOエントリー'!$H:$H,"&lt;="&amp;日付設定!$B$2,'2024年度AOエントリー'!$A:$A,日付設定!$I$3,'2024年度AOエントリー'!$J:$J,日付設定!$J$4)
+COUNTIFS('2024年度AOエントリー'!$H:$H,"&lt;="&amp;日付設定!$B$2,'2024年度AOエントリー'!$A:$A,日付設定!$I$4,'2024年度AOエントリー'!$J:$J,日付設定!$J$4)</f>
        <v>76</v>
      </c>
      <c r="F17" s="18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G17" s="18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H17" s="18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I17" s="18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J17" s="18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K17" s="18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L17" s="18">
        <f t="shared" si="0"/>
        <v>192</v>
      </c>
    </row>
    <row r="18" spans="1:12" ht="18.600000000000001" thickBot="1" x14ac:dyDescent="0.5">
      <c r="A18" s="195"/>
      <c r="B18" s="19" t="s">
        <v>1335</v>
      </c>
      <c r="C18" s="20">
        <f>C16-C17</f>
        <v>12</v>
      </c>
      <c r="D18" s="20">
        <f t="shared" ref="D18:H18" si="2">D16-D17</f>
        <v>11</v>
      </c>
      <c r="E18" s="20">
        <f t="shared" si="2"/>
        <v>2</v>
      </c>
      <c r="F18" s="20">
        <f t="shared" si="2"/>
        <v>0</v>
      </c>
      <c r="G18" s="20">
        <f t="shared" si="2"/>
        <v>1</v>
      </c>
      <c r="H18" s="20">
        <f t="shared" si="2"/>
        <v>2</v>
      </c>
      <c r="I18" s="20">
        <f>I16-I17</f>
        <v>-3</v>
      </c>
      <c r="J18" s="20">
        <f>J16-J17</f>
        <v>-7</v>
      </c>
      <c r="K18" s="20">
        <f>K16-K17</f>
        <v>2</v>
      </c>
      <c r="L18" s="27">
        <f t="shared" si="0"/>
        <v>20</v>
      </c>
    </row>
    <row r="21" spans="1:12" ht="18.600000000000001" thickBot="1" x14ac:dyDescent="0.5">
      <c r="A21" s="36" t="s">
        <v>1351</v>
      </c>
    </row>
    <row r="22" spans="1:12" ht="18.600000000000001" thickBot="1" x14ac:dyDescent="0.5">
      <c r="A22" s="21"/>
      <c r="B22" s="24"/>
      <c r="C22" s="22" t="s">
        <v>1298</v>
      </c>
      <c r="D22" s="23" t="s">
        <v>1299</v>
      </c>
      <c r="E22" s="22" t="s">
        <v>1348</v>
      </c>
      <c r="F22" s="23" t="s">
        <v>1349</v>
      </c>
      <c r="G22" s="22" t="s">
        <v>1350</v>
      </c>
      <c r="H22" s="25" t="s">
        <v>1333</v>
      </c>
    </row>
    <row r="23" spans="1:12" ht="18.600000000000001" thickTop="1" x14ac:dyDescent="0.45">
      <c r="A23" s="193" t="s">
        <v>1340</v>
      </c>
      <c r="B23" s="15" t="s">
        <v>1338</v>
      </c>
      <c r="C23" s="31">
        <f>COUNTIFS('2025年度AOエントリー'!$H:$H,"&gt;="&amp;"2024/6/1",'2025年度AOエントリー'!$H:$H,"&lt;="&amp;"2024/6/30",'2025年度AOエントリー'!$H:$H,"&lt;="&amp;日付設定!$B$1,'2025年度AOエントリー'!$A:$A,日付設定!$I$2)</f>
        <v>86</v>
      </c>
      <c r="D23" s="31">
        <f>COUNTIFS('2025年度AOエントリー'!$H:$H,"&gt;="&amp;"2024/7/1",'2025年度AOエントリー'!$H:$H,"&lt;="&amp;"2024/7/31",'2025年度AOエントリー'!$H:$H,"&lt;="&amp;日付設定!$B$1,'2025年度AOエントリー'!$A:$A,日付設定!$I$2)</f>
        <v>48</v>
      </c>
      <c r="E23" s="31">
        <f>COUNTIFS('2025年度AOエントリー'!$H:$H,"&gt;="&amp;"2024/8/1",'2025年度AOエントリー'!$H:$H,"&lt;="&amp;"2024/8/31",'2025年度AOエントリー'!$H:$H,"&lt;="&amp;日付設定!$B$1,'2025年度AOエントリー'!$A:$A,日付設定!$I$2)</f>
        <v>30</v>
      </c>
      <c r="F23" s="31">
        <f>COUNTIFS('2025年度AOエントリー'!$H:$H,"&gt;="&amp;"2024/9/1",'2025年度AOエントリー'!$H:$H,"&lt;="&amp;"2024/9/30",'2025年度AOエントリー'!$H:$H,"&lt;="&amp;日付設定!$B$1,'2025年度AOエントリー'!$A:$A,日付設定!$I$2)</f>
        <v>20</v>
      </c>
      <c r="G23" s="31">
        <f>COUNTIFS('2025年度AOエントリー'!$H:$H,"&gt;="&amp;"2024/10/1",'2025年度AOエントリー'!$H:$H,"&lt;="&amp;"2024/10/31",'2025年度AOエントリー'!$H:$H,"&lt;="&amp;日付設定!$B$1,'2025年度AOエントリー'!$A:$A,日付設定!$I$2)</f>
        <v>4</v>
      </c>
      <c r="H23" s="31">
        <f t="shared" ref="H23:H27" si="3">SUM(C23:G23)</f>
        <v>188</v>
      </c>
    </row>
    <row r="24" spans="1:12" x14ac:dyDescent="0.45">
      <c r="A24" s="194"/>
      <c r="B24" s="17" t="s">
        <v>1339</v>
      </c>
      <c r="C24" s="16">
        <f>COUNTIFS('2024年度AOエントリー'!$H:$H,"&gt;="&amp;"2023/6/1",'2024年度AOエントリー'!$H:$H,"&lt;="&amp;"2023/6/30",'2024年度AOエントリー'!$H:$H,"&lt;="&amp;日付設定!$B$2,'2024年度AOエントリー'!$A:$A,日付設定!$I$2)</f>
        <v>74</v>
      </c>
      <c r="D24" s="16">
        <f>COUNTIFS('2024年度AOエントリー'!$H:$H,"&gt;="&amp;"2023/7/1",'2024年度AOエントリー'!$H:$H,"&lt;="&amp;"2023/7/31",'2024年度AOエントリー'!$H:$H,"&lt;="&amp;日付設定!$B$2,'2024年度AOエントリー'!$A:$A,日付設定!$I$2)</f>
        <v>43</v>
      </c>
      <c r="E24" s="16">
        <f>COUNTIFS('2024年度AOエントリー'!$H:$H,"&gt;="&amp;"2023/8/1",'2024年度AOエントリー'!$H:$H,"&lt;="&amp;"2023/8/31",'2024年度AOエントリー'!$H:$H,"&lt;="&amp;日付設定!$B$2,'2024年度AOエントリー'!$A:$A,日付設定!$I$2)</f>
        <v>37</v>
      </c>
      <c r="F24" s="16">
        <f>COUNTIFS('2024年度AOエントリー'!$H:$H,"&gt;="&amp;"2023/9/1",'2024年度AOエントリー'!$H:$H,"&lt;="&amp;"2023/9/30",'2024年度AOエントリー'!$H:$H,"&lt;="&amp;日付設定!$B$2,'2024年度AOエントリー'!$A:$A,日付設定!$I$2)</f>
        <v>16</v>
      </c>
      <c r="G24" s="16">
        <f>COUNTIFS('2024年度AOエントリー'!$H:$H,"&gt;="&amp;"2023/10/1",'2024年度AOエントリー'!$H:$H,"&lt;="&amp;"2023/10/31",'2024年度AOエントリー'!$H:$H,"&lt;="&amp;日付設定!$B$2,'2024年度AOエントリー'!$A:$A,日付設定!$I$2)</f>
        <v>1</v>
      </c>
      <c r="H24" s="18">
        <f t="shared" si="3"/>
        <v>171</v>
      </c>
    </row>
    <row r="25" spans="1:12" ht="18.600000000000001" thickBot="1" x14ac:dyDescent="0.5">
      <c r="A25" s="195"/>
      <c r="B25" s="19" t="s">
        <v>1335</v>
      </c>
      <c r="C25" s="20">
        <f>C23-C24</f>
        <v>12</v>
      </c>
      <c r="D25" s="20">
        <f t="shared" ref="D25:G25" si="4">D23-D24</f>
        <v>5</v>
      </c>
      <c r="E25" s="20">
        <f t="shared" si="4"/>
        <v>-7</v>
      </c>
      <c r="F25" s="20">
        <f t="shared" si="4"/>
        <v>4</v>
      </c>
      <c r="G25" s="20">
        <f t="shared" si="4"/>
        <v>3</v>
      </c>
      <c r="H25" s="27">
        <f t="shared" si="3"/>
        <v>17</v>
      </c>
    </row>
    <row r="26" spans="1:12" x14ac:dyDescent="0.45">
      <c r="A26" s="193" t="s">
        <v>1334</v>
      </c>
      <c r="B26" s="15" t="s">
        <v>1338</v>
      </c>
      <c r="C26" s="16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6" s="16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E26" s="16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F26" s="16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G26" s="16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H26" s="35">
        <f t="shared" si="3"/>
        <v>212</v>
      </c>
    </row>
    <row r="27" spans="1:12" x14ac:dyDescent="0.45">
      <c r="A27" s="194"/>
      <c r="B27" s="17" t="s">
        <v>1339</v>
      </c>
      <c r="C27" s="18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7" s="18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E27" s="18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F27" s="18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G27" s="18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H27" s="18">
        <f t="shared" si="3"/>
        <v>192</v>
      </c>
    </row>
    <row r="28" spans="1:12" ht="18.600000000000001" thickBot="1" x14ac:dyDescent="0.5">
      <c r="A28" s="195"/>
      <c r="B28" s="19" t="s">
        <v>1335</v>
      </c>
      <c r="C28" s="20">
        <f>C26-C27</f>
        <v>16</v>
      </c>
      <c r="D28" s="20">
        <f>D26-D27</f>
        <v>10</v>
      </c>
      <c r="E28" s="20">
        <f t="shared" ref="E28:G28" si="5">E26-E27</f>
        <v>-6</v>
      </c>
      <c r="F28" s="20">
        <f t="shared" si="5"/>
        <v>1</v>
      </c>
      <c r="G28" s="20">
        <f t="shared" si="5"/>
        <v>-1</v>
      </c>
      <c r="H28" s="27">
        <f>SUM(C28:G28)</f>
        <v>20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75"/>
  <sheetViews>
    <sheetView workbookViewId="0">
      <selection activeCell="Q9" sqref="Q9"/>
    </sheetView>
  </sheetViews>
  <sheetFormatPr defaultColWidth="8.59765625" defaultRowHeight="18" x14ac:dyDescent="0.45"/>
  <cols>
    <col min="1" max="1" width="16.09765625" style="42" customWidth="1"/>
    <col min="2" max="12" width="8.59765625" style="14"/>
    <col min="13" max="13" width="12.09765625" style="4" customWidth="1"/>
    <col min="14" max="24" width="8.59765625" style="14"/>
    <col min="25" max="25" width="10.59765625" style="14" customWidth="1"/>
    <col min="26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1366</v>
      </c>
      <c r="C1" s="14" t="s">
        <v>1367</v>
      </c>
      <c r="D1" s="14" t="s">
        <v>1368</v>
      </c>
      <c r="E1" s="14" t="s">
        <v>1369</v>
      </c>
      <c r="F1" s="14" t="s">
        <v>17</v>
      </c>
      <c r="G1" s="14" t="s">
        <v>18</v>
      </c>
      <c r="H1" s="14" t="s">
        <v>1370</v>
      </c>
      <c r="I1" s="14" t="s">
        <v>19</v>
      </c>
      <c r="J1" s="14" t="s">
        <v>22</v>
      </c>
      <c r="K1" s="14" t="s">
        <v>1371</v>
      </c>
      <c r="L1" s="42" t="s">
        <v>1372</v>
      </c>
      <c r="M1" s="43" t="s">
        <v>1373</v>
      </c>
      <c r="N1" s="14" t="s">
        <v>1374</v>
      </c>
      <c r="O1" s="14" t="s">
        <v>1375</v>
      </c>
      <c r="P1" s="14" t="s">
        <v>1376</v>
      </c>
      <c r="Q1" s="14" t="s">
        <v>1377</v>
      </c>
      <c r="R1" s="14" t="s">
        <v>23</v>
      </c>
      <c r="S1" s="14" t="s">
        <v>8</v>
      </c>
      <c r="T1" s="14" t="s">
        <v>9</v>
      </c>
      <c r="U1" s="14" t="s">
        <v>1378</v>
      </c>
      <c r="V1" s="42" t="s">
        <v>1379</v>
      </c>
      <c r="W1" s="42" t="s">
        <v>1380</v>
      </c>
      <c r="X1" s="42" t="s">
        <v>1381</v>
      </c>
      <c r="Y1" s="44" t="s">
        <v>1382</v>
      </c>
      <c r="Z1" s="14" t="s">
        <v>15</v>
      </c>
      <c r="AA1" s="45" t="s">
        <v>1383</v>
      </c>
      <c r="AB1" s="14" t="s">
        <v>1384</v>
      </c>
      <c r="AC1" s="14" t="s">
        <v>1385</v>
      </c>
      <c r="AD1" s="14" t="s">
        <v>1386</v>
      </c>
      <c r="AE1" s="14" t="s">
        <v>1387</v>
      </c>
      <c r="AF1" s="14" t="s">
        <v>1388</v>
      </c>
      <c r="AG1" s="14" t="s">
        <v>1389</v>
      </c>
      <c r="AH1" s="14" t="s">
        <v>1390</v>
      </c>
      <c r="AI1" s="14" t="s">
        <v>1391</v>
      </c>
      <c r="AJ1" s="14" t="s">
        <v>1392</v>
      </c>
      <c r="AK1" s="14" t="s">
        <v>1393</v>
      </c>
      <c r="AL1" s="14" t="s">
        <v>10</v>
      </c>
      <c r="AM1" s="14" t="s">
        <v>1394</v>
      </c>
      <c r="AN1" s="14" t="s">
        <v>12</v>
      </c>
      <c r="AO1" s="14" t="s">
        <v>1395</v>
      </c>
      <c r="AP1" s="14" t="s">
        <v>11</v>
      </c>
      <c r="AQ1" s="14" t="s">
        <v>1396</v>
      </c>
      <c r="AR1" s="14" t="s">
        <v>1397</v>
      </c>
      <c r="AS1" s="14" t="s">
        <v>1398</v>
      </c>
      <c r="AT1" s="14" t="s">
        <v>1399</v>
      </c>
      <c r="AU1" s="14" t="s">
        <v>1400</v>
      </c>
    </row>
    <row r="2" spans="1:47" x14ac:dyDescent="0.45">
      <c r="A2" s="42">
        <v>2405750063</v>
      </c>
      <c r="B2" s="14">
        <v>57</v>
      </c>
      <c r="C2" s="14" t="s">
        <v>1551</v>
      </c>
      <c r="D2" s="14">
        <v>57</v>
      </c>
      <c r="E2" s="14" t="s">
        <v>1552</v>
      </c>
      <c r="F2" s="14" t="s">
        <v>289</v>
      </c>
      <c r="G2" s="14" t="s">
        <v>290</v>
      </c>
      <c r="H2" s="14">
        <v>1</v>
      </c>
      <c r="I2" s="14" t="s">
        <v>291</v>
      </c>
      <c r="J2" s="14" t="s">
        <v>1403</v>
      </c>
      <c r="K2" s="14">
        <v>2024</v>
      </c>
      <c r="L2" s="42">
        <v>2024</v>
      </c>
      <c r="M2" s="43">
        <v>45219</v>
      </c>
      <c r="N2" s="14" t="s">
        <v>36</v>
      </c>
      <c r="O2" s="14" t="s">
        <v>51</v>
      </c>
      <c r="P2" s="14">
        <v>428</v>
      </c>
      <c r="Q2" s="14" t="s">
        <v>1463</v>
      </c>
      <c r="R2" s="14">
        <v>1</v>
      </c>
      <c r="S2" s="14">
        <v>2</v>
      </c>
      <c r="T2" s="14" t="s">
        <v>1464</v>
      </c>
      <c r="U2" s="14">
        <v>1</v>
      </c>
      <c r="V2" s="42">
        <v>0</v>
      </c>
      <c r="W2" s="42">
        <v>0</v>
      </c>
      <c r="X2" s="42" t="s">
        <v>1406</v>
      </c>
      <c r="Y2" s="112">
        <v>45237</v>
      </c>
      <c r="Z2" s="14" t="s">
        <v>32</v>
      </c>
      <c r="AB2" s="14">
        <v>0</v>
      </c>
      <c r="AC2" s="14">
        <v>0</v>
      </c>
      <c r="AD2" s="14">
        <v>0</v>
      </c>
      <c r="AE2" s="14" t="s">
        <v>1446</v>
      </c>
      <c r="AG2" s="14" t="s">
        <v>1446</v>
      </c>
      <c r="AJ2" s="14">
        <v>0</v>
      </c>
      <c r="AK2" s="14" t="s">
        <v>1473</v>
      </c>
      <c r="AL2" s="14">
        <v>28137</v>
      </c>
      <c r="AM2" s="14" t="s">
        <v>1418</v>
      </c>
      <c r="AN2" s="14" t="s">
        <v>1609</v>
      </c>
      <c r="AO2" s="14">
        <v>28</v>
      </c>
      <c r="AP2" s="14" t="s">
        <v>1416</v>
      </c>
      <c r="AQ2" s="14">
        <v>0</v>
      </c>
      <c r="AR2" s="14" t="s">
        <v>1410</v>
      </c>
      <c r="AT2" s="14" t="s">
        <v>1417</v>
      </c>
      <c r="AU2" s="14" t="s">
        <v>1412</v>
      </c>
    </row>
    <row r="3" spans="1:47" x14ac:dyDescent="0.45">
      <c r="A3" s="42">
        <v>2405750049</v>
      </c>
      <c r="B3" s="14">
        <v>57</v>
      </c>
      <c r="C3" s="14" t="s">
        <v>1551</v>
      </c>
      <c r="D3" s="14">
        <v>57</v>
      </c>
      <c r="E3" s="14" t="s">
        <v>1552</v>
      </c>
      <c r="F3" s="14" t="s">
        <v>239</v>
      </c>
      <c r="G3" s="14" t="s">
        <v>240</v>
      </c>
      <c r="H3" s="14">
        <v>2</v>
      </c>
      <c r="I3" s="14" t="s">
        <v>241</v>
      </c>
      <c r="J3" s="14" t="s">
        <v>1403</v>
      </c>
      <c r="K3" s="14">
        <v>2024</v>
      </c>
      <c r="L3" s="42">
        <v>2024</v>
      </c>
      <c r="M3" s="43">
        <v>45180</v>
      </c>
      <c r="N3" s="14" t="s">
        <v>36</v>
      </c>
      <c r="O3" s="14">
        <v>58</v>
      </c>
      <c r="P3" s="14">
        <v>290</v>
      </c>
      <c r="Q3" s="14" t="s">
        <v>1496</v>
      </c>
      <c r="R3" s="14">
        <v>2</v>
      </c>
      <c r="S3" s="14">
        <v>2</v>
      </c>
      <c r="T3" s="14" t="s">
        <v>1464</v>
      </c>
      <c r="U3" s="14">
        <v>1</v>
      </c>
      <c r="V3" s="42">
        <v>0</v>
      </c>
      <c r="W3" s="42">
        <v>0</v>
      </c>
      <c r="X3" s="42" t="s">
        <v>1406</v>
      </c>
      <c r="Y3" s="112">
        <v>45243</v>
      </c>
      <c r="Z3" s="14" t="s">
        <v>32</v>
      </c>
      <c r="AB3" s="14">
        <v>0</v>
      </c>
      <c r="AC3" s="14">
        <v>0</v>
      </c>
      <c r="AD3" s="14">
        <v>0</v>
      </c>
      <c r="AE3" s="14" t="s">
        <v>1446</v>
      </c>
      <c r="AG3" s="14" t="s">
        <v>1446</v>
      </c>
      <c r="AJ3" s="14">
        <v>0</v>
      </c>
      <c r="AK3" s="14" t="s">
        <v>1473</v>
      </c>
      <c r="AL3" s="14">
        <v>28282</v>
      </c>
      <c r="AM3" s="14" t="s">
        <v>1414</v>
      </c>
      <c r="AN3" s="14" t="s">
        <v>1572</v>
      </c>
      <c r="AO3" s="14">
        <v>28</v>
      </c>
      <c r="AP3" s="14" t="s">
        <v>1416</v>
      </c>
      <c r="AQ3" s="14">
        <v>0</v>
      </c>
      <c r="AR3" s="14" t="s">
        <v>1410</v>
      </c>
      <c r="AT3" s="14" t="s">
        <v>1417</v>
      </c>
      <c r="AU3" s="14" t="s">
        <v>1412</v>
      </c>
    </row>
    <row r="4" spans="1:47" x14ac:dyDescent="0.45">
      <c r="A4" s="42">
        <v>2405750084</v>
      </c>
      <c r="B4" s="14">
        <v>57</v>
      </c>
      <c r="C4" s="14" t="s">
        <v>1551</v>
      </c>
      <c r="D4" s="14">
        <v>57</v>
      </c>
      <c r="E4" s="14" t="s">
        <v>1552</v>
      </c>
      <c r="F4" s="14" t="s">
        <v>368</v>
      </c>
      <c r="G4" s="14" t="s">
        <v>369</v>
      </c>
      <c r="H4" s="14">
        <v>2</v>
      </c>
      <c r="I4" s="14" t="s">
        <v>370</v>
      </c>
      <c r="J4" s="14" t="s">
        <v>1403</v>
      </c>
      <c r="K4" s="14">
        <v>2024</v>
      </c>
      <c r="L4" s="42">
        <v>2024</v>
      </c>
      <c r="M4" s="43">
        <v>45225</v>
      </c>
      <c r="N4" s="14" t="s">
        <v>36</v>
      </c>
      <c r="O4" s="14">
        <v>57</v>
      </c>
      <c r="P4" s="14">
        <v>646</v>
      </c>
      <c r="Q4" s="14" t="s">
        <v>1587</v>
      </c>
      <c r="R4" s="14">
        <v>2</v>
      </c>
      <c r="S4" s="14">
        <v>3</v>
      </c>
      <c r="T4" s="14" t="s">
        <v>1477</v>
      </c>
      <c r="U4" s="14">
        <v>4</v>
      </c>
      <c r="V4" s="42">
        <v>0</v>
      </c>
      <c r="W4" s="42">
        <v>0</v>
      </c>
      <c r="X4" s="42" t="s">
        <v>1406</v>
      </c>
      <c r="Y4" s="112">
        <v>45243</v>
      </c>
      <c r="Z4" s="14" t="s">
        <v>32</v>
      </c>
      <c r="AB4" s="14">
        <v>0</v>
      </c>
      <c r="AC4" s="14">
        <v>0</v>
      </c>
      <c r="AD4" s="14">
        <v>0</v>
      </c>
      <c r="AE4" s="14" t="s">
        <v>1446</v>
      </c>
      <c r="AG4" s="14" t="s">
        <v>1446</v>
      </c>
      <c r="AJ4" s="14">
        <v>0</v>
      </c>
      <c r="AK4" s="14" t="s">
        <v>1410</v>
      </c>
      <c r="AL4" s="14">
        <v>28282</v>
      </c>
      <c r="AM4" s="14" t="s">
        <v>1414</v>
      </c>
      <c r="AN4" s="14" t="s">
        <v>1572</v>
      </c>
      <c r="AO4" s="14">
        <v>28</v>
      </c>
      <c r="AP4" s="14" t="s">
        <v>1416</v>
      </c>
      <c r="AQ4" s="14">
        <v>0</v>
      </c>
      <c r="AR4" s="14" t="s">
        <v>1410</v>
      </c>
      <c r="AT4" s="14" t="s">
        <v>1417</v>
      </c>
      <c r="AU4" s="14" t="s">
        <v>1412</v>
      </c>
    </row>
    <row r="5" spans="1:47" x14ac:dyDescent="0.45">
      <c r="A5" s="42">
        <v>2405750123</v>
      </c>
      <c r="B5" s="14">
        <v>57</v>
      </c>
      <c r="C5" s="14" t="s">
        <v>1551</v>
      </c>
      <c r="D5" s="14">
        <v>57</v>
      </c>
      <c r="E5" s="14" t="s">
        <v>1552</v>
      </c>
      <c r="F5" s="14" t="s">
        <v>1139</v>
      </c>
      <c r="G5" s="14" t="s">
        <v>1140</v>
      </c>
      <c r="H5" s="14">
        <v>1</v>
      </c>
      <c r="I5" s="14" t="s">
        <v>1141</v>
      </c>
      <c r="J5" s="14" t="s">
        <v>1403</v>
      </c>
      <c r="K5" s="14">
        <v>2024</v>
      </c>
      <c r="L5" s="42">
        <v>2024</v>
      </c>
      <c r="M5" s="43">
        <v>45224</v>
      </c>
      <c r="N5" s="14" t="s">
        <v>36</v>
      </c>
      <c r="O5" s="14" t="s">
        <v>51</v>
      </c>
      <c r="P5" s="14">
        <v>968</v>
      </c>
      <c r="Q5" s="14" t="s">
        <v>1474</v>
      </c>
      <c r="R5" s="14">
        <v>1</v>
      </c>
      <c r="S5" s="14">
        <v>2</v>
      </c>
      <c r="T5" s="14" t="s">
        <v>1464</v>
      </c>
      <c r="U5" s="14">
        <v>1</v>
      </c>
      <c r="V5" s="42">
        <v>0</v>
      </c>
      <c r="W5" s="42">
        <v>0</v>
      </c>
      <c r="X5" s="42" t="s">
        <v>1406</v>
      </c>
      <c r="Y5" s="112">
        <v>45250</v>
      </c>
      <c r="Z5" s="14" t="s">
        <v>32</v>
      </c>
      <c r="AB5" s="14">
        <v>0</v>
      </c>
      <c r="AC5" s="14">
        <v>0</v>
      </c>
      <c r="AD5" s="14">
        <v>0</v>
      </c>
      <c r="AE5" s="14" t="s">
        <v>1446</v>
      </c>
      <c r="AG5" s="14" t="s">
        <v>1446</v>
      </c>
      <c r="AJ5" s="14">
        <v>0</v>
      </c>
      <c r="AK5" s="14" t="s">
        <v>1473</v>
      </c>
      <c r="AL5" s="14">
        <v>28145</v>
      </c>
      <c r="AM5" s="14" t="s">
        <v>1418</v>
      </c>
      <c r="AN5" s="14" t="s">
        <v>1627</v>
      </c>
      <c r="AO5" s="14">
        <v>28</v>
      </c>
      <c r="AP5" s="14" t="s">
        <v>1416</v>
      </c>
      <c r="AQ5" s="14">
        <v>0</v>
      </c>
      <c r="AR5" s="14" t="s">
        <v>1410</v>
      </c>
      <c r="AT5" s="14" t="s">
        <v>1417</v>
      </c>
      <c r="AU5" s="14" t="s">
        <v>1412</v>
      </c>
    </row>
    <row r="6" spans="1:47" x14ac:dyDescent="0.45">
      <c r="A6" s="42">
        <v>2405750104</v>
      </c>
      <c r="B6" s="14">
        <v>57</v>
      </c>
      <c r="C6" s="14" t="s">
        <v>1551</v>
      </c>
      <c r="D6" s="14">
        <v>57</v>
      </c>
      <c r="E6" s="14" t="s">
        <v>1552</v>
      </c>
      <c r="F6" s="14" t="s">
        <v>434</v>
      </c>
      <c r="G6" s="14" t="s">
        <v>435</v>
      </c>
      <c r="H6" s="14">
        <v>1</v>
      </c>
      <c r="I6" s="14" t="s">
        <v>436</v>
      </c>
      <c r="J6" s="14" t="s">
        <v>1403</v>
      </c>
      <c r="K6" s="14">
        <v>2024</v>
      </c>
      <c r="L6" s="42">
        <v>2024</v>
      </c>
      <c r="M6" s="43">
        <v>45201</v>
      </c>
      <c r="N6" s="14" t="s">
        <v>36</v>
      </c>
      <c r="O6" s="14" t="s">
        <v>51</v>
      </c>
      <c r="P6" s="14">
        <v>428</v>
      </c>
      <c r="Q6" s="14" t="s">
        <v>1463</v>
      </c>
      <c r="R6" s="14">
        <v>1</v>
      </c>
      <c r="S6" s="14">
        <v>2</v>
      </c>
      <c r="T6" s="14" t="s">
        <v>1464</v>
      </c>
      <c r="U6" s="14">
        <v>1</v>
      </c>
      <c r="V6" s="42">
        <v>0</v>
      </c>
      <c r="W6" s="42">
        <v>0</v>
      </c>
      <c r="X6" s="42" t="s">
        <v>1406</v>
      </c>
      <c r="Y6" s="112">
        <v>45252</v>
      </c>
      <c r="Z6" s="14" t="s">
        <v>32</v>
      </c>
      <c r="AB6" s="14">
        <v>0</v>
      </c>
      <c r="AC6" s="14">
        <v>0</v>
      </c>
      <c r="AD6" s="14">
        <v>0</v>
      </c>
      <c r="AE6" s="14" t="s">
        <v>1446</v>
      </c>
      <c r="AG6" s="14" t="s">
        <v>1446</v>
      </c>
      <c r="AJ6" s="14">
        <v>0</v>
      </c>
      <c r="AK6" s="14" t="s">
        <v>1473</v>
      </c>
      <c r="AL6" s="14">
        <v>28224</v>
      </c>
      <c r="AM6" s="14" t="s">
        <v>1414</v>
      </c>
      <c r="AN6" s="14" t="s">
        <v>1621</v>
      </c>
      <c r="AO6" s="14">
        <v>28</v>
      </c>
      <c r="AP6" s="14" t="s">
        <v>1416</v>
      </c>
      <c r="AQ6" s="14">
        <v>0</v>
      </c>
      <c r="AR6" s="14" t="s">
        <v>1410</v>
      </c>
      <c r="AT6" s="14" t="s">
        <v>1417</v>
      </c>
      <c r="AU6" s="14" t="s">
        <v>1412</v>
      </c>
    </row>
    <row r="7" spans="1:47" x14ac:dyDescent="0.45">
      <c r="A7" s="42">
        <v>2405750112</v>
      </c>
      <c r="B7" s="14">
        <v>57</v>
      </c>
      <c r="C7" s="14" t="s">
        <v>1551</v>
      </c>
      <c r="D7" s="14">
        <v>57</v>
      </c>
      <c r="E7" s="14" t="s">
        <v>1552</v>
      </c>
      <c r="F7" s="14" t="s">
        <v>462</v>
      </c>
      <c r="G7" s="14" t="s">
        <v>463</v>
      </c>
      <c r="H7" s="14">
        <v>1</v>
      </c>
      <c r="I7" s="14" t="s">
        <v>464</v>
      </c>
      <c r="J7" s="14" t="s">
        <v>1403</v>
      </c>
      <c r="K7" s="14">
        <v>2024</v>
      </c>
      <c r="L7" s="42">
        <v>2024</v>
      </c>
      <c r="M7" s="43">
        <v>45230</v>
      </c>
      <c r="N7" s="14" t="s">
        <v>36</v>
      </c>
      <c r="O7" s="14" t="s">
        <v>51</v>
      </c>
      <c r="P7" s="14">
        <v>428</v>
      </c>
      <c r="Q7" s="14" t="s">
        <v>1463</v>
      </c>
      <c r="R7" s="14">
        <v>1</v>
      </c>
      <c r="S7" s="14">
        <v>2</v>
      </c>
      <c r="T7" s="14" t="s">
        <v>1464</v>
      </c>
      <c r="U7" s="14">
        <v>1</v>
      </c>
      <c r="V7" s="42">
        <v>0</v>
      </c>
      <c r="W7" s="42">
        <v>0</v>
      </c>
      <c r="X7" s="42" t="s">
        <v>1406</v>
      </c>
      <c r="Y7" s="112">
        <v>45252</v>
      </c>
      <c r="Z7" s="14" t="s">
        <v>32</v>
      </c>
      <c r="AB7" s="14">
        <v>0</v>
      </c>
      <c r="AC7" s="14">
        <v>0</v>
      </c>
      <c r="AD7" s="14">
        <v>0</v>
      </c>
      <c r="AE7" s="14" t="s">
        <v>1446</v>
      </c>
      <c r="AG7" s="14" t="s">
        <v>1446</v>
      </c>
      <c r="AJ7" s="14">
        <v>0</v>
      </c>
      <c r="AK7" s="14" t="s">
        <v>1473</v>
      </c>
      <c r="AL7" s="14">
        <v>28150</v>
      </c>
      <c r="AM7" s="14" t="s">
        <v>1418</v>
      </c>
      <c r="AN7" s="14" t="s">
        <v>1620</v>
      </c>
      <c r="AO7" s="14">
        <v>28</v>
      </c>
      <c r="AP7" s="14" t="s">
        <v>1416</v>
      </c>
      <c r="AQ7" s="14">
        <v>0</v>
      </c>
      <c r="AR7" s="14" t="s">
        <v>1410</v>
      </c>
      <c r="AT7" s="14" t="s">
        <v>1417</v>
      </c>
      <c r="AU7" s="14" t="s">
        <v>1412</v>
      </c>
    </row>
    <row r="8" spans="1:47" x14ac:dyDescent="0.45">
      <c r="A8" s="42">
        <v>2405750050</v>
      </c>
      <c r="B8" s="14">
        <v>57</v>
      </c>
      <c r="C8" s="14" t="s">
        <v>1551</v>
      </c>
      <c r="D8" s="14">
        <v>57</v>
      </c>
      <c r="E8" s="14" t="s">
        <v>1552</v>
      </c>
      <c r="F8" s="14" t="s">
        <v>243</v>
      </c>
      <c r="G8" s="14" t="s">
        <v>244</v>
      </c>
      <c r="H8" s="14">
        <v>2</v>
      </c>
      <c r="I8" s="14" t="s">
        <v>245</v>
      </c>
      <c r="J8" s="14" t="s">
        <v>1403</v>
      </c>
      <c r="K8" s="14">
        <v>2024</v>
      </c>
      <c r="L8" s="42">
        <v>2024</v>
      </c>
      <c r="M8" s="43">
        <v>45173</v>
      </c>
      <c r="N8" s="14" t="s">
        <v>36</v>
      </c>
      <c r="O8" s="14">
        <v>58</v>
      </c>
      <c r="P8" s="14">
        <v>427</v>
      </c>
      <c r="Q8" s="14" t="s">
        <v>1479</v>
      </c>
      <c r="R8" s="14">
        <v>2</v>
      </c>
      <c r="S8" s="14">
        <v>2</v>
      </c>
      <c r="T8" s="14" t="s">
        <v>1464</v>
      </c>
      <c r="U8" s="14">
        <v>1</v>
      </c>
      <c r="V8" s="42">
        <v>0</v>
      </c>
      <c r="W8" s="42">
        <v>0</v>
      </c>
      <c r="X8" s="42" t="s">
        <v>1406</v>
      </c>
      <c r="Y8" s="112">
        <v>45300</v>
      </c>
      <c r="Z8" s="14" t="s">
        <v>32</v>
      </c>
      <c r="AB8" s="14">
        <v>0</v>
      </c>
      <c r="AC8" s="14">
        <v>0</v>
      </c>
      <c r="AD8" s="14">
        <v>0</v>
      </c>
      <c r="AE8" s="14" t="s">
        <v>1446</v>
      </c>
      <c r="AG8" s="14" t="s">
        <v>1446</v>
      </c>
      <c r="AJ8" s="14">
        <v>0</v>
      </c>
      <c r="AK8" s="14" t="s">
        <v>1473</v>
      </c>
      <c r="AL8" s="14">
        <v>28137</v>
      </c>
      <c r="AM8" s="14" t="s">
        <v>1418</v>
      </c>
      <c r="AN8" s="14" t="s">
        <v>1609</v>
      </c>
      <c r="AO8" s="14">
        <v>28</v>
      </c>
      <c r="AP8" s="14" t="s">
        <v>1416</v>
      </c>
      <c r="AQ8" s="14">
        <v>0</v>
      </c>
      <c r="AR8" s="14" t="s">
        <v>1410</v>
      </c>
      <c r="AT8" s="14" t="s">
        <v>1417</v>
      </c>
      <c r="AU8" s="14" t="s">
        <v>1412</v>
      </c>
    </row>
    <row r="9" spans="1:47" x14ac:dyDescent="0.45">
      <c r="A9" s="42">
        <v>2405750121</v>
      </c>
      <c r="B9" s="14">
        <v>57</v>
      </c>
      <c r="C9" s="14" t="s">
        <v>1551</v>
      </c>
      <c r="D9" s="14">
        <v>57</v>
      </c>
      <c r="E9" s="14" t="s">
        <v>1552</v>
      </c>
      <c r="F9" s="14" t="s">
        <v>1132</v>
      </c>
      <c r="G9" s="14" t="s">
        <v>1133</v>
      </c>
      <c r="H9" s="14">
        <v>2</v>
      </c>
      <c r="I9" s="14" t="s">
        <v>1134</v>
      </c>
      <c r="J9" s="14" t="s">
        <v>1403</v>
      </c>
      <c r="K9" s="14">
        <v>2024</v>
      </c>
      <c r="L9" s="42">
        <v>2024</v>
      </c>
      <c r="M9" s="43">
        <v>45201</v>
      </c>
      <c r="N9" s="14" t="s">
        <v>36</v>
      </c>
      <c r="O9" s="14" t="s">
        <v>51</v>
      </c>
      <c r="P9" s="14">
        <v>427</v>
      </c>
      <c r="Q9" s="14" t="s">
        <v>1479</v>
      </c>
      <c r="R9" s="14">
        <v>1</v>
      </c>
      <c r="S9" s="14">
        <v>2</v>
      </c>
      <c r="T9" s="14" t="s">
        <v>1464</v>
      </c>
      <c r="U9" s="14">
        <v>1</v>
      </c>
      <c r="V9" s="42">
        <v>0</v>
      </c>
      <c r="W9" s="42">
        <v>0</v>
      </c>
      <c r="X9" s="42" t="s">
        <v>1406</v>
      </c>
      <c r="Y9" s="112">
        <v>45300</v>
      </c>
      <c r="Z9" s="14" t="s">
        <v>32</v>
      </c>
      <c r="AB9" s="14">
        <v>0</v>
      </c>
      <c r="AC9" s="14">
        <v>0</v>
      </c>
      <c r="AD9" s="14">
        <v>0</v>
      </c>
      <c r="AE9" s="14" t="s">
        <v>1446</v>
      </c>
      <c r="AG9" s="14" t="s">
        <v>1446</v>
      </c>
      <c r="AJ9" s="14">
        <v>0</v>
      </c>
      <c r="AK9" s="14" t="s">
        <v>1473</v>
      </c>
      <c r="AL9" s="14">
        <v>28009</v>
      </c>
      <c r="AM9" s="14" t="s">
        <v>1418</v>
      </c>
      <c r="AN9" s="14" t="s">
        <v>1607</v>
      </c>
      <c r="AO9" s="14">
        <v>28</v>
      </c>
      <c r="AP9" s="14" t="s">
        <v>1416</v>
      </c>
      <c r="AQ9" s="14">
        <v>0</v>
      </c>
      <c r="AR9" s="14" t="s">
        <v>1410</v>
      </c>
      <c r="AT9" s="14" t="s">
        <v>1417</v>
      </c>
      <c r="AU9" s="14" t="s">
        <v>1412</v>
      </c>
    </row>
    <row r="10" spans="1:47" x14ac:dyDescent="0.45">
      <c r="A10" s="42">
        <v>2405750144</v>
      </c>
      <c r="B10" s="14">
        <v>57</v>
      </c>
      <c r="C10" s="14" t="s">
        <v>1551</v>
      </c>
      <c r="D10" s="14">
        <v>57</v>
      </c>
      <c r="E10" s="14" t="s">
        <v>1552</v>
      </c>
      <c r="F10" s="14" t="s">
        <v>1206</v>
      </c>
      <c r="G10" s="14" t="s">
        <v>1207</v>
      </c>
      <c r="H10" s="14">
        <v>2</v>
      </c>
      <c r="I10" s="14" t="s">
        <v>1208</v>
      </c>
      <c r="J10" s="14" t="s">
        <v>1403</v>
      </c>
      <c r="K10" s="14">
        <v>2024</v>
      </c>
      <c r="L10" s="42">
        <v>2024</v>
      </c>
      <c r="M10" s="43">
        <v>45201</v>
      </c>
      <c r="N10" s="14" t="s">
        <v>36</v>
      </c>
      <c r="O10" s="14" t="s">
        <v>51</v>
      </c>
      <c r="P10" s="14">
        <v>427</v>
      </c>
      <c r="Q10" s="14" t="s">
        <v>1479</v>
      </c>
      <c r="R10" s="14">
        <v>1</v>
      </c>
      <c r="S10" s="14">
        <v>2</v>
      </c>
      <c r="T10" s="14" t="s">
        <v>1464</v>
      </c>
      <c r="U10" s="14">
        <v>1</v>
      </c>
      <c r="V10" s="42">
        <v>0</v>
      </c>
      <c r="W10" s="42">
        <v>0</v>
      </c>
      <c r="X10" s="42" t="s">
        <v>1406</v>
      </c>
      <c r="Y10" s="112">
        <v>45300</v>
      </c>
      <c r="Z10" s="14" t="s">
        <v>32</v>
      </c>
      <c r="AB10" s="14">
        <v>0</v>
      </c>
      <c r="AC10" s="14">
        <v>0</v>
      </c>
      <c r="AD10" s="14">
        <v>0</v>
      </c>
      <c r="AE10" s="14" t="s">
        <v>1446</v>
      </c>
      <c r="AG10" s="14" t="s">
        <v>1446</v>
      </c>
      <c r="AJ10" s="14">
        <v>0</v>
      </c>
      <c r="AK10" s="14" t="s">
        <v>1473</v>
      </c>
      <c r="AL10" s="14">
        <v>28002</v>
      </c>
      <c r="AM10" s="14" t="s">
        <v>1418</v>
      </c>
      <c r="AN10" s="14" t="s">
        <v>1628</v>
      </c>
      <c r="AO10" s="14">
        <v>28</v>
      </c>
      <c r="AP10" s="14" t="s">
        <v>1416</v>
      </c>
      <c r="AQ10" s="14">
        <v>0</v>
      </c>
      <c r="AR10" s="14" t="s">
        <v>1410</v>
      </c>
      <c r="AT10" s="14" t="s">
        <v>1417</v>
      </c>
      <c r="AU10" s="14" t="s">
        <v>1412</v>
      </c>
    </row>
    <row r="11" spans="1:47" x14ac:dyDescent="0.45">
      <c r="A11" s="42">
        <v>2405750136</v>
      </c>
      <c r="B11" s="14">
        <v>57</v>
      </c>
      <c r="C11" s="14" t="s">
        <v>1551</v>
      </c>
      <c r="D11" s="14">
        <v>57</v>
      </c>
      <c r="E11" s="14" t="s">
        <v>1552</v>
      </c>
      <c r="F11" s="14" t="s">
        <v>1180</v>
      </c>
      <c r="G11" s="14" t="s">
        <v>1181</v>
      </c>
      <c r="H11" s="14">
        <v>1</v>
      </c>
      <c r="I11" s="14" t="s">
        <v>322</v>
      </c>
      <c r="J11" s="14" t="s">
        <v>1403</v>
      </c>
      <c r="K11" s="14">
        <v>2024</v>
      </c>
      <c r="L11" s="42">
        <v>2024</v>
      </c>
      <c r="M11" s="43">
        <v>45180</v>
      </c>
      <c r="N11" s="14" t="s">
        <v>36</v>
      </c>
      <c r="O11" s="14">
        <v>58</v>
      </c>
      <c r="P11" s="14">
        <v>427</v>
      </c>
      <c r="Q11" s="14" t="s">
        <v>1479</v>
      </c>
      <c r="R11" s="14">
        <v>2</v>
      </c>
      <c r="S11" s="14">
        <v>2</v>
      </c>
      <c r="T11" s="14" t="s">
        <v>1464</v>
      </c>
      <c r="U11" s="14">
        <v>1</v>
      </c>
      <c r="V11" s="42">
        <v>0</v>
      </c>
      <c r="W11" s="42">
        <v>0</v>
      </c>
      <c r="X11" s="42" t="s">
        <v>1406</v>
      </c>
      <c r="Y11" s="112">
        <v>45308</v>
      </c>
      <c r="Z11" s="14" t="s">
        <v>32</v>
      </c>
      <c r="AB11" s="14">
        <v>0</v>
      </c>
      <c r="AC11" s="14">
        <v>0</v>
      </c>
      <c r="AD11" s="14">
        <v>0</v>
      </c>
      <c r="AE11" s="14" t="s">
        <v>1446</v>
      </c>
      <c r="AG11" s="14" t="s">
        <v>1446</v>
      </c>
      <c r="AJ11" s="14">
        <v>0</v>
      </c>
      <c r="AK11" s="14" t="s">
        <v>1473</v>
      </c>
      <c r="AL11" s="14">
        <v>28185</v>
      </c>
      <c r="AM11" s="14" t="s">
        <v>1418</v>
      </c>
      <c r="AN11" s="14" t="s">
        <v>1438</v>
      </c>
      <c r="AO11" s="14">
        <v>28</v>
      </c>
      <c r="AP11" s="14" t="s">
        <v>1416</v>
      </c>
      <c r="AQ11" s="14">
        <v>0</v>
      </c>
      <c r="AR11" s="14" t="s">
        <v>1410</v>
      </c>
      <c r="AT11" s="14" t="s">
        <v>1417</v>
      </c>
      <c r="AU11" s="14" t="s">
        <v>1412</v>
      </c>
    </row>
    <row r="12" spans="1:47" x14ac:dyDescent="0.45">
      <c r="A12" s="42">
        <v>2405750070</v>
      </c>
      <c r="B12" s="14">
        <v>57</v>
      </c>
      <c r="C12" s="14" t="s">
        <v>1551</v>
      </c>
      <c r="D12" s="14">
        <v>57</v>
      </c>
      <c r="E12" s="14" t="s">
        <v>1552</v>
      </c>
      <c r="F12" s="14" t="s">
        <v>317</v>
      </c>
      <c r="G12" s="14" t="s">
        <v>318</v>
      </c>
      <c r="H12" s="14">
        <v>2</v>
      </c>
      <c r="I12" s="14" t="s">
        <v>319</v>
      </c>
      <c r="J12" s="14" t="s">
        <v>1403</v>
      </c>
      <c r="K12" s="14">
        <v>2024</v>
      </c>
      <c r="L12" s="42">
        <v>2024</v>
      </c>
      <c r="M12" s="43">
        <v>45173</v>
      </c>
      <c r="N12" s="14" t="s">
        <v>36</v>
      </c>
      <c r="O12" s="14" t="s">
        <v>51</v>
      </c>
      <c r="P12" s="14">
        <v>427</v>
      </c>
      <c r="Q12" s="14" t="s">
        <v>1479</v>
      </c>
      <c r="R12" s="14">
        <v>1</v>
      </c>
      <c r="S12" s="14">
        <v>2</v>
      </c>
      <c r="T12" s="14" t="s">
        <v>1464</v>
      </c>
      <c r="U12" s="14">
        <v>1</v>
      </c>
      <c r="V12" s="42">
        <v>0</v>
      </c>
      <c r="W12" s="42">
        <v>0</v>
      </c>
      <c r="X12" s="42" t="s">
        <v>1406</v>
      </c>
      <c r="Y12" s="112">
        <v>45316</v>
      </c>
      <c r="Z12" s="14" t="s">
        <v>32</v>
      </c>
      <c r="AB12" s="14">
        <v>0</v>
      </c>
      <c r="AC12" s="14">
        <v>0</v>
      </c>
      <c r="AD12" s="14">
        <v>0</v>
      </c>
      <c r="AE12" s="14" t="s">
        <v>1446</v>
      </c>
      <c r="AG12" s="14" t="s">
        <v>1446</v>
      </c>
      <c r="AJ12" s="14">
        <v>0</v>
      </c>
      <c r="AK12" s="14" t="s">
        <v>1473</v>
      </c>
      <c r="AL12" s="14">
        <v>28246</v>
      </c>
      <c r="AM12" s="14" t="s">
        <v>1418</v>
      </c>
      <c r="AN12" s="14" t="s">
        <v>1567</v>
      </c>
      <c r="AO12" s="14">
        <v>28</v>
      </c>
      <c r="AP12" s="14" t="s">
        <v>1416</v>
      </c>
      <c r="AQ12" s="14">
        <v>0</v>
      </c>
      <c r="AR12" s="14" t="s">
        <v>1410</v>
      </c>
      <c r="AT12" s="14" t="s">
        <v>1417</v>
      </c>
      <c r="AU12" s="14" t="s">
        <v>1412</v>
      </c>
    </row>
    <row r="13" spans="1:47" x14ac:dyDescent="0.45">
      <c r="A13" s="42">
        <v>2405750077</v>
      </c>
      <c r="B13" s="14">
        <v>57</v>
      </c>
      <c r="C13" s="14" t="s">
        <v>1551</v>
      </c>
      <c r="D13" s="14">
        <v>57</v>
      </c>
      <c r="E13" s="14" t="s">
        <v>1552</v>
      </c>
      <c r="F13" s="14" t="s">
        <v>342</v>
      </c>
      <c r="G13" s="14" t="s">
        <v>343</v>
      </c>
      <c r="H13" s="14">
        <v>1</v>
      </c>
      <c r="I13" s="14" t="s">
        <v>344</v>
      </c>
      <c r="J13" s="14" t="s">
        <v>1403</v>
      </c>
      <c r="K13" s="14">
        <v>2024</v>
      </c>
      <c r="L13" s="42">
        <v>2024</v>
      </c>
      <c r="M13" s="43">
        <v>45194</v>
      </c>
      <c r="N13" s="14" t="s">
        <v>36</v>
      </c>
      <c r="O13" s="14" t="s">
        <v>51</v>
      </c>
      <c r="P13" s="14">
        <v>427</v>
      </c>
      <c r="Q13" s="14" t="s">
        <v>1479</v>
      </c>
      <c r="R13" s="14">
        <v>1</v>
      </c>
      <c r="S13" s="14">
        <v>2</v>
      </c>
      <c r="T13" s="14" t="s">
        <v>1464</v>
      </c>
      <c r="U13" s="14">
        <v>1</v>
      </c>
      <c r="V13" s="42">
        <v>0</v>
      </c>
      <c r="W13" s="42">
        <v>0</v>
      </c>
      <c r="X13" s="42" t="s">
        <v>1406</v>
      </c>
      <c r="Y13" s="112">
        <v>45316</v>
      </c>
      <c r="Z13" s="14" t="s">
        <v>32</v>
      </c>
      <c r="AB13" s="14">
        <v>0</v>
      </c>
      <c r="AC13" s="14">
        <v>0</v>
      </c>
      <c r="AD13" s="14">
        <v>0</v>
      </c>
      <c r="AE13" s="14" t="s">
        <v>1446</v>
      </c>
      <c r="AG13" s="14" t="s">
        <v>1446</v>
      </c>
      <c r="AJ13" s="14">
        <v>0</v>
      </c>
      <c r="AK13" s="14" t="s">
        <v>1473</v>
      </c>
      <c r="AL13" s="14">
        <v>28008</v>
      </c>
      <c r="AM13" s="14" t="s">
        <v>1418</v>
      </c>
      <c r="AN13" s="14" t="s">
        <v>1613</v>
      </c>
      <c r="AO13" s="14">
        <v>28</v>
      </c>
      <c r="AP13" s="14" t="s">
        <v>1416</v>
      </c>
      <c r="AQ13" s="14">
        <v>0</v>
      </c>
      <c r="AR13" s="14" t="s">
        <v>1410</v>
      </c>
      <c r="AT13" s="14" t="s">
        <v>1417</v>
      </c>
      <c r="AU13" s="14" t="s">
        <v>1412</v>
      </c>
    </row>
    <row r="14" spans="1:47" x14ac:dyDescent="0.45">
      <c r="A14" s="42">
        <v>2405750113</v>
      </c>
      <c r="B14" s="14">
        <v>57</v>
      </c>
      <c r="C14" s="14" t="s">
        <v>1551</v>
      </c>
      <c r="D14" s="14">
        <v>57</v>
      </c>
      <c r="E14" s="14" t="s">
        <v>1552</v>
      </c>
      <c r="F14" s="14" t="s">
        <v>465</v>
      </c>
      <c r="G14" s="14" t="s">
        <v>466</v>
      </c>
      <c r="H14" s="14">
        <v>1</v>
      </c>
      <c r="I14" s="14" t="s">
        <v>467</v>
      </c>
      <c r="J14" s="14" t="s">
        <v>1403</v>
      </c>
      <c r="K14" s="14">
        <v>2024</v>
      </c>
      <c r="L14" s="42">
        <v>2024</v>
      </c>
      <c r="M14" s="43">
        <v>45217</v>
      </c>
      <c r="N14" s="14" t="s">
        <v>36</v>
      </c>
      <c r="O14" s="14" t="s">
        <v>51</v>
      </c>
      <c r="P14" s="14">
        <v>428</v>
      </c>
      <c r="Q14" s="14" t="s">
        <v>1463</v>
      </c>
      <c r="R14" s="14">
        <v>1</v>
      </c>
      <c r="S14" s="14">
        <v>2</v>
      </c>
      <c r="T14" s="14" t="s">
        <v>1464</v>
      </c>
      <c r="U14" s="14">
        <v>1</v>
      </c>
      <c r="V14" s="42">
        <v>0</v>
      </c>
      <c r="W14" s="42">
        <v>0</v>
      </c>
      <c r="X14" s="42" t="s">
        <v>1406</v>
      </c>
      <c r="Y14" s="112">
        <v>45352</v>
      </c>
      <c r="Z14" s="14" t="s">
        <v>32</v>
      </c>
      <c r="AB14" s="14">
        <v>0</v>
      </c>
      <c r="AC14" s="14">
        <v>0</v>
      </c>
      <c r="AD14" s="14">
        <v>0</v>
      </c>
      <c r="AE14" s="14" t="s">
        <v>1446</v>
      </c>
      <c r="AG14" s="14" t="s">
        <v>1446</v>
      </c>
      <c r="AJ14" s="14">
        <v>0</v>
      </c>
      <c r="AK14" s="14" t="s">
        <v>1473</v>
      </c>
      <c r="AL14" s="14">
        <v>28210</v>
      </c>
      <c r="AM14" s="14" t="s">
        <v>1418</v>
      </c>
      <c r="AN14" s="14" t="s">
        <v>1617</v>
      </c>
      <c r="AO14" s="14">
        <v>28</v>
      </c>
      <c r="AP14" s="14" t="s">
        <v>1416</v>
      </c>
      <c r="AQ14" s="14">
        <v>0</v>
      </c>
      <c r="AR14" s="14" t="s">
        <v>1410</v>
      </c>
      <c r="AT14" s="14" t="s">
        <v>1417</v>
      </c>
      <c r="AU14" s="14" t="s">
        <v>1412</v>
      </c>
    </row>
    <row r="15" spans="1:47" x14ac:dyDescent="0.45">
      <c r="A15" s="42">
        <v>2405750083</v>
      </c>
      <c r="B15" s="14">
        <v>57</v>
      </c>
      <c r="C15" s="14" t="s">
        <v>1551</v>
      </c>
      <c r="D15" s="14">
        <v>57</v>
      </c>
      <c r="E15" s="14" t="s">
        <v>1552</v>
      </c>
      <c r="F15" s="14" t="s">
        <v>365</v>
      </c>
      <c r="G15" s="14" t="s">
        <v>366</v>
      </c>
      <c r="H15" s="14">
        <v>1</v>
      </c>
      <c r="I15" s="14" t="s">
        <v>367</v>
      </c>
      <c r="J15" s="14" t="s">
        <v>1403</v>
      </c>
      <c r="K15" s="14">
        <v>2024</v>
      </c>
      <c r="L15" s="42">
        <v>2024</v>
      </c>
      <c r="M15" s="43">
        <v>45229</v>
      </c>
      <c r="N15" s="14" t="s">
        <v>36</v>
      </c>
      <c r="O15" s="14">
        <v>6</v>
      </c>
      <c r="P15" s="14">
        <v>448</v>
      </c>
      <c r="Q15" s="14" t="s">
        <v>1557</v>
      </c>
      <c r="R15" s="14">
        <v>2</v>
      </c>
      <c r="S15" s="14">
        <v>1</v>
      </c>
      <c r="T15" s="14" t="s">
        <v>1527</v>
      </c>
      <c r="U15" s="14">
        <v>3</v>
      </c>
      <c r="V15" s="42">
        <v>0</v>
      </c>
      <c r="W15" s="42">
        <v>0</v>
      </c>
      <c r="X15" s="42" t="s">
        <v>1406</v>
      </c>
      <c r="Y15" s="112">
        <v>45359</v>
      </c>
      <c r="Z15" s="14" t="s">
        <v>32</v>
      </c>
      <c r="AB15" s="14">
        <v>0</v>
      </c>
      <c r="AC15" s="14">
        <v>0</v>
      </c>
      <c r="AD15" s="14">
        <v>0</v>
      </c>
      <c r="AE15" s="14" t="s">
        <v>1446</v>
      </c>
      <c r="AG15" s="14" t="s">
        <v>1446</v>
      </c>
      <c r="AJ15" s="14">
        <v>0</v>
      </c>
      <c r="AK15" s="14" t="s">
        <v>1407</v>
      </c>
      <c r="AL15" s="14">
        <v>28282</v>
      </c>
      <c r="AM15" s="14" t="s">
        <v>1414</v>
      </c>
      <c r="AN15" s="14" t="s">
        <v>1572</v>
      </c>
      <c r="AO15" s="14">
        <v>28</v>
      </c>
      <c r="AP15" s="14" t="s">
        <v>1416</v>
      </c>
      <c r="AQ15" s="14">
        <v>0</v>
      </c>
      <c r="AR15" s="14" t="s">
        <v>1410</v>
      </c>
      <c r="AT15" s="14" t="s">
        <v>1417</v>
      </c>
      <c r="AU15" s="14" t="s">
        <v>1412</v>
      </c>
    </row>
    <row r="16" spans="1:47" x14ac:dyDescent="0.45">
      <c r="A16" s="42">
        <v>2413050037</v>
      </c>
      <c r="B16" s="14">
        <v>130</v>
      </c>
      <c r="C16" s="14" t="s">
        <v>1401</v>
      </c>
      <c r="D16" s="14">
        <v>130</v>
      </c>
      <c r="E16" s="14" t="s">
        <v>1402</v>
      </c>
      <c r="F16" s="14" t="s">
        <v>609</v>
      </c>
      <c r="G16" s="14" t="s">
        <v>610</v>
      </c>
      <c r="H16" s="14">
        <v>2</v>
      </c>
      <c r="I16" s="14" t="s">
        <v>611</v>
      </c>
      <c r="J16" s="14" t="s">
        <v>1403</v>
      </c>
      <c r="K16" s="14">
        <v>2024</v>
      </c>
      <c r="L16" s="42">
        <v>2024</v>
      </c>
      <c r="M16" s="43">
        <v>45180</v>
      </c>
      <c r="N16" s="14" t="s">
        <v>36</v>
      </c>
      <c r="O16" s="14" t="s">
        <v>472</v>
      </c>
      <c r="P16" s="14">
        <v>1043</v>
      </c>
      <c r="Q16" s="14" t="s">
        <v>1404</v>
      </c>
      <c r="R16" s="14">
        <v>2</v>
      </c>
      <c r="S16" s="14">
        <v>6</v>
      </c>
      <c r="T16" s="14" t="s">
        <v>1405</v>
      </c>
      <c r="U16" s="14">
        <v>5</v>
      </c>
      <c r="V16" s="42">
        <v>2422050</v>
      </c>
      <c r="W16" s="42">
        <v>0</v>
      </c>
      <c r="X16" s="42" t="s">
        <v>1406</v>
      </c>
      <c r="Z16" s="14" t="s">
        <v>32</v>
      </c>
      <c r="AA16" s="45">
        <v>45379</v>
      </c>
      <c r="AB16" s="14">
        <v>24</v>
      </c>
      <c r="AC16" s="14">
        <v>22050</v>
      </c>
      <c r="AD16" s="14">
        <v>130</v>
      </c>
      <c r="AE16" s="14" t="s">
        <v>1401</v>
      </c>
      <c r="AF16" s="14">
        <v>130</v>
      </c>
      <c r="AG16" s="14" t="s">
        <v>1402</v>
      </c>
      <c r="AH16" s="14" t="s">
        <v>36</v>
      </c>
      <c r="AI16" s="14" t="s">
        <v>472</v>
      </c>
      <c r="AJ16" s="14">
        <v>1043</v>
      </c>
      <c r="AK16" s="14" t="s">
        <v>1407</v>
      </c>
      <c r="AL16" s="14">
        <v>28269</v>
      </c>
      <c r="AM16" s="14" t="s">
        <v>1421</v>
      </c>
      <c r="AN16" s="14" t="s">
        <v>1450</v>
      </c>
      <c r="AO16" s="14">
        <v>28</v>
      </c>
      <c r="AP16" s="14" t="s">
        <v>1416</v>
      </c>
      <c r="AQ16" s="14">
        <v>0</v>
      </c>
      <c r="AR16" s="14" t="s">
        <v>1410</v>
      </c>
      <c r="AT16" s="14" t="s">
        <v>1417</v>
      </c>
      <c r="AU16" s="14" t="s">
        <v>1412</v>
      </c>
    </row>
    <row r="17" spans="1:47" x14ac:dyDescent="0.45">
      <c r="A17" s="42">
        <v>2405750101</v>
      </c>
      <c r="B17" s="14">
        <v>57</v>
      </c>
      <c r="C17" s="14" t="s">
        <v>1551</v>
      </c>
      <c r="D17" s="14">
        <v>57</v>
      </c>
      <c r="E17" s="14" t="s">
        <v>1552</v>
      </c>
      <c r="F17" s="14" t="s">
        <v>423</v>
      </c>
      <c r="G17" s="14" t="s">
        <v>424</v>
      </c>
      <c r="H17" s="14">
        <v>1</v>
      </c>
      <c r="I17" s="14" t="s">
        <v>425</v>
      </c>
      <c r="J17" s="14" t="s">
        <v>1403</v>
      </c>
      <c r="K17" s="14">
        <v>2024</v>
      </c>
      <c r="L17" s="42">
        <v>2024</v>
      </c>
      <c r="M17" s="43">
        <v>45201</v>
      </c>
      <c r="N17" s="14" t="s">
        <v>36</v>
      </c>
      <c r="O17" s="14" t="s">
        <v>51</v>
      </c>
      <c r="P17" s="14">
        <v>428</v>
      </c>
      <c r="Q17" s="14" t="s">
        <v>1463</v>
      </c>
      <c r="R17" s="14">
        <v>1</v>
      </c>
      <c r="S17" s="14">
        <v>2</v>
      </c>
      <c r="T17" s="14" t="s">
        <v>1464</v>
      </c>
      <c r="U17" s="14">
        <v>1</v>
      </c>
      <c r="V17" s="42">
        <v>0</v>
      </c>
      <c r="W17" s="42">
        <v>0</v>
      </c>
      <c r="X17" s="42" t="s">
        <v>1406</v>
      </c>
      <c r="Y17" s="112">
        <v>45371</v>
      </c>
      <c r="Z17" s="14" t="s">
        <v>32</v>
      </c>
      <c r="AB17" s="14">
        <v>0</v>
      </c>
      <c r="AC17" s="14">
        <v>0</v>
      </c>
      <c r="AD17" s="14">
        <v>0</v>
      </c>
      <c r="AE17" s="14" t="s">
        <v>1446</v>
      </c>
      <c r="AG17" s="14" t="s">
        <v>1446</v>
      </c>
      <c r="AJ17" s="14">
        <v>0</v>
      </c>
      <c r="AK17" s="14" t="s">
        <v>1473</v>
      </c>
      <c r="AL17" s="14">
        <v>28150</v>
      </c>
      <c r="AM17" s="14" t="s">
        <v>1418</v>
      </c>
      <c r="AN17" s="14" t="s">
        <v>1620</v>
      </c>
      <c r="AO17" s="14">
        <v>28</v>
      </c>
      <c r="AP17" s="14" t="s">
        <v>1416</v>
      </c>
      <c r="AQ17" s="14">
        <v>0</v>
      </c>
      <c r="AR17" s="14" t="s">
        <v>1410</v>
      </c>
      <c r="AT17" s="14" t="s">
        <v>1417</v>
      </c>
      <c r="AU17" s="14" t="s">
        <v>1412</v>
      </c>
    </row>
    <row r="18" spans="1:47" x14ac:dyDescent="0.45">
      <c r="A18" s="42">
        <v>2405750140</v>
      </c>
      <c r="B18" s="14">
        <v>57</v>
      </c>
      <c r="C18" s="14" t="s">
        <v>1551</v>
      </c>
      <c r="D18" s="14">
        <v>57</v>
      </c>
      <c r="E18" s="14" t="s">
        <v>1552</v>
      </c>
      <c r="F18" s="14" t="s">
        <v>1192</v>
      </c>
      <c r="G18" s="14" t="s">
        <v>1193</v>
      </c>
      <c r="H18" s="14">
        <v>2</v>
      </c>
      <c r="I18" s="14" t="s">
        <v>1194</v>
      </c>
      <c r="J18" s="14" t="s">
        <v>1403</v>
      </c>
      <c r="K18" s="14">
        <v>2024</v>
      </c>
      <c r="L18" s="42">
        <v>2024</v>
      </c>
      <c r="M18" s="43">
        <v>45189</v>
      </c>
      <c r="N18" s="14" t="s">
        <v>36</v>
      </c>
      <c r="O18" s="14" t="s">
        <v>51</v>
      </c>
      <c r="P18" s="14">
        <v>427</v>
      </c>
      <c r="Q18" s="14" t="s">
        <v>1479</v>
      </c>
      <c r="R18" s="14">
        <v>1</v>
      </c>
      <c r="S18" s="14">
        <v>2</v>
      </c>
      <c r="T18" s="14" t="s">
        <v>1464</v>
      </c>
      <c r="U18" s="14">
        <v>1</v>
      </c>
      <c r="V18" s="42">
        <v>0</v>
      </c>
      <c r="W18" s="42">
        <v>0</v>
      </c>
      <c r="X18" s="42" t="s">
        <v>1406</v>
      </c>
      <c r="Y18" s="112">
        <v>45374</v>
      </c>
      <c r="Z18" s="14" t="s">
        <v>32</v>
      </c>
      <c r="AB18" s="14">
        <v>0</v>
      </c>
      <c r="AC18" s="14">
        <v>0</v>
      </c>
      <c r="AD18" s="14">
        <v>0</v>
      </c>
      <c r="AE18" s="14" t="s">
        <v>1446</v>
      </c>
      <c r="AG18" s="14" t="s">
        <v>1446</v>
      </c>
      <c r="AJ18" s="14">
        <v>0</v>
      </c>
      <c r="AK18" s="14" t="s">
        <v>1473</v>
      </c>
      <c r="AL18" s="14">
        <v>28202</v>
      </c>
      <c r="AM18" s="14" t="s">
        <v>1418</v>
      </c>
      <c r="AN18" s="14" t="s">
        <v>1554</v>
      </c>
      <c r="AO18" s="14">
        <v>28</v>
      </c>
      <c r="AP18" s="14" t="s">
        <v>1416</v>
      </c>
      <c r="AQ18" s="14">
        <v>0</v>
      </c>
      <c r="AR18" s="14" t="s">
        <v>1410</v>
      </c>
      <c r="AT18" s="14" t="s">
        <v>1417</v>
      </c>
      <c r="AU18" s="14" t="s">
        <v>1412</v>
      </c>
    </row>
    <row r="19" spans="1:47" x14ac:dyDescent="0.45">
      <c r="A19" s="42">
        <v>2405750165</v>
      </c>
      <c r="B19" s="14">
        <v>57</v>
      </c>
      <c r="C19" s="14" t="s">
        <v>1551</v>
      </c>
      <c r="D19" s="14">
        <v>57</v>
      </c>
      <c r="E19" s="14" t="s">
        <v>1552</v>
      </c>
      <c r="F19" s="14" t="s">
        <v>1275</v>
      </c>
      <c r="G19" s="14" t="s">
        <v>1276</v>
      </c>
      <c r="H19" s="14">
        <v>2</v>
      </c>
      <c r="I19" s="14" t="s">
        <v>1277</v>
      </c>
      <c r="J19" s="14" t="s">
        <v>1403</v>
      </c>
      <c r="K19" s="14">
        <v>2024</v>
      </c>
      <c r="L19" s="42">
        <v>2024</v>
      </c>
      <c r="M19" s="43">
        <v>45230</v>
      </c>
      <c r="N19" s="14" t="s">
        <v>36</v>
      </c>
      <c r="O19" s="14">
        <v>58</v>
      </c>
      <c r="P19" s="14">
        <v>785</v>
      </c>
      <c r="Q19" s="14" t="s">
        <v>1491</v>
      </c>
      <c r="R19" s="14">
        <v>2</v>
      </c>
      <c r="S19" s="14">
        <v>2</v>
      </c>
      <c r="T19" s="14" t="s">
        <v>1464</v>
      </c>
      <c r="U19" s="14">
        <v>1</v>
      </c>
      <c r="V19" s="42">
        <v>0</v>
      </c>
      <c r="W19" s="42">
        <v>0</v>
      </c>
      <c r="X19" s="42" t="s">
        <v>1406</v>
      </c>
      <c r="Y19" s="112">
        <v>45376</v>
      </c>
      <c r="Z19" s="14" t="s">
        <v>32</v>
      </c>
      <c r="AB19" s="14">
        <v>0</v>
      </c>
      <c r="AC19" s="14">
        <v>0</v>
      </c>
      <c r="AD19" s="14">
        <v>0</v>
      </c>
      <c r="AE19" s="14" t="s">
        <v>1446</v>
      </c>
      <c r="AG19" s="14" t="s">
        <v>1446</v>
      </c>
      <c r="AJ19" s="14">
        <v>0</v>
      </c>
      <c r="AK19" s="14" t="s">
        <v>1407</v>
      </c>
      <c r="AL19" s="14">
        <v>28124</v>
      </c>
      <c r="AM19" s="14" t="s">
        <v>1414</v>
      </c>
      <c r="AN19" s="14" t="s">
        <v>1483</v>
      </c>
      <c r="AO19" s="14">
        <v>28</v>
      </c>
      <c r="AP19" s="14" t="s">
        <v>1416</v>
      </c>
      <c r="AQ19" s="14">
        <v>0</v>
      </c>
      <c r="AR19" s="14" t="s">
        <v>1410</v>
      </c>
      <c r="AT19" s="14" t="s">
        <v>1417</v>
      </c>
      <c r="AU19" s="14" t="s">
        <v>1412</v>
      </c>
    </row>
    <row r="20" spans="1:47" x14ac:dyDescent="0.45">
      <c r="A20" s="42">
        <v>2405750075</v>
      </c>
      <c r="B20" s="14">
        <v>57</v>
      </c>
      <c r="C20" s="14" t="s">
        <v>1551</v>
      </c>
      <c r="D20" s="14">
        <v>57</v>
      </c>
      <c r="E20" s="14" t="s">
        <v>1552</v>
      </c>
      <c r="F20" s="14" t="s">
        <v>336</v>
      </c>
      <c r="G20" s="14" t="s">
        <v>337</v>
      </c>
      <c r="H20" s="14">
        <v>1</v>
      </c>
      <c r="I20" s="14" t="s">
        <v>338</v>
      </c>
      <c r="J20" s="14" t="s">
        <v>1403</v>
      </c>
      <c r="K20" s="14">
        <v>2024</v>
      </c>
      <c r="L20" s="42">
        <v>2024</v>
      </c>
      <c r="M20" s="43">
        <v>45184</v>
      </c>
      <c r="N20" s="14" t="s">
        <v>36</v>
      </c>
      <c r="O20" s="14" t="s">
        <v>51</v>
      </c>
      <c r="P20" s="14">
        <v>427</v>
      </c>
      <c r="Q20" s="14" t="s">
        <v>1479</v>
      </c>
      <c r="R20" s="14">
        <v>1</v>
      </c>
      <c r="S20" s="14">
        <v>2</v>
      </c>
      <c r="T20" s="14" t="s">
        <v>1464</v>
      </c>
      <c r="U20" s="14">
        <v>1</v>
      </c>
      <c r="V20" s="42">
        <v>0</v>
      </c>
      <c r="W20" s="42">
        <v>0</v>
      </c>
      <c r="X20" s="42" t="s">
        <v>1406</v>
      </c>
      <c r="Y20" s="112">
        <v>45377</v>
      </c>
      <c r="Z20" s="14" t="s">
        <v>32</v>
      </c>
      <c r="AB20" s="14">
        <v>0</v>
      </c>
      <c r="AC20" s="14">
        <v>0</v>
      </c>
      <c r="AD20" s="14">
        <v>0</v>
      </c>
      <c r="AE20" s="14" t="s">
        <v>1446</v>
      </c>
      <c r="AG20" s="14" t="s">
        <v>1446</v>
      </c>
      <c r="AJ20" s="14">
        <v>0</v>
      </c>
      <c r="AK20" s="14" t="s">
        <v>1473</v>
      </c>
      <c r="AL20" s="14">
        <v>28008</v>
      </c>
      <c r="AM20" s="14" t="s">
        <v>1418</v>
      </c>
      <c r="AN20" s="14" t="s">
        <v>1613</v>
      </c>
      <c r="AO20" s="14">
        <v>28</v>
      </c>
      <c r="AP20" s="14" t="s">
        <v>1416</v>
      </c>
      <c r="AQ20" s="14">
        <v>0</v>
      </c>
      <c r="AR20" s="14" t="s">
        <v>1410</v>
      </c>
      <c r="AT20" s="14" t="s">
        <v>1417</v>
      </c>
      <c r="AU20" s="14" t="s">
        <v>1412</v>
      </c>
    </row>
    <row r="21" spans="1:47" x14ac:dyDescent="0.45">
      <c r="A21" s="42">
        <v>2405750152</v>
      </c>
      <c r="B21" s="14">
        <v>57</v>
      </c>
      <c r="C21" s="14" t="s">
        <v>1551</v>
      </c>
      <c r="D21" s="14">
        <v>57</v>
      </c>
      <c r="E21" s="14" t="s">
        <v>1552</v>
      </c>
      <c r="F21" s="14" t="s">
        <v>1228</v>
      </c>
      <c r="G21" s="14" t="s">
        <v>1229</v>
      </c>
      <c r="H21" s="14">
        <v>1</v>
      </c>
      <c r="I21" s="14" t="s">
        <v>1230</v>
      </c>
      <c r="J21" s="14" t="s">
        <v>1403</v>
      </c>
      <c r="K21" s="14">
        <v>2024</v>
      </c>
      <c r="L21" s="42">
        <v>2024</v>
      </c>
      <c r="M21" s="43">
        <v>45230</v>
      </c>
      <c r="N21" s="14" t="s">
        <v>36</v>
      </c>
      <c r="O21" s="14" t="s">
        <v>51</v>
      </c>
      <c r="P21" s="14">
        <v>427</v>
      </c>
      <c r="Q21" s="14" t="s">
        <v>1479</v>
      </c>
      <c r="R21" s="14">
        <v>1</v>
      </c>
      <c r="S21" s="14">
        <v>2</v>
      </c>
      <c r="T21" s="14" t="s">
        <v>1464</v>
      </c>
      <c r="U21" s="14">
        <v>1</v>
      </c>
      <c r="V21" s="42">
        <v>0</v>
      </c>
      <c r="W21" s="42">
        <v>0</v>
      </c>
      <c r="X21" s="42" t="s">
        <v>1406</v>
      </c>
      <c r="Y21" s="112">
        <v>45379</v>
      </c>
      <c r="Z21" s="14" t="s">
        <v>32</v>
      </c>
      <c r="AB21" s="14">
        <v>0</v>
      </c>
      <c r="AC21" s="14">
        <v>0</v>
      </c>
      <c r="AD21" s="14">
        <v>0</v>
      </c>
      <c r="AE21" s="14" t="s">
        <v>1446</v>
      </c>
      <c r="AG21" s="14" t="s">
        <v>1446</v>
      </c>
      <c r="AJ21" s="14">
        <v>0</v>
      </c>
      <c r="AK21" s="14" t="s">
        <v>1473</v>
      </c>
      <c r="AL21" s="14">
        <v>28185</v>
      </c>
      <c r="AM21" s="14" t="s">
        <v>1418</v>
      </c>
      <c r="AN21" s="14" t="s">
        <v>1438</v>
      </c>
      <c r="AO21" s="14">
        <v>28</v>
      </c>
      <c r="AP21" s="14" t="s">
        <v>1416</v>
      </c>
      <c r="AQ21" s="14">
        <v>0</v>
      </c>
      <c r="AR21" s="14" t="s">
        <v>1410</v>
      </c>
      <c r="AT21" s="14" t="s">
        <v>1417</v>
      </c>
      <c r="AU21" s="14" t="s">
        <v>1412</v>
      </c>
    </row>
    <row r="22" spans="1:47" x14ac:dyDescent="0.45">
      <c r="A22" s="42">
        <v>2405750117</v>
      </c>
      <c r="B22" s="14">
        <v>57</v>
      </c>
      <c r="C22" s="14" t="s">
        <v>1551</v>
      </c>
      <c r="D22" s="14">
        <v>57</v>
      </c>
      <c r="E22" s="14" t="s">
        <v>1552</v>
      </c>
      <c r="F22" s="14" t="s">
        <v>1121</v>
      </c>
      <c r="G22" s="14" t="s">
        <v>1122</v>
      </c>
      <c r="H22" s="14">
        <v>2</v>
      </c>
      <c r="I22" s="14" t="s">
        <v>1123</v>
      </c>
      <c r="J22" s="14" t="s">
        <v>1403</v>
      </c>
      <c r="K22" s="14">
        <v>2024</v>
      </c>
      <c r="L22" s="42">
        <v>2024</v>
      </c>
      <c r="M22" s="43">
        <v>45173</v>
      </c>
      <c r="N22" s="14" t="s">
        <v>36</v>
      </c>
      <c r="O22" s="14" t="s">
        <v>51</v>
      </c>
      <c r="P22" s="14">
        <v>427</v>
      </c>
      <c r="Q22" s="14" t="s">
        <v>1479</v>
      </c>
      <c r="R22" s="14">
        <v>1</v>
      </c>
      <c r="S22" s="14">
        <v>2</v>
      </c>
      <c r="T22" s="14" t="s">
        <v>1464</v>
      </c>
      <c r="U22" s="14">
        <v>1</v>
      </c>
      <c r="V22" s="42">
        <v>0</v>
      </c>
      <c r="W22" s="42">
        <v>0</v>
      </c>
      <c r="X22" s="42" t="s">
        <v>1406</v>
      </c>
      <c r="Y22" s="112">
        <v>45380</v>
      </c>
      <c r="Z22" s="14" t="s">
        <v>32</v>
      </c>
      <c r="AB22" s="14">
        <v>0</v>
      </c>
      <c r="AC22" s="14">
        <v>0</v>
      </c>
      <c r="AD22" s="14">
        <v>0</v>
      </c>
      <c r="AE22" s="14" t="s">
        <v>1446</v>
      </c>
      <c r="AG22" s="14" t="s">
        <v>1446</v>
      </c>
      <c r="AJ22" s="14">
        <v>0</v>
      </c>
      <c r="AK22" s="14" t="s">
        <v>1473</v>
      </c>
      <c r="AL22" s="14">
        <v>28217</v>
      </c>
      <c r="AM22" s="14" t="s">
        <v>1418</v>
      </c>
      <c r="AN22" s="14" t="s">
        <v>1626</v>
      </c>
      <c r="AO22" s="14">
        <v>28</v>
      </c>
      <c r="AP22" s="14" t="s">
        <v>1416</v>
      </c>
      <c r="AQ22" s="14">
        <v>0</v>
      </c>
      <c r="AR22" s="14" t="s">
        <v>1410</v>
      </c>
      <c r="AT22" s="14" t="s">
        <v>1417</v>
      </c>
      <c r="AU22" s="14" t="s">
        <v>1412</v>
      </c>
    </row>
    <row r="23" spans="1:47" x14ac:dyDescent="0.45">
      <c r="A23" s="42">
        <v>2405750076</v>
      </c>
      <c r="B23" s="14">
        <v>57</v>
      </c>
      <c r="C23" s="14" t="s">
        <v>1551</v>
      </c>
      <c r="D23" s="14">
        <v>57</v>
      </c>
      <c r="E23" s="14" t="s">
        <v>1552</v>
      </c>
      <c r="F23" s="14" t="s">
        <v>339</v>
      </c>
      <c r="G23" s="14" t="s">
        <v>340</v>
      </c>
      <c r="H23" s="14">
        <v>2</v>
      </c>
      <c r="I23" s="14" t="s">
        <v>341</v>
      </c>
      <c r="J23" s="14" t="s">
        <v>1403</v>
      </c>
      <c r="K23" s="14">
        <v>2024</v>
      </c>
      <c r="L23" s="42">
        <v>2024</v>
      </c>
      <c r="M23" s="43">
        <v>45229</v>
      </c>
      <c r="N23" s="14" t="s">
        <v>36</v>
      </c>
      <c r="O23" s="14" t="s">
        <v>51</v>
      </c>
      <c r="P23" s="14">
        <v>856</v>
      </c>
      <c r="Q23" s="14" t="s">
        <v>1533</v>
      </c>
      <c r="R23" s="14">
        <v>1</v>
      </c>
      <c r="S23" s="14">
        <v>2</v>
      </c>
      <c r="T23" s="14" t="s">
        <v>1464</v>
      </c>
      <c r="U23" s="14">
        <v>1</v>
      </c>
      <c r="V23" s="42">
        <v>0</v>
      </c>
      <c r="W23" s="42">
        <v>0</v>
      </c>
      <c r="X23" s="42" t="s">
        <v>1406</v>
      </c>
      <c r="Y23" s="112">
        <v>45381</v>
      </c>
      <c r="Z23" s="14" t="s">
        <v>32</v>
      </c>
      <c r="AB23" s="14">
        <v>0</v>
      </c>
      <c r="AC23" s="14">
        <v>0</v>
      </c>
      <c r="AD23" s="14">
        <v>0</v>
      </c>
      <c r="AE23" s="14" t="s">
        <v>1446</v>
      </c>
      <c r="AG23" s="14" t="s">
        <v>1446</v>
      </c>
      <c r="AJ23" s="14">
        <v>0</v>
      </c>
      <c r="AK23" s="14" t="s">
        <v>1473</v>
      </c>
      <c r="AL23" s="14">
        <v>28030</v>
      </c>
      <c r="AM23" s="14" t="s">
        <v>1418</v>
      </c>
      <c r="AN23" s="14" t="s">
        <v>1566</v>
      </c>
      <c r="AO23" s="14">
        <v>28</v>
      </c>
      <c r="AP23" s="14" t="s">
        <v>1416</v>
      </c>
      <c r="AQ23" s="14">
        <v>0</v>
      </c>
      <c r="AR23" s="14" t="s">
        <v>1410</v>
      </c>
      <c r="AT23" s="14" t="s">
        <v>1417</v>
      </c>
      <c r="AU23" s="14" t="s">
        <v>1412</v>
      </c>
    </row>
    <row r="24" spans="1:47" x14ac:dyDescent="0.45">
      <c r="A24" s="42">
        <v>2405750087</v>
      </c>
      <c r="B24" s="14">
        <v>57</v>
      </c>
      <c r="C24" s="14" t="s">
        <v>1551</v>
      </c>
      <c r="D24" s="14">
        <v>57</v>
      </c>
      <c r="E24" s="14" t="s">
        <v>1552</v>
      </c>
      <c r="F24" s="14" t="s">
        <v>377</v>
      </c>
      <c r="G24" s="14" t="s">
        <v>378</v>
      </c>
      <c r="H24" s="14">
        <v>1</v>
      </c>
      <c r="I24" s="14" t="s">
        <v>379</v>
      </c>
      <c r="J24" s="14" t="s">
        <v>1403</v>
      </c>
      <c r="K24" s="14">
        <v>2024</v>
      </c>
      <c r="L24" s="42">
        <v>2024</v>
      </c>
      <c r="M24" s="43">
        <v>45190</v>
      </c>
      <c r="N24" s="14" t="s">
        <v>36</v>
      </c>
      <c r="O24" s="14">
        <v>58</v>
      </c>
      <c r="P24" s="14">
        <v>428</v>
      </c>
      <c r="Q24" s="14" t="s">
        <v>1463</v>
      </c>
      <c r="R24" s="14">
        <v>2</v>
      </c>
      <c r="S24" s="14">
        <v>2</v>
      </c>
      <c r="T24" s="14" t="s">
        <v>1464</v>
      </c>
      <c r="U24" s="14">
        <v>1</v>
      </c>
      <c r="V24" s="42">
        <v>0</v>
      </c>
      <c r="W24" s="42">
        <v>0</v>
      </c>
      <c r="X24" s="42" t="s">
        <v>1406</v>
      </c>
      <c r="Y24" s="112">
        <v>45390</v>
      </c>
      <c r="Z24" s="14" t="s">
        <v>32</v>
      </c>
      <c r="AB24" s="14">
        <v>0</v>
      </c>
      <c r="AC24" s="14">
        <v>0</v>
      </c>
      <c r="AD24" s="14">
        <v>0</v>
      </c>
      <c r="AE24" s="14" t="s">
        <v>1446</v>
      </c>
      <c r="AG24" s="14" t="s">
        <v>1446</v>
      </c>
      <c r="AJ24" s="14">
        <v>0</v>
      </c>
      <c r="AK24" s="14" t="s">
        <v>1473</v>
      </c>
      <c r="AL24" s="14">
        <v>28121</v>
      </c>
      <c r="AM24" s="14" t="s">
        <v>1418</v>
      </c>
      <c r="AN24" s="14" t="s">
        <v>1556</v>
      </c>
      <c r="AO24" s="14">
        <v>28</v>
      </c>
      <c r="AP24" s="14" t="s">
        <v>1416</v>
      </c>
      <c r="AQ24" s="14">
        <v>0</v>
      </c>
      <c r="AR24" s="14" t="s">
        <v>1410</v>
      </c>
      <c r="AT24" s="14" t="s">
        <v>1417</v>
      </c>
      <c r="AU24" s="14" t="s">
        <v>1412</v>
      </c>
    </row>
    <row r="25" spans="1:47" x14ac:dyDescent="0.45">
      <c r="A25" s="42">
        <v>2405750170</v>
      </c>
      <c r="B25" s="14">
        <v>57</v>
      </c>
      <c r="C25" s="14" t="s">
        <v>1551</v>
      </c>
      <c r="D25" s="14">
        <v>57</v>
      </c>
      <c r="E25" s="14" t="s">
        <v>1552</v>
      </c>
      <c r="F25" s="14" t="s">
        <v>1291</v>
      </c>
      <c r="G25" s="14" t="s">
        <v>1292</v>
      </c>
      <c r="H25" s="14">
        <v>2</v>
      </c>
      <c r="I25" s="14" t="s">
        <v>1293</v>
      </c>
      <c r="J25" s="14" t="s">
        <v>1403</v>
      </c>
      <c r="K25" s="14">
        <v>2024</v>
      </c>
      <c r="L25" s="42">
        <v>2024</v>
      </c>
      <c r="M25" s="43">
        <v>45222</v>
      </c>
      <c r="N25" s="14" t="s">
        <v>36</v>
      </c>
      <c r="O25" s="14">
        <v>57</v>
      </c>
      <c r="P25" s="14">
        <v>1044</v>
      </c>
      <c r="Q25" s="14" t="s">
        <v>1476</v>
      </c>
      <c r="R25" s="14">
        <v>2</v>
      </c>
      <c r="S25" s="14">
        <v>3</v>
      </c>
      <c r="T25" s="14" t="s">
        <v>1477</v>
      </c>
      <c r="U25" s="14">
        <v>4</v>
      </c>
      <c r="V25" s="42">
        <v>0</v>
      </c>
      <c r="W25" s="42">
        <v>0</v>
      </c>
      <c r="X25" s="42" t="s">
        <v>1406</v>
      </c>
      <c r="Y25" s="112">
        <v>45390</v>
      </c>
      <c r="Z25" s="14" t="s">
        <v>32</v>
      </c>
      <c r="AB25" s="14">
        <v>0</v>
      </c>
      <c r="AC25" s="14">
        <v>0</v>
      </c>
      <c r="AD25" s="14">
        <v>0</v>
      </c>
      <c r="AE25" s="14" t="s">
        <v>1446</v>
      </c>
      <c r="AG25" s="14" t="s">
        <v>1446</v>
      </c>
      <c r="AJ25" s="14">
        <v>0</v>
      </c>
      <c r="AK25" s="14" t="s">
        <v>1407</v>
      </c>
      <c r="AL25" s="14">
        <v>28254</v>
      </c>
      <c r="AM25" s="14" t="s">
        <v>1421</v>
      </c>
      <c r="AN25" s="14" t="s">
        <v>1638</v>
      </c>
      <c r="AO25" s="14">
        <v>28</v>
      </c>
      <c r="AP25" s="14" t="s">
        <v>1416</v>
      </c>
      <c r="AQ25" s="14">
        <v>0</v>
      </c>
      <c r="AR25" s="14" t="s">
        <v>1410</v>
      </c>
      <c r="AT25" s="14" t="s">
        <v>1417</v>
      </c>
      <c r="AU25" s="14" t="s">
        <v>1412</v>
      </c>
    </row>
    <row r="26" spans="1:47" x14ac:dyDescent="0.45">
      <c r="A26" s="42">
        <v>2405750060</v>
      </c>
      <c r="B26" s="14">
        <v>57</v>
      </c>
      <c r="C26" s="14" t="s">
        <v>1551</v>
      </c>
      <c r="D26" s="14">
        <v>57</v>
      </c>
      <c r="E26" s="14" t="s">
        <v>1552</v>
      </c>
      <c r="F26" s="14" t="s">
        <v>279</v>
      </c>
      <c r="G26" s="14" t="s">
        <v>280</v>
      </c>
      <c r="H26" s="14">
        <v>2</v>
      </c>
      <c r="I26" s="14" t="s">
        <v>281</v>
      </c>
      <c r="J26" s="14" t="s">
        <v>1403</v>
      </c>
      <c r="K26" s="14">
        <v>2024</v>
      </c>
      <c r="L26" s="42">
        <v>2024</v>
      </c>
      <c r="M26" s="43">
        <v>45170</v>
      </c>
      <c r="N26" s="14" t="s">
        <v>36</v>
      </c>
      <c r="O26" s="14" t="s">
        <v>94</v>
      </c>
      <c r="P26" s="14">
        <v>1006</v>
      </c>
      <c r="Q26" s="14" t="s">
        <v>1612</v>
      </c>
      <c r="R26" s="14">
        <v>2</v>
      </c>
      <c r="S26" s="14">
        <v>8</v>
      </c>
      <c r="T26" s="14" t="s">
        <v>1503</v>
      </c>
      <c r="U26" s="14">
        <v>6</v>
      </c>
      <c r="V26" s="42">
        <v>2480019</v>
      </c>
      <c r="W26" s="42">
        <v>0</v>
      </c>
      <c r="X26" s="42" t="s">
        <v>1406</v>
      </c>
      <c r="Z26" s="14" t="s">
        <v>32</v>
      </c>
      <c r="AA26" s="45">
        <v>45222</v>
      </c>
      <c r="AB26" s="14">
        <v>24</v>
      </c>
      <c r="AC26" s="14">
        <v>80019</v>
      </c>
      <c r="AD26" s="14">
        <v>57</v>
      </c>
      <c r="AE26" s="14" t="s">
        <v>1551</v>
      </c>
      <c r="AF26" s="14">
        <v>57</v>
      </c>
      <c r="AG26" s="14" t="s">
        <v>1552</v>
      </c>
      <c r="AH26" s="14" t="s">
        <v>36</v>
      </c>
      <c r="AI26" s="14" t="s">
        <v>94</v>
      </c>
      <c r="AJ26" s="14">
        <v>1006</v>
      </c>
      <c r="AK26" s="14" t="s">
        <v>1407</v>
      </c>
      <c r="AL26" s="14">
        <v>28025</v>
      </c>
      <c r="AM26" s="14" t="s">
        <v>1421</v>
      </c>
      <c r="AN26" s="14" t="s">
        <v>1550</v>
      </c>
      <c r="AO26" s="14">
        <v>28</v>
      </c>
      <c r="AP26" s="14" t="s">
        <v>1416</v>
      </c>
      <c r="AQ26" s="14">
        <v>0</v>
      </c>
      <c r="AR26" s="14" t="s">
        <v>1410</v>
      </c>
      <c r="AT26" s="14" t="s">
        <v>1417</v>
      </c>
      <c r="AU26" s="14" t="s">
        <v>1412</v>
      </c>
    </row>
    <row r="27" spans="1:47" x14ac:dyDescent="0.45">
      <c r="A27" s="42">
        <v>2405750013</v>
      </c>
      <c r="B27" s="14">
        <v>57</v>
      </c>
      <c r="C27" s="14" t="s">
        <v>1551</v>
      </c>
      <c r="D27" s="14">
        <v>57</v>
      </c>
      <c r="E27" s="14" t="s">
        <v>1552</v>
      </c>
      <c r="F27" s="14" t="s">
        <v>98</v>
      </c>
      <c r="G27" s="14" t="s">
        <v>99</v>
      </c>
      <c r="H27" s="14">
        <v>2</v>
      </c>
      <c r="I27" s="14" t="s">
        <v>100</v>
      </c>
      <c r="J27" s="14" t="s">
        <v>1403</v>
      </c>
      <c r="K27" s="14">
        <v>2024</v>
      </c>
      <c r="L27" s="42">
        <v>2024</v>
      </c>
      <c r="M27" s="43">
        <v>45170</v>
      </c>
      <c r="N27" s="14" t="s">
        <v>36</v>
      </c>
      <c r="O27" s="14" t="s">
        <v>94</v>
      </c>
      <c r="P27" s="14">
        <v>121</v>
      </c>
      <c r="Q27" s="14" t="s">
        <v>1502</v>
      </c>
      <c r="R27" s="14">
        <v>2</v>
      </c>
      <c r="S27" s="14">
        <v>8</v>
      </c>
      <c r="T27" s="14" t="s">
        <v>1503</v>
      </c>
      <c r="U27" s="14">
        <v>6</v>
      </c>
      <c r="V27" s="42">
        <v>2480009</v>
      </c>
      <c r="W27" s="42">
        <v>0</v>
      </c>
      <c r="X27" s="42" t="s">
        <v>1406</v>
      </c>
      <c r="Z27" s="14" t="s">
        <v>32</v>
      </c>
      <c r="AA27" s="45">
        <v>45219</v>
      </c>
      <c r="AB27" s="14">
        <v>24</v>
      </c>
      <c r="AC27" s="14">
        <v>80009</v>
      </c>
      <c r="AD27" s="14">
        <v>57</v>
      </c>
      <c r="AE27" s="14" t="s">
        <v>1551</v>
      </c>
      <c r="AF27" s="14">
        <v>57</v>
      </c>
      <c r="AG27" s="14" t="s">
        <v>1552</v>
      </c>
      <c r="AH27" s="14" t="s">
        <v>36</v>
      </c>
      <c r="AI27" s="14" t="s">
        <v>94</v>
      </c>
      <c r="AJ27" s="14">
        <v>121</v>
      </c>
      <c r="AK27" s="14" t="s">
        <v>1407</v>
      </c>
      <c r="AL27" s="14">
        <v>28034</v>
      </c>
      <c r="AM27" s="14" t="s">
        <v>1418</v>
      </c>
      <c r="AN27" s="14" t="s">
        <v>1599</v>
      </c>
      <c r="AO27" s="14">
        <v>28</v>
      </c>
      <c r="AP27" s="14" t="s">
        <v>1416</v>
      </c>
      <c r="AQ27" s="14">
        <v>0</v>
      </c>
      <c r="AR27" s="14" t="s">
        <v>1410</v>
      </c>
      <c r="AT27" s="14" t="s">
        <v>1417</v>
      </c>
      <c r="AU27" s="14" t="s">
        <v>1412</v>
      </c>
    </row>
    <row r="28" spans="1:47" x14ac:dyDescent="0.45">
      <c r="A28" s="42">
        <v>2405750116</v>
      </c>
      <c r="B28" s="14">
        <v>57</v>
      </c>
      <c r="C28" s="14" t="s">
        <v>1551</v>
      </c>
      <c r="D28" s="14">
        <v>57</v>
      </c>
      <c r="E28" s="14" t="s">
        <v>1552</v>
      </c>
      <c r="F28" s="14" t="s">
        <v>1117</v>
      </c>
      <c r="G28" s="14" t="s">
        <v>1118</v>
      </c>
      <c r="H28" s="14">
        <v>2</v>
      </c>
      <c r="I28" s="14" t="s">
        <v>1119</v>
      </c>
      <c r="J28" s="14" t="s">
        <v>1403</v>
      </c>
      <c r="K28" s="14">
        <v>2024</v>
      </c>
      <c r="L28" s="42">
        <v>2024</v>
      </c>
      <c r="M28" s="43">
        <v>45173</v>
      </c>
      <c r="N28" s="14" t="s">
        <v>36</v>
      </c>
      <c r="O28" s="14">
        <v>58</v>
      </c>
      <c r="P28" s="14">
        <v>968</v>
      </c>
      <c r="Q28" s="14" t="s">
        <v>1474</v>
      </c>
      <c r="R28" s="14">
        <v>2</v>
      </c>
      <c r="S28" s="14">
        <v>2</v>
      </c>
      <c r="T28" s="14" t="s">
        <v>1464</v>
      </c>
      <c r="U28" s="14">
        <v>1</v>
      </c>
      <c r="V28" s="42">
        <v>2480028</v>
      </c>
      <c r="W28" s="42">
        <v>0</v>
      </c>
      <c r="X28" s="42" t="s">
        <v>1406</v>
      </c>
      <c r="Z28" s="14" t="s">
        <v>32</v>
      </c>
      <c r="AA28" s="45">
        <v>45223</v>
      </c>
      <c r="AB28" s="14">
        <v>24</v>
      </c>
      <c r="AC28" s="14">
        <v>80028</v>
      </c>
      <c r="AD28" s="14">
        <v>57</v>
      </c>
      <c r="AE28" s="14" t="s">
        <v>1551</v>
      </c>
      <c r="AF28" s="14">
        <v>57</v>
      </c>
      <c r="AG28" s="14" t="s">
        <v>1552</v>
      </c>
      <c r="AH28" s="14" t="s">
        <v>36</v>
      </c>
      <c r="AI28" s="14">
        <v>58</v>
      </c>
      <c r="AJ28" s="14">
        <v>968</v>
      </c>
      <c r="AK28" s="14" t="s">
        <v>1407</v>
      </c>
      <c r="AL28" s="14">
        <v>28116</v>
      </c>
      <c r="AM28" s="14" t="s">
        <v>1418</v>
      </c>
      <c r="AN28" s="14" t="s">
        <v>1559</v>
      </c>
      <c r="AO28" s="14">
        <v>28</v>
      </c>
      <c r="AP28" s="14" t="s">
        <v>1416</v>
      </c>
      <c r="AQ28" s="14">
        <v>0</v>
      </c>
      <c r="AR28" s="14" t="s">
        <v>1410</v>
      </c>
      <c r="AT28" s="14" t="s">
        <v>1417</v>
      </c>
      <c r="AU28" s="14" t="s">
        <v>1412</v>
      </c>
    </row>
    <row r="29" spans="1:47" x14ac:dyDescent="0.45">
      <c r="A29" s="42">
        <v>2405750106</v>
      </c>
      <c r="B29" s="14">
        <v>57</v>
      </c>
      <c r="C29" s="14" t="s">
        <v>1551</v>
      </c>
      <c r="D29" s="14">
        <v>57</v>
      </c>
      <c r="E29" s="14" t="s">
        <v>1552</v>
      </c>
      <c r="F29" s="14" t="s">
        <v>442</v>
      </c>
      <c r="G29" s="14" t="s">
        <v>443</v>
      </c>
      <c r="H29" s="14">
        <v>2</v>
      </c>
      <c r="I29" s="14" t="s">
        <v>444</v>
      </c>
      <c r="J29" s="14" t="s">
        <v>1403</v>
      </c>
      <c r="K29" s="14">
        <v>0</v>
      </c>
      <c r="L29" s="42">
        <v>2024</v>
      </c>
      <c r="M29" s="43">
        <v>45173</v>
      </c>
      <c r="N29" s="14" t="s">
        <v>36</v>
      </c>
      <c r="O29" s="14" t="s">
        <v>135</v>
      </c>
      <c r="P29" s="14">
        <v>870</v>
      </c>
      <c r="Q29" s="14" t="s">
        <v>1610</v>
      </c>
      <c r="R29" s="14">
        <v>2</v>
      </c>
      <c r="S29" s="14">
        <v>5</v>
      </c>
      <c r="T29" s="14" t="s">
        <v>1470</v>
      </c>
      <c r="U29" s="14">
        <v>15</v>
      </c>
      <c r="V29" s="42">
        <v>2480020</v>
      </c>
      <c r="W29" s="42">
        <v>166</v>
      </c>
      <c r="X29" s="42" t="s">
        <v>1501</v>
      </c>
      <c r="Y29" s="111"/>
      <c r="Z29" s="14" t="s">
        <v>32</v>
      </c>
      <c r="AA29" s="45">
        <v>45222</v>
      </c>
      <c r="AB29" s="14">
        <v>24</v>
      </c>
      <c r="AC29" s="14">
        <v>80020</v>
      </c>
      <c r="AD29" s="14">
        <v>57</v>
      </c>
      <c r="AE29" s="14" t="s">
        <v>1551</v>
      </c>
      <c r="AF29" s="14">
        <v>57</v>
      </c>
      <c r="AG29" s="14" t="s">
        <v>1552</v>
      </c>
      <c r="AH29" s="14" t="s">
        <v>36</v>
      </c>
      <c r="AI29" s="14" t="s">
        <v>135</v>
      </c>
      <c r="AJ29" s="14">
        <v>870</v>
      </c>
      <c r="AK29" s="14" t="s">
        <v>1407</v>
      </c>
      <c r="AL29" s="14">
        <v>28023</v>
      </c>
      <c r="AM29" s="14" t="s">
        <v>1421</v>
      </c>
      <c r="AN29" s="14" t="s">
        <v>1622</v>
      </c>
      <c r="AO29" s="14">
        <v>28</v>
      </c>
      <c r="AP29" s="14" t="s">
        <v>1416</v>
      </c>
      <c r="AQ29" s="14">
        <v>0</v>
      </c>
      <c r="AR29" s="14" t="s">
        <v>1410</v>
      </c>
      <c r="AT29" s="14" t="s">
        <v>1411</v>
      </c>
      <c r="AU29" s="14" t="s">
        <v>1412</v>
      </c>
    </row>
    <row r="30" spans="1:47" x14ac:dyDescent="0.45">
      <c r="A30" s="42">
        <v>2405750024</v>
      </c>
      <c r="B30" s="14">
        <v>57</v>
      </c>
      <c r="C30" s="14" t="s">
        <v>1551</v>
      </c>
      <c r="D30" s="14">
        <v>57</v>
      </c>
      <c r="E30" s="14" t="s">
        <v>1552</v>
      </c>
      <c r="F30" s="14" t="s">
        <v>142</v>
      </c>
      <c r="G30" s="14" t="s">
        <v>143</v>
      </c>
      <c r="H30" s="14">
        <v>1</v>
      </c>
      <c r="I30" s="14" t="s">
        <v>144</v>
      </c>
      <c r="J30" s="14" t="s">
        <v>1403</v>
      </c>
      <c r="K30" s="14">
        <v>2024</v>
      </c>
      <c r="L30" s="42">
        <v>2024</v>
      </c>
      <c r="M30" s="43">
        <v>45173</v>
      </c>
      <c r="N30" s="14" t="s">
        <v>36</v>
      </c>
      <c r="O30" s="14">
        <v>6</v>
      </c>
      <c r="P30" s="14">
        <v>448</v>
      </c>
      <c r="Q30" s="14" t="s">
        <v>1557</v>
      </c>
      <c r="R30" s="14">
        <v>2</v>
      </c>
      <c r="S30" s="14">
        <v>1</v>
      </c>
      <c r="T30" s="14" t="s">
        <v>1527</v>
      </c>
      <c r="U30" s="14">
        <v>3</v>
      </c>
      <c r="V30" s="42">
        <v>2480010</v>
      </c>
      <c r="W30" s="42">
        <v>0</v>
      </c>
      <c r="X30" s="42" t="s">
        <v>1406</v>
      </c>
      <c r="Y30" s="111"/>
      <c r="Z30" s="14" t="s">
        <v>32</v>
      </c>
      <c r="AA30" s="45">
        <v>45219</v>
      </c>
      <c r="AB30" s="14">
        <v>24</v>
      </c>
      <c r="AC30" s="14">
        <v>80010</v>
      </c>
      <c r="AD30" s="14">
        <v>57</v>
      </c>
      <c r="AE30" s="14" t="s">
        <v>1551</v>
      </c>
      <c r="AF30" s="14">
        <v>57</v>
      </c>
      <c r="AG30" s="14" t="s">
        <v>1552</v>
      </c>
      <c r="AH30" s="14" t="s">
        <v>36</v>
      </c>
      <c r="AI30" s="14">
        <v>6</v>
      </c>
      <c r="AJ30" s="14">
        <v>448</v>
      </c>
      <c r="AK30" s="14" t="s">
        <v>1407</v>
      </c>
      <c r="AL30" s="14">
        <v>28117</v>
      </c>
      <c r="AM30" s="14" t="s">
        <v>1418</v>
      </c>
      <c r="AN30" s="14" t="s">
        <v>1576</v>
      </c>
      <c r="AO30" s="14">
        <v>28</v>
      </c>
      <c r="AP30" s="14" t="s">
        <v>1416</v>
      </c>
      <c r="AQ30" s="14">
        <v>0</v>
      </c>
      <c r="AR30" s="14" t="s">
        <v>1410</v>
      </c>
      <c r="AT30" s="14" t="s">
        <v>1417</v>
      </c>
      <c r="AU30" s="14" t="s">
        <v>1412</v>
      </c>
    </row>
    <row r="31" spans="1:47" x14ac:dyDescent="0.45">
      <c r="A31" s="42">
        <v>2405750028</v>
      </c>
      <c r="B31" s="14">
        <v>57</v>
      </c>
      <c r="C31" s="14" t="s">
        <v>1551</v>
      </c>
      <c r="D31" s="14">
        <v>57</v>
      </c>
      <c r="E31" s="14" t="s">
        <v>1552</v>
      </c>
      <c r="F31" s="14" t="s">
        <v>160</v>
      </c>
      <c r="G31" s="14" t="s">
        <v>161</v>
      </c>
      <c r="H31" s="14">
        <v>2</v>
      </c>
      <c r="I31" s="14" t="s">
        <v>162</v>
      </c>
      <c r="J31" s="14" t="s">
        <v>1605</v>
      </c>
      <c r="K31" s="14">
        <v>2024</v>
      </c>
      <c r="L31" s="42">
        <v>2024</v>
      </c>
      <c r="M31" s="43">
        <v>45173</v>
      </c>
      <c r="N31" s="14" t="s">
        <v>36</v>
      </c>
      <c r="O31" s="14">
        <v>6</v>
      </c>
      <c r="P31" s="14">
        <v>488</v>
      </c>
      <c r="Q31" s="14" t="s">
        <v>1553</v>
      </c>
      <c r="R31" s="14">
        <v>2</v>
      </c>
      <c r="S31" s="14">
        <v>1</v>
      </c>
      <c r="T31" s="14" t="s">
        <v>1527</v>
      </c>
      <c r="U31" s="14">
        <v>3</v>
      </c>
      <c r="V31" s="42">
        <v>2480011</v>
      </c>
      <c r="W31" s="42">
        <v>0</v>
      </c>
      <c r="X31" s="42" t="s">
        <v>1406</v>
      </c>
      <c r="Z31" s="14" t="s">
        <v>32</v>
      </c>
      <c r="AA31" s="45">
        <v>45219</v>
      </c>
      <c r="AB31" s="14">
        <v>24</v>
      </c>
      <c r="AC31" s="14">
        <v>80011</v>
      </c>
      <c r="AD31" s="14">
        <v>57</v>
      </c>
      <c r="AE31" s="14" t="s">
        <v>1551</v>
      </c>
      <c r="AF31" s="14">
        <v>57</v>
      </c>
      <c r="AG31" s="14" t="s">
        <v>1552</v>
      </c>
      <c r="AH31" s="14" t="s">
        <v>36</v>
      </c>
      <c r="AI31" s="14">
        <v>6</v>
      </c>
      <c r="AJ31" s="14">
        <v>488</v>
      </c>
      <c r="AK31" s="14" t="s">
        <v>1407</v>
      </c>
      <c r="AL31" s="14">
        <v>37011</v>
      </c>
      <c r="AM31" s="14" t="s">
        <v>1418</v>
      </c>
      <c r="AN31" s="14" t="s">
        <v>1606</v>
      </c>
      <c r="AO31" s="14">
        <v>37</v>
      </c>
      <c r="AP31" s="14" t="s">
        <v>1573</v>
      </c>
      <c r="AQ31" s="14">
        <v>0</v>
      </c>
      <c r="AR31" s="14" t="s">
        <v>1410</v>
      </c>
      <c r="AT31" s="14" t="s">
        <v>1417</v>
      </c>
      <c r="AU31" s="14" t="s">
        <v>1412</v>
      </c>
    </row>
    <row r="32" spans="1:47" x14ac:dyDescent="0.45">
      <c r="A32" s="42">
        <v>2405750035</v>
      </c>
      <c r="B32" s="14">
        <v>57</v>
      </c>
      <c r="C32" s="14" t="s">
        <v>1551</v>
      </c>
      <c r="D32" s="14">
        <v>57</v>
      </c>
      <c r="E32" s="14" t="s">
        <v>1552</v>
      </c>
      <c r="F32" s="14" t="s">
        <v>188</v>
      </c>
      <c r="G32" s="14" t="s">
        <v>189</v>
      </c>
      <c r="H32" s="14">
        <v>2</v>
      </c>
      <c r="I32" s="14" t="s">
        <v>190</v>
      </c>
      <c r="J32" s="14" t="s">
        <v>1403</v>
      </c>
      <c r="K32" s="14">
        <v>2024</v>
      </c>
      <c r="L32" s="42">
        <v>2024</v>
      </c>
      <c r="M32" s="43">
        <v>45173</v>
      </c>
      <c r="N32" s="14" t="s">
        <v>36</v>
      </c>
      <c r="O32" s="14" t="s">
        <v>94</v>
      </c>
      <c r="P32" s="14">
        <v>490</v>
      </c>
      <c r="Q32" s="14" t="s">
        <v>1508</v>
      </c>
      <c r="R32" s="14">
        <v>2</v>
      </c>
      <c r="S32" s="14">
        <v>8</v>
      </c>
      <c r="T32" s="14" t="s">
        <v>1503</v>
      </c>
      <c r="U32" s="14">
        <v>6</v>
      </c>
      <c r="V32" s="42">
        <v>2480012</v>
      </c>
      <c r="W32" s="42">
        <v>0</v>
      </c>
      <c r="X32" s="42" t="s">
        <v>1406</v>
      </c>
      <c r="Z32" s="14" t="s">
        <v>32</v>
      </c>
      <c r="AA32" s="45">
        <v>45219</v>
      </c>
      <c r="AB32" s="14">
        <v>24</v>
      </c>
      <c r="AC32" s="14">
        <v>80012</v>
      </c>
      <c r="AD32" s="14">
        <v>57</v>
      </c>
      <c r="AE32" s="14" t="s">
        <v>1551</v>
      </c>
      <c r="AF32" s="14">
        <v>57</v>
      </c>
      <c r="AG32" s="14" t="s">
        <v>1552</v>
      </c>
      <c r="AH32" s="14" t="s">
        <v>36</v>
      </c>
      <c r="AI32" s="14" t="s">
        <v>94</v>
      </c>
      <c r="AJ32" s="14">
        <v>490</v>
      </c>
      <c r="AK32" s="14" t="s">
        <v>1407</v>
      </c>
      <c r="AL32" s="14">
        <v>28200</v>
      </c>
      <c r="AM32" s="14" t="s">
        <v>1418</v>
      </c>
      <c r="AN32" s="14" t="s">
        <v>1520</v>
      </c>
      <c r="AO32" s="14">
        <v>28</v>
      </c>
      <c r="AP32" s="14" t="s">
        <v>1416</v>
      </c>
      <c r="AQ32" s="14">
        <v>0</v>
      </c>
      <c r="AR32" s="14" t="s">
        <v>1410</v>
      </c>
      <c r="AT32" s="14" t="s">
        <v>1417</v>
      </c>
      <c r="AU32" s="14" t="s">
        <v>1412</v>
      </c>
    </row>
    <row r="33" spans="1:47" x14ac:dyDescent="0.45">
      <c r="A33" s="42">
        <v>2405750103</v>
      </c>
      <c r="B33" s="14">
        <v>57</v>
      </c>
      <c r="C33" s="14" t="s">
        <v>1551</v>
      </c>
      <c r="D33" s="14">
        <v>57</v>
      </c>
      <c r="E33" s="14" t="s">
        <v>1552</v>
      </c>
      <c r="F33" s="14" t="s">
        <v>430</v>
      </c>
      <c r="G33" s="14" t="s">
        <v>431</v>
      </c>
      <c r="H33" s="14">
        <v>2</v>
      </c>
      <c r="I33" s="14" t="s">
        <v>432</v>
      </c>
      <c r="J33" s="14" t="s">
        <v>1403</v>
      </c>
      <c r="K33" s="14">
        <v>2024</v>
      </c>
      <c r="L33" s="42">
        <v>2024</v>
      </c>
      <c r="M33" s="43">
        <v>45173</v>
      </c>
      <c r="N33" s="14" t="s">
        <v>36</v>
      </c>
      <c r="O33" s="14">
        <v>57</v>
      </c>
      <c r="P33" s="14">
        <v>1044</v>
      </c>
      <c r="Q33" s="14" t="s">
        <v>1476</v>
      </c>
      <c r="R33" s="14">
        <v>2</v>
      </c>
      <c r="S33" s="14">
        <v>3</v>
      </c>
      <c r="T33" s="14" t="s">
        <v>1477</v>
      </c>
      <c r="U33" s="14">
        <v>4</v>
      </c>
      <c r="V33" s="42">
        <v>2480013</v>
      </c>
      <c r="W33" s="42">
        <v>0</v>
      </c>
      <c r="X33" s="42" t="s">
        <v>1406</v>
      </c>
      <c r="Z33" s="14" t="s">
        <v>32</v>
      </c>
      <c r="AA33" s="45">
        <v>45219</v>
      </c>
      <c r="AB33" s="14">
        <v>24</v>
      </c>
      <c r="AC33" s="14">
        <v>80013</v>
      </c>
      <c r="AD33" s="14">
        <v>57</v>
      </c>
      <c r="AE33" s="14" t="s">
        <v>1551</v>
      </c>
      <c r="AF33" s="14">
        <v>57</v>
      </c>
      <c r="AG33" s="14" t="s">
        <v>1552</v>
      </c>
      <c r="AH33" s="14" t="s">
        <v>36</v>
      </c>
      <c r="AI33" s="14">
        <v>57</v>
      </c>
      <c r="AJ33" s="14">
        <v>1044</v>
      </c>
      <c r="AK33" s="14" t="s">
        <v>1407</v>
      </c>
      <c r="AL33" s="14">
        <v>28017</v>
      </c>
      <c r="AM33" s="14" t="s">
        <v>1421</v>
      </c>
      <c r="AN33" s="14" t="s">
        <v>1536</v>
      </c>
      <c r="AO33" s="14">
        <v>28</v>
      </c>
      <c r="AP33" s="14" t="s">
        <v>1416</v>
      </c>
      <c r="AQ33" s="14">
        <v>0</v>
      </c>
      <c r="AR33" s="14" t="s">
        <v>1410</v>
      </c>
      <c r="AT33" s="14" t="s">
        <v>1417</v>
      </c>
      <c r="AU33" s="14" t="s">
        <v>1412</v>
      </c>
    </row>
    <row r="34" spans="1:47" x14ac:dyDescent="0.45">
      <c r="A34" s="42">
        <v>2405750005</v>
      </c>
      <c r="B34" s="14">
        <v>57</v>
      </c>
      <c r="C34" s="14" t="s">
        <v>1551</v>
      </c>
      <c r="D34" s="14">
        <v>57</v>
      </c>
      <c r="E34" s="14" t="s">
        <v>1552</v>
      </c>
      <c r="F34" s="14" t="s">
        <v>59</v>
      </c>
      <c r="G34" s="14" t="s">
        <v>60</v>
      </c>
      <c r="H34" s="14">
        <v>1</v>
      </c>
      <c r="I34" s="14" t="s">
        <v>61</v>
      </c>
      <c r="J34" s="14" t="s">
        <v>1403</v>
      </c>
      <c r="K34" s="14">
        <v>2024</v>
      </c>
      <c r="L34" s="42">
        <v>2024</v>
      </c>
      <c r="M34" s="43">
        <v>45173</v>
      </c>
      <c r="N34" s="14" t="s">
        <v>36</v>
      </c>
      <c r="O34" s="14">
        <v>58</v>
      </c>
      <c r="P34" s="14">
        <v>968</v>
      </c>
      <c r="Q34" s="14" t="s">
        <v>1474</v>
      </c>
      <c r="R34" s="14">
        <v>2</v>
      </c>
      <c r="S34" s="14">
        <v>2</v>
      </c>
      <c r="T34" s="14" t="s">
        <v>1464</v>
      </c>
      <c r="U34" s="14">
        <v>1</v>
      </c>
      <c r="V34" s="42">
        <v>2480001</v>
      </c>
      <c r="W34" s="42">
        <v>0</v>
      </c>
      <c r="X34" s="42" t="s">
        <v>1406</v>
      </c>
      <c r="Y34" s="111"/>
      <c r="Z34" s="14" t="s">
        <v>32</v>
      </c>
      <c r="AA34" s="45">
        <v>45218</v>
      </c>
      <c r="AB34" s="14">
        <v>24</v>
      </c>
      <c r="AC34" s="14">
        <v>80001</v>
      </c>
      <c r="AD34" s="14">
        <v>57</v>
      </c>
      <c r="AE34" s="14" t="s">
        <v>1551</v>
      </c>
      <c r="AF34" s="14">
        <v>57</v>
      </c>
      <c r="AG34" s="14" t="s">
        <v>1552</v>
      </c>
      <c r="AH34" s="14" t="s">
        <v>36</v>
      </c>
      <c r="AI34" s="14">
        <v>58</v>
      </c>
      <c r="AJ34" s="14">
        <v>968</v>
      </c>
      <c r="AK34" s="14" t="s">
        <v>1407</v>
      </c>
      <c r="AL34" s="14">
        <v>28282</v>
      </c>
      <c r="AM34" s="14" t="s">
        <v>1414</v>
      </c>
      <c r="AN34" s="14" t="s">
        <v>1572</v>
      </c>
      <c r="AO34" s="14">
        <v>28</v>
      </c>
      <c r="AP34" s="14" t="s">
        <v>1416</v>
      </c>
      <c r="AQ34" s="14">
        <v>0</v>
      </c>
      <c r="AR34" s="14" t="s">
        <v>1410</v>
      </c>
      <c r="AT34" s="14" t="s">
        <v>1417</v>
      </c>
      <c r="AU34" s="14" t="s">
        <v>1412</v>
      </c>
    </row>
    <row r="35" spans="1:47" x14ac:dyDescent="0.45">
      <c r="A35" s="42">
        <v>2405750054</v>
      </c>
      <c r="B35" s="14">
        <v>57</v>
      </c>
      <c r="C35" s="14" t="s">
        <v>1551</v>
      </c>
      <c r="D35" s="14">
        <v>57</v>
      </c>
      <c r="E35" s="14" t="s">
        <v>1552</v>
      </c>
      <c r="F35" s="14" t="s">
        <v>257</v>
      </c>
      <c r="G35" s="14" t="s">
        <v>258</v>
      </c>
      <c r="H35" s="14">
        <v>2</v>
      </c>
      <c r="I35" s="14" t="s">
        <v>259</v>
      </c>
      <c r="J35" s="14" t="s">
        <v>1403</v>
      </c>
      <c r="K35" s="14">
        <v>2024</v>
      </c>
      <c r="L35" s="42">
        <v>2024</v>
      </c>
      <c r="M35" s="43">
        <v>45173</v>
      </c>
      <c r="N35" s="14" t="s">
        <v>36</v>
      </c>
      <c r="O35" s="14">
        <v>57</v>
      </c>
      <c r="P35" s="14">
        <v>1044</v>
      </c>
      <c r="Q35" s="14" t="s">
        <v>1476</v>
      </c>
      <c r="R35" s="14">
        <v>2</v>
      </c>
      <c r="S35" s="14">
        <v>3</v>
      </c>
      <c r="T35" s="14" t="s">
        <v>1477</v>
      </c>
      <c r="U35" s="14">
        <v>4</v>
      </c>
      <c r="V35" s="42">
        <v>2480002</v>
      </c>
      <c r="W35" s="42">
        <v>0</v>
      </c>
      <c r="X35" s="42" t="s">
        <v>1406</v>
      </c>
      <c r="Z35" s="14" t="s">
        <v>32</v>
      </c>
      <c r="AA35" s="45">
        <v>45218</v>
      </c>
      <c r="AB35" s="14">
        <v>24</v>
      </c>
      <c r="AC35" s="14">
        <v>80002</v>
      </c>
      <c r="AD35" s="14">
        <v>57</v>
      </c>
      <c r="AE35" s="14" t="s">
        <v>1551</v>
      </c>
      <c r="AF35" s="14">
        <v>57</v>
      </c>
      <c r="AG35" s="14" t="s">
        <v>1552</v>
      </c>
      <c r="AH35" s="14" t="s">
        <v>36</v>
      </c>
      <c r="AI35" s="14">
        <v>57</v>
      </c>
      <c r="AJ35" s="14">
        <v>1044</v>
      </c>
      <c r="AK35" s="14" t="s">
        <v>1407</v>
      </c>
      <c r="AL35" s="14">
        <v>28200</v>
      </c>
      <c r="AM35" s="14" t="s">
        <v>1418</v>
      </c>
      <c r="AN35" s="14" t="s">
        <v>1520</v>
      </c>
      <c r="AO35" s="14">
        <v>28</v>
      </c>
      <c r="AP35" s="14" t="s">
        <v>1416</v>
      </c>
      <c r="AQ35" s="14">
        <v>0</v>
      </c>
      <c r="AR35" s="14" t="s">
        <v>1410</v>
      </c>
      <c r="AT35" s="14" t="s">
        <v>1417</v>
      </c>
      <c r="AU35" s="14" t="s">
        <v>1412</v>
      </c>
    </row>
    <row r="36" spans="1:47" x14ac:dyDescent="0.45">
      <c r="A36" s="42">
        <v>2405750031</v>
      </c>
      <c r="B36" s="14">
        <v>57</v>
      </c>
      <c r="C36" s="14" t="s">
        <v>1551</v>
      </c>
      <c r="D36" s="14">
        <v>57</v>
      </c>
      <c r="E36" s="14" t="s">
        <v>1552</v>
      </c>
      <c r="F36" s="14" t="s">
        <v>172</v>
      </c>
      <c r="G36" s="14" t="s">
        <v>173</v>
      </c>
      <c r="H36" s="14">
        <v>1</v>
      </c>
      <c r="I36" s="14" t="s">
        <v>174</v>
      </c>
      <c r="J36" s="14" t="s">
        <v>1403</v>
      </c>
      <c r="K36" s="14">
        <v>2024</v>
      </c>
      <c r="L36" s="42">
        <v>2024</v>
      </c>
      <c r="M36" s="43">
        <v>45174</v>
      </c>
      <c r="N36" s="14" t="s">
        <v>36</v>
      </c>
      <c r="O36" s="14">
        <v>58</v>
      </c>
      <c r="P36" s="14">
        <v>428</v>
      </c>
      <c r="Q36" s="14" t="s">
        <v>1463</v>
      </c>
      <c r="R36" s="14">
        <v>2</v>
      </c>
      <c r="S36" s="14">
        <v>2</v>
      </c>
      <c r="T36" s="14" t="s">
        <v>1464</v>
      </c>
      <c r="U36" s="14">
        <v>1</v>
      </c>
      <c r="V36" s="42">
        <v>2480014</v>
      </c>
      <c r="W36" s="42">
        <v>0</v>
      </c>
      <c r="X36" s="42" t="s">
        <v>1406</v>
      </c>
      <c r="Z36" s="14" t="s">
        <v>32</v>
      </c>
      <c r="AA36" s="45">
        <v>45219</v>
      </c>
      <c r="AB36" s="14">
        <v>24</v>
      </c>
      <c r="AC36" s="14">
        <v>80014</v>
      </c>
      <c r="AD36" s="14">
        <v>57</v>
      </c>
      <c r="AE36" s="14" t="s">
        <v>1551</v>
      </c>
      <c r="AF36" s="14">
        <v>57</v>
      </c>
      <c r="AG36" s="14" t="s">
        <v>1552</v>
      </c>
      <c r="AH36" s="14" t="s">
        <v>36</v>
      </c>
      <c r="AI36" s="14">
        <v>58</v>
      </c>
      <c r="AJ36" s="14">
        <v>428</v>
      </c>
      <c r="AK36" s="14" t="s">
        <v>1407</v>
      </c>
      <c r="AL36" s="14">
        <v>28032</v>
      </c>
      <c r="AM36" s="14" t="s">
        <v>1421</v>
      </c>
      <c r="AN36" s="14" t="s">
        <v>1545</v>
      </c>
      <c r="AO36" s="14">
        <v>28</v>
      </c>
      <c r="AP36" s="14" t="s">
        <v>1416</v>
      </c>
      <c r="AQ36" s="14">
        <v>0</v>
      </c>
      <c r="AR36" s="14" t="s">
        <v>1410</v>
      </c>
      <c r="AT36" s="14" t="s">
        <v>1417</v>
      </c>
      <c r="AU36" s="14" t="s">
        <v>1412</v>
      </c>
    </row>
    <row r="37" spans="1:47" x14ac:dyDescent="0.45">
      <c r="A37" s="42">
        <v>2405750022</v>
      </c>
      <c r="B37" s="14">
        <v>57</v>
      </c>
      <c r="C37" s="14" t="s">
        <v>1551</v>
      </c>
      <c r="D37" s="14">
        <v>57</v>
      </c>
      <c r="E37" s="14" t="s">
        <v>1552</v>
      </c>
      <c r="F37" s="14" t="s">
        <v>132</v>
      </c>
      <c r="G37" s="14" t="s">
        <v>133</v>
      </c>
      <c r="H37" s="14">
        <v>2</v>
      </c>
      <c r="I37" s="14" t="s">
        <v>134</v>
      </c>
      <c r="J37" s="14" t="s">
        <v>1403</v>
      </c>
      <c r="K37" s="14">
        <v>0</v>
      </c>
      <c r="L37" s="42">
        <v>2024</v>
      </c>
      <c r="M37" s="43">
        <v>45174</v>
      </c>
      <c r="N37" s="14" t="s">
        <v>36</v>
      </c>
      <c r="O37" s="14">
        <v>57</v>
      </c>
      <c r="P37" s="14">
        <v>1044</v>
      </c>
      <c r="Q37" s="14" t="s">
        <v>1476</v>
      </c>
      <c r="R37" s="14">
        <v>2</v>
      </c>
      <c r="S37" s="14">
        <v>3</v>
      </c>
      <c r="T37" s="14" t="s">
        <v>1477</v>
      </c>
      <c r="U37" s="14">
        <v>4</v>
      </c>
      <c r="V37" s="42">
        <v>2480003</v>
      </c>
      <c r="W37" s="42">
        <v>0</v>
      </c>
      <c r="X37" s="42" t="s">
        <v>1406</v>
      </c>
      <c r="Z37" s="14" t="s">
        <v>32</v>
      </c>
      <c r="AA37" s="45">
        <v>45218</v>
      </c>
      <c r="AB37" s="14">
        <v>24</v>
      </c>
      <c r="AC37" s="14">
        <v>80003</v>
      </c>
      <c r="AD37" s="14">
        <v>57</v>
      </c>
      <c r="AE37" s="14" t="s">
        <v>1551</v>
      </c>
      <c r="AF37" s="14">
        <v>57</v>
      </c>
      <c r="AG37" s="14" t="s">
        <v>1552</v>
      </c>
      <c r="AH37" s="14" t="s">
        <v>36</v>
      </c>
      <c r="AI37" s="14">
        <v>57</v>
      </c>
      <c r="AJ37" s="14">
        <v>1044</v>
      </c>
      <c r="AK37" s="14" t="s">
        <v>1407</v>
      </c>
      <c r="AL37" s="14">
        <v>28034</v>
      </c>
      <c r="AM37" s="14" t="s">
        <v>1418</v>
      </c>
      <c r="AN37" s="14" t="s">
        <v>1599</v>
      </c>
      <c r="AO37" s="14">
        <v>28</v>
      </c>
      <c r="AP37" s="14" t="s">
        <v>1416</v>
      </c>
      <c r="AQ37" s="14">
        <v>0</v>
      </c>
      <c r="AR37" s="14" t="s">
        <v>1410</v>
      </c>
      <c r="AT37" s="14" t="s">
        <v>1411</v>
      </c>
      <c r="AU37" s="14" t="s">
        <v>1412</v>
      </c>
    </row>
    <row r="38" spans="1:47" x14ac:dyDescent="0.45">
      <c r="A38" s="42">
        <v>2405750042</v>
      </c>
      <c r="B38" s="14">
        <v>57</v>
      </c>
      <c r="C38" s="14" t="s">
        <v>1551</v>
      </c>
      <c r="D38" s="14">
        <v>57</v>
      </c>
      <c r="E38" s="14" t="s">
        <v>1552</v>
      </c>
      <c r="F38" s="14" t="s">
        <v>211</v>
      </c>
      <c r="G38" s="14" t="s">
        <v>212</v>
      </c>
      <c r="H38" s="14">
        <v>2</v>
      </c>
      <c r="I38" s="14" t="s">
        <v>213</v>
      </c>
      <c r="J38" s="14" t="s">
        <v>1403</v>
      </c>
      <c r="K38" s="14">
        <v>2024</v>
      </c>
      <c r="L38" s="42">
        <v>2024</v>
      </c>
      <c r="M38" s="43">
        <v>45174</v>
      </c>
      <c r="N38" s="14" t="s">
        <v>36</v>
      </c>
      <c r="O38" s="14">
        <v>58</v>
      </c>
      <c r="P38" s="14">
        <v>290</v>
      </c>
      <c r="Q38" s="14" t="s">
        <v>1496</v>
      </c>
      <c r="R38" s="14">
        <v>2</v>
      </c>
      <c r="S38" s="14">
        <v>2</v>
      </c>
      <c r="T38" s="14" t="s">
        <v>1464</v>
      </c>
      <c r="U38" s="14">
        <v>1</v>
      </c>
      <c r="V38" s="42">
        <v>2480004</v>
      </c>
      <c r="W38" s="42">
        <v>0</v>
      </c>
      <c r="X38" s="42" t="s">
        <v>1406</v>
      </c>
      <c r="Y38" s="111"/>
      <c r="Z38" s="14" t="s">
        <v>32</v>
      </c>
      <c r="AA38" s="45">
        <v>45218</v>
      </c>
      <c r="AB38" s="14">
        <v>24</v>
      </c>
      <c r="AC38" s="14">
        <v>80004</v>
      </c>
      <c r="AD38" s="14">
        <v>57</v>
      </c>
      <c r="AE38" s="14" t="s">
        <v>1551</v>
      </c>
      <c r="AF38" s="14">
        <v>57</v>
      </c>
      <c r="AG38" s="14" t="s">
        <v>1552</v>
      </c>
      <c r="AH38" s="14" t="s">
        <v>36</v>
      </c>
      <c r="AI38" s="14">
        <v>58</v>
      </c>
      <c r="AJ38" s="14">
        <v>290</v>
      </c>
      <c r="AK38" s="14" t="s">
        <v>1407</v>
      </c>
      <c r="AL38" s="14">
        <v>28032</v>
      </c>
      <c r="AM38" s="14" t="s">
        <v>1421</v>
      </c>
      <c r="AN38" s="14" t="s">
        <v>1545</v>
      </c>
      <c r="AO38" s="14">
        <v>28</v>
      </c>
      <c r="AP38" s="14" t="s">
        <v>1416</v>
      </c>
      <c r="AQ38" s="14">
        <v>0</v>
      </c>
      <c r="AR38" s="14" t="s">
        <v>1410</v>
      </c>
      <c r="AT38" s="14" t="s">
        <v>1417</v>
      </c>
      <c r="AU38" s="14" t="s">
        <v>1412</v>
      </c>
    </row>
    <row r="39" spans="1:47" x14ac:dyDescent="0.45">
      <c r="A39" s="42">
        <v>2405750023</v>
      </c>
      <c r="B39" s="14">
        <v>57</v>
      </c>
      <c r="C39" s="14" t="s">
        <v>1551</v>
      </c>
      <c r="D39" s="14">
        <v>57</v>
      </c>
      <c r="E39" s="14" t="s">
        <v>1552</v>
      </c>
      <c r="F39" s="14" t="s">
        <v>139</v>
      </c>
      <c r="G39" s="14" t="s">
        <v>140</v>
      </c>
      <c r="H39" s="14">
        <v>1</v>
      </c>
      <c r="I39" s="14" t="s">
        <v>141</v>
      </c>
      <c r="J39" s="14" t="s">
        <v>1403</v>
      </c>
      <c r="K39" s="14">
        <v>2024</v>
      </c>
      <c r="L39" s="42">
        <v>2024</v>
      </c>
      <c r="M39" s="43">
        <v>45175</v>
      </c>
      <c r="N39" s="14" t="s">
        <v>36</v>
      </c>
      <c r="O39" s="14" t="s">
        <v>135</v>
      </c>
      <c r="P39" s="14">
        <v>502</v>
      </c>
      <c r="Q39" s="14" t="s">
        <v>1500</v>
      </c>
      <c r="R39" s="14">
        <v>2</v>
      </c>
      <c r="S39" s="14">
        <v>5</v>
      </c>
      <c r="T39" s="14" t="s">
        <v>1470</v>
      </c>
      <c r="U39" s="14">
        <v>15</v>
      </c>
      <c r="V39" s="42">
        <v>2480005</v>
      </c>
      <c r="W39" s="42">
        <v>166</v>
      </c>
      <c r="X39" s="42" t="s">
        <v>1501</v>
      </c>
      <c r="Y39" s="111"/>
      <c r="Z39" s="14" t="s">
        <v>32</v>
      </c>
      <c r="AA39" s="45">
        <v>45218</v>
      </c>
      <c r="AB39" s="14">
        <v>24</v>
      </c>
      <c r="AC39" s="14">
        <v>80005</v>
      </c>
      <c r="AD39" s="14">
        <v>57</v>
      </c>
      <c r="AE39" s="14" t="s">
        <v>1551</v>
      </c>
      <c r="AF39" s="14">
        <v>57</v>
      </c>
      <c r="AG39" s="14" t="s">
        <v>1552</v>
      </c>
      <c r="AH39" s="14" t="s">
        <v>36</v>
      </c>
      <c r="AI39" s="14" t="s">
        <v>135</v>
      </c>
      <c r="AJ39" s="14">
        <v>502</v>
      </c>
      <c r="AK39" s="14" t="s">
        <v>1407</v>
      </c>
      <c r="AL39" s="14">
        <v>28033</v>
      </c>
      <c r="AM39" s="14" t="s">
        <v>1418</v>
      </c>
      <c r="AN39" s="14" t="s">
        <v>1604</v>
      </c>
      <c r="AO39" s="14">
        <v>28</v>
      </c>
      <c r="AP39" s="14" t="s">
        <v>1416</v>
      </c>
      <c r="AQ39" s="14">
        <v>0</v>
      </c>
      <c r="AR39" s="14" t="s">
        <v>1410</v>
      </c>
      <c r="AT39" s="14" t="s">
        <v>1417</v>
      </c>
      <c r="AU39" s="14" t="s">
        <v>1412</v>
      </c>
    </row>
    <row r="40" spans="1:47" x14ac:dyDescent="0.45">
      <c r="A40" s="42">
        <v>2405750069</v>
      </c>
      <c r="B40" s="14">
        <v>57</v>
      </c>
      <c r="C40" s="14" t="s">
        <v>1551</v>
      </c>
      <c r="D40" s="14">
        <v>57</v>
      </c>
      <c r="E40" s="14" t="s">
        <v>1552</v>
      </c>
      <c r="F40" s="14" t="s">
        <v>313</v>
      </c>
      <c r="G40" s="14" t="s">
        <v>314</v>
      </c>
      <c r="H40" s="14">
        <v>1</v>
      </c>
      <c r="I40" s="14" t="s">
        <v>315</v>
      </c>
      <c r="J40" s="14" t="s">
        <v>1403</v>
      </c>
      <c r="K40" s="14">
        <v>2024</v>
      </c>
      <c r="L40" s="42">
        <v>2024</v>
      </c>
      <c r="M40" s="43">
        <v>45176</v>
      </c>
      <c r="N40" s="14" t="s">
        <v>36</v>
      </c>
      <c r="O40" s="14">
        <v>58</v>
      </c>
      <c r="P40" s="14">
        <v>428</v>
      </c>
      <c r="Q40" s="14" t="s">
        <v>1463</v>
      </c>
      <c r="R40" s="14">
        <v>2</v>
      </c>
      <c r="S40" s="14">
        <v>2</v>
      </c>
      <c r="T40" s="14" t="s">
        <v>1464</v>
      </c>
      <c r="U40" s="14">
        <v>1</v>
      </c>
      <c r="V40" s="42">
        <v>2480047</v>
      </c>
      <c r="W40" s="42">
        <v>0</v>
      </c>
      <c r="X40" s="42" t="s">
        <v>1406</v>
      </c>
      <c r="Z40" s="14" t="s">
        <v>32</v>
      </c>
      <c r="AA40" s="45">
        <v>45238</v>
      </c>
      <c r="AB40" s="14">
        <v>24</v>
      </c>
      <c r="AC40" s="14">
        <v>80047</v>
      </c>
      <c r="AD40" s="14">
        <v>57</v>
      </c>
      <c r="AE40" s="14" t="s">
        <v>1551</v>
      </c>
      <c r="AF40" s="14">
        <v>57</v>
      </c>
      <c r="AG40" s="14" t="s">
        <v>1552</v>
      </c>
      <c r="AH40" s="14" t="s">
        <v>36</v>
      </c>
      <c r="AI40" s="14">
        <v>58</v>
      </c>
      <c r="AJ40" s="14">
        <v>428</v>
      </c>
      <c r="AK40" s="14" t="s">
        <v>1407</v>
      </c>
      <c r="AL40" s="14">
        <v>28024</v>
      </c>
      <c r="AM40" s="14" t="s">
        <v>1421</v>
      </c>
      <c r="AN40" s="14" t="s">
        <v>1535</v>
      </c>
      <c r="AO40" s="14">
        <v>28</v>
      </c>
      <c r="AP40" s="14" t="s">
        <v>1416</v>
      </c>
      <c r="AQ40" s="14">
        <v>0</v>
      </c>
      <c r="AR40" s="14" t="s">
        <v>1410</v>
      </c>
      <c r="AT40" s="14" t="s">
        <v>1417</v>
      </c>
      <c r="AU40" s="14" t="s">
        <v>1412</v>
      </c>
    </row>
    <row r="41" spans="1:47" x14ac:dyDescent="0.45">
      <c r="A41" s="42">
        <v>2405750001</v>
      </c>
      <c r="B41" s="14">
        <v>57</v>
      </c>
      <c r="C41" s="14" t="s">
        <v>1551</v>
      </c>
      <c r="D41" s="14">
        <v>57</v>
      </c>
      <c r="E41" s="14" t="s">
        <v>1552</v>
      </c>
      <c r="F41" s="14" t="s">
        <v>33</v>
      </c>
      <c r="G41" s="14" t="s">
        <v>34</v>
      </c>
      <c r="H41" s="14">
        <v>2</v>
      </c>
      <c r="I41" s="14" t="s">
        <v>35</v>
      </c>
      <c r="J41" s="14" t="s">
        <v>1403</v>
      </c>
      <c r="K41" s="14">
        <v>2024</v>
      </c>
      <c r="L41" s="42">
        <v>2024</v>
      </c>
      <c r="M41" s="43">
        <v>45176</v>
      </c>
      <c r="N41" s="14" t="s">
        <v>36</v>
      </c>
      <c r="O41" s="14">
        <v>58</v>
      </c>
      <c r="P41" s="14">
        <v>859</v>
      </c>
      <c r="Q41" s="14" t="s">
        <v>1494</v>
      </c>
      <c r="R41" s="14">
        <v>2</v>
      </c>
      <c r="S41" s="14">
        <v>2</v>
      </c>
      <c r="T41" s="14" t="s">
        <v>1464</v>
      </c>
      <c r="U41" s="14">
        <v>1</v>
      </c>
      <c r="V41" s="42">
        <v>2480006</v>
      </c>
      <c r="W41" s="42">
        <v>0</v>
      </c>
      <c r="X41" s="42" t="s">
        <v>1406</v>
      </c>
      <c r="Z41" s="14" t="s">
        <v>32</v>
      </c>
      <c r="AA41" s="45">
        <v>45218</v>
      </c>
      <c r="AB41" s="14">
        <v>24</v>
      </c>
      <c r="AC41" s="14">
        <v>80006</v>
      </c>
      <c r="AD41" s="14">
        <v>57</v>
      </c>
      <c r="AE41" s="14" t="s">
        <v>1551</v>
      </c>
      <c r="AF41" s="14">
        <v>57</v>
      </c>
      <c r="AG41" s="14" t="s">
        <v>1552</v>
      </c>
      <c r="AH41" s="14" t="s">
        <v>36</v>
      </c>
      <c r="AI41" s="14">
        <v>58</v>
      </c>
      <c r="AJ41" s="14">
        <v>859</v>
      </c>
      <c r="AK41" s="14" t="s">
        <v>1407</v>
      </c>
      <c r="AL41" s="14">
        <v>28025</v>
      </c>
      <c r="AM41" s="14" t="s">
        <v>1421</v>
      </c>
      <c r="AN41" s="14" t="s">
        <v>1550</v>
      </c>
      <c r="AO41" s="14">
        <v>28</v>
      </c>
      <c r="AP41" s="14" t="s">
        <v>1416</v>
      </c>
      <c r="AQ41" s="14">
        <v>0</v>
      </c>
      <c r="AR41" s="14" t="s">
        <v>1410</v>
      </c>
      <c r="AT41" s="14" t="s">
        <v>1417</v>
      </c>
      <c r="AU41" s="14" t="s">
        <v>1412</v>
      </c>
    </row>
    <row r="42" spans="1:47" x14ac:dyDescent="0.45">
      <c r="A42" s="42">
        <v>2405750097</v>
      </c>
      <c r="B42" s="14">
        <v>57</v>
      </c>
      <c r="C42" s="14" t="s">
        <v>1551</v>
      </c>
      <c r="D42" s="14">
        <v>57</v>
      </c>
      <c r="E42" s="14" t="s">
        <v>1552</v>
      </c>
      <c r="F42" s="14" t="s">
        <v>410</v>
      </c>
      <c r="G42" s="14" t="s">
        <v>411</v>
      </c>
      <c r="H42" s="14">
        <v>1</v>
      </c>
      <c r="I42" s="14" t="s">
        <v>412</v>
      </c>
      <c r="J42" s="14" t="s">
        <v>1403</v>
      </c>
      <c r="K42" s="14">
        <v>2024</v>
      </c>
      <c r="L42" s="42">
        <v>2024</v>
      </c>
      <c r="M42" s="43">
        <v>45176</v>
      </c>
      <c r="N42" s="14" t="s">
        <v>36</v>
      </c>
      <c r="O42" s="14">
        <v>58</v>
      </c>
      <c r="P42" s="14">
        <v>260</v>
      </c>
      <c r="Q42" s="14" t="s">
        <v>1519</v>
      </c>
      <c r="R42" s="14">
        <v>2</v>
      </c>
      <c r="S42" s="14">
        <v>2</v>
      </c>
      <c r="T42" s="14" t="s">
        <v>1464</v>
      </c>
      <c r="U42" s="14">
        <v>1</v>
      </c>
      <c r="V42" s="42">
        <v>2480007</v>
      </c>
      <c r="W42" s="42">
        <v>0</v>
      </c>
      <c r="X42" s="42" t="s">
        <v>1406</v>
      </c>
      <c r="Z42" s="14" t="s">
        <v>32</v>
      </c>
      <c r="AA42" s="45">
        <v>45218</v>
      </c>
      <c r="AB42" s="14">
        <v>24</v>
      </c>
      <c r="AC42" s="14">
        <v>80007</v>
      </c>
      <c r="AD42" s="14">
        <v>57</v>
      </c>
      <c r="AE42" s="14" t="s">
        <v>1551</v>
      </c>
      <c r="AF42" s="14">
        <v>57</v>
      </c>
      <c r="AG42" s="14" t="s">
        <v>1552</v>
      </c>
      <c r="AH42" s="14" t="s">
        <v>36</v>
      </c>
      <c r="AI42" s="14">
        <v>58</v>
      </c>
      <c r="AJ42" s="14">
        <v>260</v>
      </c>
      <c r="AK42" s="14" t="s">
        <v>1407</v>
      </c>
      <c r="AL42" s="14">
        <v>28210</v>
      </c>
      <c r="AM42" s="14" t="s">
        <v>1418</v>
      </c>
      <c r="AN42" s="14" t="s">
        <v>1617</v>
      </c>
      <c r="AO42" s="14">
        <v>28</v>
      </c>
      <c r="AP42" s="14" t="s">
        <v>1416</v>
      </c>
      <c r="AQ42" s="14">
        <v>0</v>
      </c>
      <c r="AR42" s="14" t="s">
        <v>1410</v>
      </c>
      <c r="AT42" s="14" t="s">
        <v>1417</v>
      </c>
      <c r="AU42" s="14" t="s">
        <v>1412</v>
      </c>
    </row>
    <row r="43" spans="1:47" x14ac:dyDescent="0.45">
      <c r="A43" s="42">
        <v>2405750068</v>
      </c>
      <c r="B43" s="14">
        <v>57</v>
      </c>
      <c r="C43" s="14" t="s">
        <v>1551</v>
      </c>
      <c r="D43" s="14">
        <v>57</v>
      </c>
      <c r="E43" s="14" t="s">
        <v>1552</v>
      </c>
      <c r="F43" s="14" t="s">
        <v>309</v>
      </c>
      <c r="G43" s="14" t="s">
        <v>310</v>
      </c>
      <c r="H43" s="14">
        <v>2</v>
      </c>
      <c r="I43" s="14" t="s">
        <v>311</v>
      </c>
      <c r="J43" s="14" t="s">
        <v>1403</v>
      </c>
      <c r="K43" s="14">
        <v>2024</v>
      </c>
      <c r="L43" s="42">
        <v>2024</v>
      </c>
      <c r="M43" s="43">
        <v>45177</v>
      </c>
      <c r="N43" s="14" t="s">
        <v>36</v>
      </c>
      <c r="O43" s="14">
        <v>58</v>
      </c>
      <c r="P43" s="14">
        <v>856</v>
      </c>
      <c r="Q43" s="14" t="s">
        <v>1533</v>
      </c>
      <c r="R43" s="14">
        <v>2</v>
      </c>
      <c r="S43" s="14">
        <v>2</v>
      </c>
      <c r="T43" s="14" t="s">
        <v>1464</v>
      </c>
      <c r="U43" s="14">
        <v>1</v>
      </c>
      <c r="V43" s="42">
        <v>2480036</v>
      </c>
      <c r="W43" s="42">
        <v>0</v>
      </c>
      <c r="X43" s="42" t="s">
        <v>1406</v>
      </c>
      <c r="Z43" s="14" t="s">
        <v>32</v>
      </c>
      <c r="AA43" s="45">
        <v>45225</v>
      </c>
      <c r="AB43" s="14">
        <v>24</v>
      </c>
      <c r="AC43" s="14">
        <v>80036</v>
      </c>
      <c r="AD43" s="14">
        <v>57</v>
      </c>
      <c r="AE43" s="14" t="s">
        <v>1551</v>
      </c>
      <c r="AF43" s="14">
        <v>57</v>
      </c>
      <c r="AG43" s="14" t="s">
        <v>1552</v>
      </c>
      <c r="AH43" s="14" t="s">
        <v>36</v>
      </c>
      <c r="AI43" s="14">
        <v>58</v>
      </c>
      <c r="AJ43" s="14">
        <v>856</v>
      </c>
      <c r="AK43" s="14" t="s">
        <v>1473</v>
      </c>
      <c r="AL43" s="14">
        <v>28282</v>
      </c>
      <c r="AM43" s="14" t="s">
        <v>1414</v>
      </c>
      <c r="AN43" s="14" t="s">
        <v>1572</v>
      </c>
      <c r="AO43" s="14">
        <v>28</v>
      </c>
      <c r="AP43" s="14" t="s">
        <v>1416</v>
      </c>
      <c r="AQ43" s="14">
        <v>0</v>
      </c>
      <c r="AR43" s="14" t="s">
        <v>1410</v>
      </c>
      <c r="AT43" s="14" t="s">
        <v>1417</v>
      </c>
      <c r="AU43" s="14" t="s">
        <v>1412</v>
      </c>
    </row>
    <row r="44" spans="1:47" x14ac:dyDescent="0.45">
      <c r="A44" s="42">
        <v>2405750080</v>
      </c>
      <c r="B44" s="14">
        <v>57</v>
      </c>
      <c r="C44" s="14" t="s">
        <v>1551</v>
      </c>
      <c r="D44" s="14">
        <v>57</v>
      </c>
      <c r="E44" s="14" t="s">
        <v>1552</v>
      </c>
      <c r="F44" s="14" t="s">
        <v>355</v>
      </c>
      <c r="G44" s="14" t="s">
        <v>356</v>
      </c>
      <c r="H44" s="14">
        <v>2</v>
      </c>
      <c r="I44" s="14" t="s">
        <v>357</v>
      </c>
      <c r="J44" s="14" t="s">
        <v>1403</v>
      </c>
      <c r="K44" s="14">
        <v>2024</v>
      </c>
      <c r="L44" s="42">
        <v>2024</v>
      </c>
      <c r="M44" s="43">
        <v>45177</v>
      </c>
      <c r="N44" s="14" t="s">
        <v>36</v>
      </c>
      <c r="O44" s="14">
        <v>57</v>
      </c>
      <c r="P44" s="14">
        <v>646</v>
      </c>
      <c r="Q44" s="14" t="s">
        <v>1587</v>
      </c>
      <c r="R44" s="14">
        <v>2</v>
      </c>
      <c r="S44" s="14">
        <v>3</v>
      </c>
      <c r="T44" s="14" t="s">
        <v>1477</v>
      </c>
      <c r="U44" s="14">
        <v>4</v>
      </c>
      <c r="V44" s="42">
        <v>2480021</v>
      </c>
      <c r="W44" s="42">
        <v>0</v>
      </c>
      <c r="X44" s="42" t="s">
        <v>1406</v>
      </c>
      <c r="Z44" s="14" t="s">
        <v>32</v>
      </c>
      <c r="AA44" s="45">
        <v>45222</v>
      </c>
      <c r="AB44" s="14">
        <v>24</v>
      </c>
      <c r="AC44" s="14">
        <v>80021</v>
      </c>
      <c r="AD44" s="14">
        <v>57</v>
      </c>
      <c r="AE44" s="14" t="s">
        <v>1551</v>
      </c>
      <c r="AF44" s="14">
        <v>57</v>
      </c>
      <c r="AG44" s="14" t="s">
        <v>1552</v>
      </c>
      <c r="AH44" s="14" t="s">
        <v>36</v>
      </c>
      <c r="AI44" s="14">
        <v>57</v>
      </c>
      <c r="AJ44" s="14">
        <v>646</v>
      </c>
      <c r="AK44" s="14" t="s">
        <v>1407</v>
      </c>
      <c r="AL44" s="14">
        <v>36070</v>
      </c>
      <c r="AM44" s="14" t="s">
        <v>1418</v>
      </c>
      <c r="AN44" s="14" t="s">
        <v>1615</v>
      </c>
      <c r="AO44" s="14">
        <v>36</v>
      </c>
      <c r="AP44" s="14" t="s">
        <v>1603</v>
      </c>
      <c r="AQ44" s="14">
        <v>0</v>
      </c>
      <c r="AR44" s="14" t="s">
        <v>1410</v>
      </c>
      <c r="AT44" s="14" t="s">
        <v>1417</v>
      </c>
      <c r="AU44" s="14" t="s">
        <v>1412</v>
      </c>
    </row>
    <row r="45" spans="1:47" x14ac:dyDescent="0.45">
      <c r="A45" s="42">
        <v>2405750093</v>
      </c>
      <c r="B45" s="14">
        <v>57</v>
      </c>
      <c r="C45" s="14" t="s">
        <v>1551</v>
      </c>
      <c r="D45" s="14">
        <v>57</v>
      </c>
      <c r="E45" s="14" t="s">
        <v>1552</v>
      </c>
      <c r="F45" s="14" t="s">
        <v>397</v>
      </c>
      <c r="G45" s="14" t="s">
        <v>398</v>
      </c>
      <c r="H45" s="14">
        <v>2</v>
      </c>
      <c r="I45" s="14" t="s">
        <v>399</v>
      </c>
      <c r="J45" s="14" t="s">
        <v>1403</v>
      </c>
      <c r="K45" s="14">
        <v>2024</v>
      </c>
      <c r="L45" s="42">
        <v>2024</v>
      </c>
      <c r="M45" s="43">
        <v>45177</v>
      </c>
      <c r="N45" s="14" t="s">
        <v>36</v>
      </c>
      <c r="O45" s="14">
        <v>7</v>
      </c>
      <c r="P45" s="14">
        <v>266</v>
      </c>
      <c r="Q45" s="14" t="s">
        <v>1526</v>
      </c>
      <c r="R45" s="14">
        <v>2</v>
      </c>
      <c r="S45" s="14">
        <v>1</v>
      </c>
      <c r="T45" s="14" t="s">
        <v>1527</v>
      </c>
      <c r="U45" s="14">
        <v>3</v>
      </c>
      <c r="V45" s="42">
        <v>2480022</v>
      </c>
      <c r="W45" s="42">
        <v>0</v>
      </c>
      <c r="X45" s="42" t="s">
        <v>1406</v>
      </c>
      <c r="Z45" s="14" t="s">
        <v>32</v>
      </c>
      <c r="AA45" s="45">
        <v>45222</v>
      </c>
      <c r="AB45" s="14">
        <v>24</v>
      </c>
      <c r="AC45" s="14">
        <v>80022</v>
      </c>
      <c r="AD45" s="14">
        <v>57</v>
      </c>
      <c r="AE45" s="14" t="s">
        <v>1551</v>
      </c>
      <c r="AF45" s="14">
        <v>57</v>
      </c>
      <c r="AG45" s="14" t="s">
        <v>1552</v>
      </c>
      <c r="AH45" s="14" t="s">
        <v>36</v>
      </c>
      <c r="AI45" s="14">
        <v>7</v>
      </c>
      <c r="AJ45" s="14">
        <v>266</v>
      </c>
      <c r="AK45" s="14" t="s">
        <v>1407</v>
      </c>
      <c r="AL45" s="14">
        <v>28202</v>
      </c>
      <c r="AM45" s="14" t="s">
        <v>1418</v>
      </c>
      <c r="AN45" s="14" t="s">
        <v>1554</v>
      </c>
      <c r="AO45" s="14">
        <v>28</v>
      </c>
      <c r="AP45" s="14" t="s">
        <v>1416</v>
      </c>
      <c r="AQ45" s="14">
        <v>0</v>
      </c>
      <c r="AR45" s="14" t="s">
        <v>1410</v>
      </c>
      <c r="AT45" s="14" t="s">
        <v>1417</v>
      </c>
      <c r="AU45" s="14" t="s">
        <v>1412</v>
      </c>
    </row>
    <row r="46" spans="1:47" x14ac:dyDescent="0.45">
      <c r="A46" s="42">
        <v>2405750096</v>
      </c>
      <c r="B46" s="14">
        <v>57</v>
      </c>
      <c r="C46" s="14" t="s">
        <v>1551</v>
      </c>
      <c r="D46" s="14">
        <v>57</v>
      </c>
      <c r="E46" s="14" t="s">
        <v>1552</v>
      </c>
      <c r="F46" s="14" t="s">
        <v>406</v>
      </c>
      <c r="G46" s="14" t="s">
        <v>407</v>
      </c>
      <c r="H46" s="14">
        <v>2</v>
      </c>
      <c r="I46" s="14" t="s">
        <v>408</v>
      </c>
      <c r="J46" s="14" t="s">
        <v>1403</v>
      </c>
      <c r="K46" s="14">
        <v>2024</v>
      </c>
      <c r="L46" s="42">
        <v>2024</v>
      </c>
      <c r="M46" s="43">
        <v>45177</v>
      </c>
      <c r="N46" s="14" t="s">
        <v>36</v>
      </c>
      <c r="O46" s="14" t="s">
        <v>94</v>
      </c>
      <c r="P46" s="14">
        <v>121</v>
      </c>
      <c r="Q46" s="14" t="s">
        <v>1502</v>
      </c>
      <c r="R46" s="14">
        <v>2</v>
      </c>
      <c r="S46" s="14">
        <v>8</v>
      </c>
      <c r="T46" s="14" t="s">
        <v>1503</v>
      </c>
      <c r="U46" s="14">
        <v>6</v>
      </c>
      <c r="V46" s="42">
        <v>2480015</v>
      </c>
      <c r="W46" s="42">
        <v>0</v>
      </c>
      <c r="X46" s="42" t="s">
        <v>1406</v>
      </c>
      <c r="Z46" s="14" t="s">
        <v>32</v>
      </c>
      <c r="AA46" s="45">
        <v>45219</v>
      </c>
      <c r="AB46" s="14">
        <v>24</v>
      </c>
      <c r="AC46" s="14">
        <v>80015</v>
      </c>
      <c r="AD46" s="14">
        <v>57</v>
      </c>
      <c r="AE46" s="14" t="s">
        <v>1551</v>
      </c>
      <c r="AF46" s="14">
        <v>57</v>
      </c>
      <c r="AG46" s="14" t="s">
        <v>1552</v>
      </c>
      <c r="AH46" s="14" t="s">
        <v>36</v>
      </c>
      <c r="AI46" s="14" t="s">
        <v>94</v>
      </c>
      <c r="AJ46" s="14">
        <v>121</v>
      </c>
      <c r="AK46" s="14" t="s">
        <v>1407</v>
      </c>
      <c r="AL46" s="14">
        <v>28282</v>
      </c>
      <c r="AM46" s="14" t="s">
        <v>1414</v>
      </c>
      <c r="AN46" s="14" t="s">
        <v>1572</v>
      </c>
      <c r="AO46" s="14">
        <v>28</v>
      </c>
      <c r="AP46" s="14" t="s">
        <v>1416</v>
      </c>
      <c r="AQ46" s="14">
        <v>0</v>
      </c>
      <c r="AR46" s="14" t="s">
        <v>1410</v>
      </c>
      <c r="AT46" s="14" t="s">
        <v>1417</v>
      </c>
      <c r="AU46" s="14" t="s">
        <v>1412</v>
      </c>
    </row>
    <row r="47" spans="1:47" x14ac:dyDescent="0.45">
      <c r="A47" s="42">
        <v>2405750125</v>
      </c>
      <c r="B47" s="14">
        <v>57</v>
      </c>
      <c r="C47" s="14" t="s">
        <v>1551</v>
      </c>
      <c r="D47" s="14">
        <v>57</v>
      </c>
      <c r="E47" s="14" t="s">
        <v>1552</v>
      </c>
      <c r="F47" s="14" t="s">
        <v>1145</v>
      </c>
      <c r="G47" s="14" t="s">
        <v>1146</v>
      </c>
      <c r="H47" s="14">
        <v>1</v>
      </c>
      <c r="I47" s="14" t="s">
        <v>1147</v>
      </c>
      <c r="J47" s="14" t="s">
        <v>1403</v>
      </c>
      <c r="K47" s="14">
        <v>2024</v>
      </c>
      <c r="L47" s="42">
        <v>2024</v>
      </c>
      <c r="M47" s="43">
        <v>45180</v>
      </c>
      <c r="N47" s="14" t="s">
        <v>36</v>
      </c>
      <c r="O47" s="14">
        <v>58</v>
      </c>
      <c r="P47" s="14">
        <v>428</v>
      </c>
      <c r="Q47" s="14" t="s">
        <v>1463</v>
      </c>
      <c r="R47" s="14">
        <v>2</v>
      </c>
      <c r="S47" s="14">
        <v>2</v>
      </c>
      <c r="T47" s="14" t="s">
        <v>1464</v>
      </c>
      <c r="U47" s="14">
        <v>1</v>
      </c>
      <c r="V47" s="42">
        <v>2480197</v>
      </c>
      <c r="W47" s="42">
        <v>0</v>
      </c>
      <c r="X47" s="42" t="s">
        <v>1406</v>
      </c>
      <c r="Y47" s="111"/>
      <c r="Z47" s="14" t="s">
        <v>32</v>
      </c>
      <c r="AA47" s="45">
        <v>45379</v>
      </c>
      <c r="AB47" s="14">
        <v>24</v>
      </c>
      <c r="AC47" s="14">
        <v>80197</v>
      </c>
      <c r="AD47" s="14">
        <v>57</v>
      </c>
      <c r="AE47" s="14" t="s">
        <v>1551</v>
      </c>
      <c r="AF47" s="14">
        <v>57</v>
      </c>
      <c r="AG47" s="14" t="s">
        <v>1552</v>
      </c>
      <c r="AH47" s="14" t="s">
        <v>36</v>
      </c>
      <c r="AI47" s="14">
        <v>58</v>
      </c>
      <c r="AJ47" s="14">
        <v>427</v>
      </c>
      <c r="AK47" s="14" t="s">
        <v>1473</v>
      </c>
      <c r="AL47" s="14">
        <v>28203</v>
      </c>
      <c r="AM47" s="14" t="s">
        <v>1418</v>
      </c>
      <c r="AN47" s="14" t="s">
        <v>1619</v>
      </c>
      <c r="AO47" s="14">
        <v>28</v>
      </c>
      <c r="AP47" s="14" t="s">
        <v>1416</v>
      </c>
      <c r="AQ47" s="14">
        <v>0</v>
      </c>
      <c r="AR47" s="14" t="s">
        <v>1410</v>
      </c>
      <c r="AT47" s="14" t="s">
        <v>1417</v>
      </c>
      <c r="AU47" s="14" t="s">
        <v>1412</v>
      </c>
    </row>
    <row r="48" spans="1:47" x14ac:dyDescent="0.45">
      <c r="A48" s="42">
        <v>2405750044</v>
      </c>
      <c r="B48" s="14">
        <v>57</v>
      </c>
      <c r="C48" s="14" t="s">
        <v>1551</v>
      </c>
      <c r="D48" s="14">
        <v>57</v>
      </c>
      <c r="E48" s="14" t="s">
        <v>1552</v>
      </c>
      <c r="F48" s="14" t="s">
        <v>218</v>
      </c>
      <c r="G48" s="14" t="s">
        <v>219</v>
      </c>
      <c r="H48" s="14">
        <v>1</v>
      </c>
      <c r="I48" s="14" t="s">
        <v>220</v>
      </c>
      <c r="J48" s="14" t="s">
        <v>1403</v>
      </c>
      <c r="K48" s="14">
        <v>2024</v>
      </c>
      <c r="L48" s="42">
        <v>2024</v>
      </c>
      <c r="M48" s="43">
        <v>45180</v>
      </c>
      <c r="N48" s="14" t="s">
        <v>36</v>
      </c>
      <c r="O48" s="14" t="s">
        <v>94</v>
      </c>
      <c r="P48" s="14">
        <v>121</v>
      </c>
      <c r="Q48" s="14" t="s">
        <v>1502</v>
      </c>
      <c r="R48" s="14">
        <v>2</v>
      </c>
      <c r="S48" s="14">
        <v>8</v>
      </c>
      <c r="T48" s="14" t="s">
        <v>1503</v>
      </c>
      <c r="U48" s="14">
        <v>6</v>
      </c>
      <c r="V48" s="42">
        <v>2480117</v>
      </c>
      <c r="W48" s="42">
        <v>0</v>
      </c>
      <c r="X48" s="42" t="s">
        <v>1406</v>
      </c>
      <c r="Y48" s="59"/>
      <c r="Z48" s="14" t="s">
        <v>32</v>
      </c>
      <c r="AA48" s="45">
        <v>45315</v>
      </c>
      <c r="AB48" s="14">
        <v>24</v>
      </c>
      <c r="AC48" s="14">
        <v>80117</v>
      </c>
      <c r="AD48" s="14">
        <v>57</v>
      </c>
      <c r="AE48" s="14" t="s">
        <v>1551</v>
      </c>
      <c r="AF48" s="14">
        <v>57</v>
      </c>
      <c r="AG48" s="14" t="s">
        <v>1552</v>
      </c>
      <c r="AH48" s="14" t="s">
        <v>36</v>
      </c>
      <c r="AI48" s="14" t="s">
        <v>94</v>
      </c>
      <c r="AJ48" s="14">
        <v>121</v>
      </c>
      <c r="AK48" s="14" t="s">
        <v>1407</v>
      </c>
      <c r="AL48" s="14">
        <v>28231</v>
      </c>
      <c r="AM48" s="14" t="s">
        <v>1418</v>
      </c>
      <c r="AN48" s="14" t="s">
        <v>1517</v>
      </c>
      <c r="AO48" s="14">
        <v>28</v>
      </c>
      <c r="AP48" s="14" t="s">
        <v>1416</v>
      </c>
      <c r="AQ48" s="14">
        <v>0</v>
      </c>
      <c r="AR48" s="14" t="s">
        <v>1410</v>
      </c>
      <c r="AT48" s="14" t="s">
        <v>1417</v>
      </c>
      <c r="AU48" s="14" t="s">
        <v>1412</v>
      </c>
    </row>
    <row r="49" spans="1:47" x14ac:dyDescent="0.45">
      <c r="A49" s="42">
        <v>2405750014</v>
      </c>
      <c r="B49" s="14">
        <v>57</v>
      </c>
      <c r="C49" s="14" t="s">
        <v>1551</v>
      </c>
      <c r="D49" s="14">
        <v>57</v>
      </c>
      <c r="E49" s="14" t="s">
        <v>1552</v>
      </c>
      <c r="F49" s="14" t="s">
        <v>102</v>
      </c>
      <c r="G49" s="14" t="s">
        <v>103</v>
      </c>
      <c r="H49" s="14">
        <v>1</v>
      </c>
      <c r="I49" s="14" t="s">
        <v>104</v>
      </c>
      <c r="J49" s="14" t="s">
        <v>1403</v>
      </c>
      <c r="K49" s="14">
        <v>2024</v>
      </c>
      <c r="L49" s="42">
        <v>2024</v>
      </c>
      <c r="M49" s="43">
        <v>45180</v>
      </c>
      <c r="N49" s="14" t="s">
        <v>36</v>
      </c>
      <c r="O49" s="14">
        <v>58</v>
      </c>
      <c r="P49" s="14">
        <v>968</v>
      </c>
      <c r="Q49" s="14" t="s">
        <v>1474</v>
      </c>
      <c r="R49" s="14">
        <v>2</v>
      </c>
      <c r="S49" s="14">
        <v>2</v>
      </c>
      <c r="T49" s="14" t="s">
        <v>1464</v>
      </c>
      <c r="U49" s="14">
        <v>1</v>
      </c>
      <c r="V49" s="42">
        <v>2480053</v>
      </c>
      <c r="W49" s="42">
        <v>0</v>
      </c>
      <c r="X49" s="42" t="s">
        <v>1406</v>
      </c>
      <c r="Y49" s="59"/>
      <c r="Z49" s="14" t="s">
        <v>32</v>
      </c>
      <c r="AA49" s="45">
        <v>45243</v>
      </c>
      <c r="AB49" s="14">
        <v>24</v>
      </c>
      <c r="AC49" s="14">
        <v>80053</v>
      </c>
      <c r="AD49" s="14">
        <v>57</v>
      </c>
      <c r="AE49" s="14" t="s">
        <v>1551</v>
      </c>
      <c r="AF49" s="14">
        <v>57</v>
      </c>
      <c r="AG49" s="14" t="s">
        <v>1552</v>
      </c>
      <c r="AH49" s="14" t="s">
        <v>36</v>
      </c>
      <c r="AI49" s="14">
        <v>58</v>
      </c>
      <c r="AJ49" s="14">
        <v>968</v>
      </c>
      <c r="AK49" s="14" t="s">
        <v>1407</v>
      </c>
      <c r="AL49" s="14">
        <v>28012</v>
      </c>
      <c r="AM49" s="14" t="s">
        <v>1421</v>
      </c>
      <c r="AN49" s="14" t="s">
        <v>1600</v>
      </c>
      <c r="AO49" s="14">
        <v>28</v>
      </c>
      <c r="AP49" s="14" t="s">
        <v>1416</v>
      </c>
      <c r="AQ49" s="14">
        <v>0</v>
      </c>
      <c r="AR49" s="14" t="s">
        <v>1410</v>
      </c>
      <c r="AT49" s="14" t="s">
        <v>1417</v>
      </c>
      <c r="AU49" s="14" t="s">
        <v>1412</v>
      </c>
    </row>
    <row r="50" spans="1:47" x14ac:dyDescent="0.45">
      <c r="A50" s="42">
        <v>2413150128</v>
      </c>
      <c r="B50" s="14">
        <v>131</v>
      </c>
      <c r="C50" s="14" t="s">
        <v>1462</v>
      </c>
      <c r="D50" s="14">
        <v>130</v>
      </c>
      <c r="E50" s="14" t="s">
        <v>1402</v>
      </c>
      <c r="F50" s="14" t="s">
        <v>1100</v>
      </c>
      <c r="G50" s="14" t="s">
        <v>1101</v>
      </c>
      <c r="H50" s="14">
        <v>2</v>
      </c>
      <c r="I50" s="14" t="s">
        <v>862</v>
      </c>
      <c r="J50" s="14" t="s">
        <v>1403</v>
      </c>
      <c r="K50" s="14">
        <v>2024</v>
      </c>
      <c r="L50" s="42">
        <v>2024</v>
      </c>
      <c r="M50" s="43">
        <v>45215</v>
      </c>
      <c r="N50" s="14" t="s">
        <v>36</v>
      </c>
      <c r="O50" s="14" t="s">
        <v>704</v>
      </c>
      <c r="P50" s="14">
        <v>427</v>
      </c>
      <c r="Q50" s="14" t="s">
        <v>1479</v>
      </c>
      <c r="R50" s="14">
        <v>2</v>
      </c>
      <c r="S50" s="14">
        <v>2</v>
      </c>
      <c r="T50" s="14" t="s">
        <v>1464</v>
      </c>
      <c r="U50" s="14">
        <v>1</v>
      </c>
      <c r="V50" s="42">
        <v>2422591</v>
      </c>
      <c r="W50" s="42">
        <v>0</v>
      </c>
      <c r="X50" s="42" t="s">
        <v>1406</v>
      </c>
      <c r="Z50" s="14" t="s">
        <v>32</v>
      </c>
      <c r="AA50" s="45">
        <v>45356</v>
      </c>
      <c r="AB50" s="14">
        <v>24</v>
      </c>
      <c r="AC50" s="14">
        <v>22591</v>
      </c>
      <c r="AD50" s="14">
        <v>131</v>
      </c>
      <c r="AE50" s="14" t="s">
        <v>1462</v>
      </c>
      <c r="AF50" s="14">
        <v>130</v>
      </c>
      <c r="AG50" s="14" t="s">
        <v>1402</v>
      </c>
      <c r="AH50" s="14" t="s">
        <v>36</v>
      </c>
      <c r="AI50" s="14" t="s">
        <v>704</v>
      </c>
      <c r="AJ50" s="14">
        <v>427</v>
      </c>
      <c r="AK50" s="14" t="s">
        <v>1407</v>
      </c>
      <c r="AL50" s="14">
        <v>28173</v>
      </c>
      <c r="AM50" s="14" t="s">
        <v>1418</v>
      </c>
      <c r="AN50" s="14" t="s">
        <v>1456</v>
      </c>
      <c r="AO50" s="14">
        <v>28</v>
      </c>
      <c r="AP50" s="14" t="s">
        <v>1416</v>
      </c>
      <c r="AQ50" s="14">
        <v>0</v>
      </c>
      <c r="AR50" s="14" t="s">
        <v>1410</v>
      </c>
      <c r="AT50" s="14" t="s">
        <v>1417</v>
      </c>
      <c r="AU50" s="14" t="s">
        <v>1412</v>
      </c>
    </row>
    <row r="51" spans="1:47" x14ac:dyDescent="0.45">
      <c r="A51" s="42">
        <v>2413150002</v>
      </c>
      <c r="B51" s="14">
        <v>131</v>
      </c>
      <c r="C51" s="14" t="s">
        <v>1462</v>
      </c>
      <c r="D51" s="14">
        <v>130</v>
      </c>
      <c r="E51" s="14" t="s">
        <v>1402</v>
      </c>
      <c r="F51" s="14" t="s">
        <v>705</v>
      </c>
      <c r="G51" s="14" t="s">
        <v>706</v>
      </c>
      <c r="H51" s="14">
        <v>1</v>
      </c>
      <c r="I51" s="14" t="s">
        <v>707</v>
      </c>
      <c r="J51" s="14" t="s">
        <v>1403</v>
      </c>
      <c r="K51" s="14">
        <v>2024</v>
      </c>
      <c r="L51" s="42">
        <v>2024</v>
      </c>
      <c r="M51" s="43">
        <v>45180</v>
      </c>
      <c r="N51" s="14" t="s">
        <v>36</v>
      </c>
      <c r="O51" s="14" t="s">
        <v>704</v>
      </c>
      <c r="P51" s="14">
        <v>852</v>
      </c>
      <c r="Q51" s="14" t="s">
        <v>1472</v>
      </c>
      <c r="R51" s="14">
        <v>2</v>
      </c>
      <c r="S51" s="14">
        <v>2</v>
      </c>
      <c r="T51" s="14" t="s">
        <v>1464</v>
      </c>
      <c r="U51" s="14">
        <v>1</v>
      </c>
      <c r="V51" s="42">
        <v>2422590</v>
      </c>
      <c r="W51" s="42">
        <v>0</v>
      </c>
      <c r="X51" s="42" t="s">
        <v>1406</v>
      </c>
      <c r="Z51" s="14" t="s">
        <v>32</v>
      </c>
      <c r="AA51" s="45">
        <v>45356</v>
      </c>
      <c r="AB51" s="14">
        <v>24</v>
      </c>
      <c r="AC51" s="14">
        <v>22590</v>
      </c>
      <c r="AD51" s="14">
        <v>131</v>
      </c>
      <c r="AE51" s="14" t="s">
        <v>1462</v>
      </c>
      <c r="AF51" s="14">
        <v>130</v>
      </c>
      <c r="AG51" s="14" t="s">
        <v>1402</v>
      </c>
      <c r="AH51" s="14" t="s">
        <v>36</v>
      </c>
      <c r="AI51" s="14" t="s">
        <v>704</v>
      </c>
      <c r="AJ51" s="14">
        <v>852</v>
      </c>
      <c r="AK51" s="14" t="s">
        <v>1407</v>
      </c>
      <c r="AL51" s="14">
        <v>28094</v>
      </c>
      <c r="AM51" s="14" t="s">
        <v>1421</v>
      </c>
      <c r="AN51" s="14" t="s">
        <v>1437</v>
      </c>
      <c r="AO51" s="14">
        <v>28</v>
      </c>
      <c r="AP51" s="14" t="s">
        <v>1416</v>
      </c>
      <c r="AQ51" s="14">
        <v>0</v>
      </c>
      <c r="AR51" s="14" t="s">
        <v>1410</v>
      </c>
      <c r="AT51" s="14" t="s">
        <v>1417</v>
      </c>
      <c r="AU51" s="14" t="s">
        <v>1412</v>
      </c>
    </row>
    <row r="52" spans="1:47" x14ac:dyDescent="0.45">
      <c r="A52" s="42">
        <v>2405750026</v>
      </c>
      <c r="B52" s="14">
        <v>57</v>
      </c>
      <c r="C52" s="14" t="s">
        <v>1551</v>
      </c>
      <c r="D52" s="14">
        <v>57</v>
      </c>
      <c r="E52" s="14" t="s">
        <v>1552</v>
      </c>
      <c r="F52" s="14" t="s">
        <v>152</v>
      </c>
      <c r="G52" s="14" t="s">
        <v>153</v>
      </c>
      <c r="H52" s="14">
        <v>2</v>
      </c>
      <c r="I52" s="14" t="s">
        <v>154</v>
      </c>
      <c r="J52" s="14" t="s">
        <v>1403</v>
      </c>
      <c r="K52" s="14">
        <v>2024</v>
      </c>
      <c r="L52" s="42">
        <v>2024</v>
      </c>
      <c r="M52" s="43">
        <v>45180</v>
      </c>
      <c r="N52" s="14" t="s">
        <v>36</v>
      </c>
      <c r="O52" s="14" t="s">
        <v>135</v>
      </c>
      <c r="P52" s="14">
        <v>504</v>
      </c>
      <c r="Q52" s="14" t="s">
        <v>1509</v>
      </c>
      <c r="R52" s="14">
        <v>2</v>
      </c>
      <c r="S52" s="14">
        <v>5</v>
      </c>
      <c r="T52" s="14" t="s">
        <v>1470</v>
      </c>
      <c r="U52" s="14">
        <v>15</v>
      </c>
      <c r="V52" s="42">
        <v>2480043</v>
      </c>
      <c r="W52" s="42">
        <v>0</v>
      </c>
      <c r="X52" s="42" t="s">
        <v>1406</v>
      </c>
      <c r="Y52" s="59"/>
      <c r="Z52" s="14" t="s">
        <v>32</v>
      </c>
      <c r="AA52" s="45">
        <v>45236</v>
      </c>
      <c r="AB52" s="14">
        <v>24</v>
      </c>
      <c r="AC52" s="14">
        <v>80043</v>
      </c>
      <c r="AD52" s="14">
        <v>57</v>
      </c>
      <c r="AE52" s="14" t="s">
        <v>1551</v>
      </c>
      <c r="AF52" s="14">
        <v>57</v>
      </c>
      <c r="AG52" s="14" t="s">
        <v>1552</v>
      </c>
      <c r="AH52" s="14" t="s">
        <v>36</v>
      </c>
      <c r="AI52" s="14" t="s">
        <v>135</v>
      </c>
      <c r="AJ52" s="14">
        <v>504</v>
      </c>
      <c r="AK52" s="14" t="s">
        <v>1407</v>
      </c>
      <c r="AL52" s="14">
        <v>28025</v>
      </c>
      <c r="AM52" s="14" t="s">
        <v>1421</v>
      </c>
      <c r="AN52" s="14" t="s">
        <v>1550</v>
      </c>
      <c r="AO52" s="14">
        <v>28</v>
      </c>
      <c r="AP52" s="14" t="s">
        <v>1416</v>
      </c>
      <c r="AQ52" s="14">
        <v>0</v>
      </c>
      <c r="AR52" s="14" t="s">
        <v>1410</v>
      </c>
      <c r="AT52" s="14" t="s">
        <v>1417</v>
      </c>
      <c r="AU52" s="14" t="s">
        <v>1412</v>
      </c>
    </row>
    <row r="53" spans="1:47" x14ac:dyDescent="0.45">
      <c r="A53" s="42">
        <v>2405750055</v>
      </c>
      <c r="B53" s="14">
        <v>57</v>
      </c>
      <c r="C53" s="14" t="s">
        <v>1551</v>
      </c>
      <c r="D53" s="14">
        <v>57</v>
      </c>
      <c r="E53" s="14" t="s">
        <v>1552</v>
      </c>
      <c r="F53" s="14" t="s">
        <v>260</v>
      </c>
      <c r="G53" s="14" t="s">
        <v>261</v>
      </c>
      <c r="H53" s="14">
        <v>1</v>
      </c>
      <c r="I53" s="14" t="s">
        <v>144</v>
      </c>
      <c r="J53" s="14" t="s">
        <v>1403</v>
      </c>
      <c r="K53" s="14">
        <v>2024</v>
      </c>
      <c r="L53" s="42">
        <v>2024</v>
      </c>
      <c r="M53" s="43">
        <v>45180</v>
      </c>
      <c r="N53" s="14" t="s">
        <v>36</v>
      </c>
      <c r="O53" s="14" t="s">
        <v>135</v>
      </c>
      <c r="P53" s="14">
        <v>504</v>
      </c>
      <c r="Q53" s="14" t="s">
        <v>1509</v>
      </c>
      <c r="R53" s="14">
        <v>2</v>
      </c>
      <c r="S53" s="14">
        <v>5</v>
      </c>
      <c r="T53" s="14" t="s">
        <v>1470</v>
      </c>
      <c r="U53" s="14">
        <v>15</v>
      </c>
      <c r="V53" s="42">
        <v>2480016</v>
      </c>
      <c r="W53" s="42">
        <v>0</v>
      </c>
      <c r="X53" s="42" t="s">
        <v>1406</v>
      </c>
      <c r="Y53" s="59"/>
      <c r="Z53" s="14" t="s">
        <v>32</v>
      </c>
      <c r="AA53" s="45">
        <v>45219</v>
      </c>
      <c r="AB53" s="14">
        <v>24</v>
      </c>
      <c r="AC53" s="14">
        <v>80016</v>
      </c>
      <c r="AD53" s="14">
        <v>57</v>
      </c>
      <c r="AE53" s="14" t="s">
        <v>1551</v>
      </c>
      <c r="AF53" s="14">
        <v>57</v>
      </c>
      <c r="AG53" s="14" t="s">
        <v>1552</v>
      </c>
      <c r="AH53" s="14" t="s">
        <v>36</v>
      </c>
      <c r="AI53" s="14" t="s">
        <v>135</v>
      </c>
      <c r="AJ53" s="14">
        <v>504</v>
      </c>
      <c r="AK53" s="14" t="s">
        <v>1407</v>
      </c>
      <c r="AL53" s="14">
        <v>28185</v>
      </c>
      <c r="AM53" s="14" t="s">
        <v>1418</v>
      </c>
      <c r="AN53" s="14" t="s">
        <v>1438</v>
      </c>
      <c r="AO53" s="14">
        <v>28</v>
      </c>
      <c r="AP53" s="14" t="s">
        <v>1416</v>
      </c>
      <c r="AQ53" s="14">
        <v>0</v>
      </c>
      <c r="AR53" s="14" t="s">
        <v>1410</v>
      </c>
      <c r="AT53" s="14" t="s">
        <v>1417</v>
      </c>
      <c r="AU53" s="14" t="s">
        <v>1412</v>
      </c>
    </row>
    <row r="54" spans="1:47" x14ac:dyDescent="0.45">
      <c r="A54" s="42">
        <v>2405750034</v>
      </c>
      <c r="B54" s="14">
        <v>57</v>
      </c>
      <c r="C54" s="14" t="s">
        <v>1551</v>
      </c>
      <c r="D54" s="14">
        <v>57</v>
      </c>
      <c r="E54" s="14" t="s">
        <v>1552</v>
      </c>
      <c r="F54" s="14" t="s">
        <v>183</v>
      </c>
      <c r="G54" s="14" t="s">
        <v>184</v>
      </c>
      <c r="H54" s="14">
        <v>2</v>
      </c>
      <c r="I54" s="14" t="s">
        <v>185</v>
      </c>
      <c r="J54" s="14" t="s">
        <v>1403</v>
      </c>
      <c r="K54" s="14">
        <v>2024</v>
      </c>
      <c r="L54" s="42">
        <v>2024</v>
      </c>
      <c r="M54" s="43">
        <v>45180</v>
      </c>
      <c r="N54" s="14" t="s">
        <v>36</v>
      </c>
      <c r="O54" s="14">
        <v>6</v>
      </c>
      <c r="P54" s="14">
        <v>448</v>
      </c>
      <c r="Q54" s="14" t="s">
        <v>1557</v>
      </c>
      <c r="R54" s="14">
        <v>2</v>
      </c>
      <c r="S54" s="14">
        <v>1</v>
      </c>
      <c r="T54" s="14" t="s">
        <v>1527</v>
      </c>
      <c r="U54" s="14">
        <v>3</v>
      </c>
      <c r="V54" s="42">
        <v>2480008</v>
      </c>
      <c r="W54" s="42">
        <v>0</v>
      </c>
      <c r="X54" s="42" t="s">
        <v>1406</v>
      </c>
      <c r="Y54" s="59"/>
      <c r="Z54" s="14" t="s">
        <v>32</v>
      </c>
      <c r="AA54" s="45">
        <v>45218</v>
      </c>
      <c r="AB54" s="14">
        <v>24</v>
      </c>
      <c r="AC54" s="14">
        <v>80008</v>
      </c>
      <c r="AD54" s="14">
        <v>57</v>
      </c>
      <c r="AE54" s="14" t="s">
        <v>1551</v>
      </c>
      <c r="AF54" s="14">
        <v>57</v>
      </c>
      <c r="AG54" s="14" t="s">
        <v>1552</v>
      </c>
      <c r="AH54" s="14" t="s">
        <v>36</v>
      </c>
      <c r="AI54" s="14">
        <v>6</v>
      </c>
      <c r="AJ54" s="14">
        <v>448</v>
      </c>
      <c r="AK54" s="14" t="s">
        <v>1407</v>
      </c>
      <c r="AL54" s="14">
        <v>28117</v>
      </c>
      <c r="AM54" s="14" t="s">
        <v>1418</v>
      </c>
      <c r="AN54" s="14" t="s">
        <v>1576</v>
      </c>
      <c r="AO54" s="14">
        <v>28</v>
      </c>
      <c r="AP54" s="14" t="s">
        <v>1416</v>
      </c>
      <c r="AQ54" s="14">
        <v>0</v>
      </c>
      <c r="AR54" s="14" t="s">
        <v>1410</v>
      </c>
      <c r="AT54" s="14" t="s">
        <v>1417</v>
      </c>
      <c r="AU54" s="14" t="s">
        <v>1412</v>
      </c>
    </row>
    <row r="55" spans="1:47" x14ac:dyDescent="0.45">
      <c r="A55" s="42">
        <v>2405750003</v>
      </c>
      <c r="B55" s="14">
        <v>57</v>
      </c>
      <c r="C55" s="14" t="s">
        <v>1551</v>
      </c>
      <c r="D55" s="14">
        <v>57</v>
      </c>
      <c r="E55" s="14" t="s">
        <v>1552</v>
      </c>
      <c r="F55" s="14" t="s">
        <v>48</v>
      </c>
      <c r="G55" s="14" t="s">
        <v>49</v>
      </c>
      <c r="H55" s="14">
        <v>2</v>
      </c>
      <c r="I55" s="14" t="s">
        <v>50</v>
      </c>
      <c r="J55" s="14" t="s">
        <v>1403</v>
      </c>
      <c r="K55" s="14">
        <v>2024</v>
      </c>
      <c r="L55" s="42">
        <v>2024</v>
      </c>
      <c r="M55" s="43">
        <v>45182</v>
      </c>
      <c r="N55" s="14" t="s">
        <v>36</v>
      </c>
      <c r="O55" s="14">
        <v>6</v>
      </c>
      <c r="P55" s="14">
        <v>488</v>
      </c>
      <c r="Q55" s="14" t="s">
        <v>1553</v>
      </c>
      <c r="R55" s="14">
        <v>2</v>
      </c>
      <c r="S55" s="14">
        <v>1</v>
      </c>
      <c r="T55" s="14" t="s">
        <v>1527</v>
      </c>
      <c r="U55" s="14">
        <v>3</v>
      </c>
      <c r="V55" s="42">
        <v>2480023</v>
      </c>
      <c r="W55" s="42">
        <v>0</v>
      </c>
      <c r="X55" s="42" t="s">
        <v>1406</v>
      </c>
      <c r="Y55" s="59"/>
      <c r="Z55" s="14" t="s">
        <v>32</v>
      </c>
      <c r="AA55" s="45">
        <v>45222</v>
      </c>
      <c r="AB55" s="14">
        <v>24</v>
      </c>
      <c r="AC55" s="14">
        <v>80023</v>
      </c>
      <c r="AD55" s="14">
        <v>57</v>
      </c>
      <c r="AE55" s="14" t="s">
        <v>1551</v>
      </c>
      <c r="AF55" s="14">
        <v>57</v>
      </c>
      <c r="AG55" s="14" t="s">
        <v>1552</v>
      </c>
      <c r="AH55" s="14" t="s">
        <v>36</v>
      </c>
      <c r="AI55" s="14">
        <v>6</v>
      </c>
      <c r="AJ55" s="14">
        <v>488</v>
      </c>
      <c r="AK55" s="14" t="s">
        <v>1407</v>
      </c>
      <c r="AL55" s="14">
        <v>28120</v>
      </c>
      <c r="AM55" s="14" t="s">
        <v>1418</v>
      </c>
      <c r="AN55" s="14" t="s">
        <v>1593</v>
      </c>
      <c r="AO55" s="14">
        <v>28</v>
      </c>
      <c r="AP55" s="14" t="s">
        <v>1416</v>
      </c>
      <c r="AQ55" s="14">
        <v>0</v>
      </c>
      <c r="AR55" s="14" t="s">
        <v>1410</v>
      </c>
      <c r="AT55" s="14" t="s">
        <v>1417</v>
      </c>
      <c r="AU55" s="14" t="s">
        <v>1412</v>
      </c>
    </row>
    <row r="56" spans="1:47" x14ac:dyDescent="0.45">
      <c r="A56" s="42">
        <v>2413150116</v>
      </c>
      <c r="B56" s="14">
        <v>131</v>
      </c>
      <c r="C56" s="14" t="s">
        <v>1462</v>
      </c>
      <c r="D56" s="14">
        <v>130</v>
      </c>
      <c r="E56" s="14" t="s">
        <v>1402</v>
      </c>
      <c r="F56" s="14" t="s">
        <v>1068</v>
      </c>
      <c r="G56" s="14" t="s">
        <v>1069</v>
      </c>
      <c r="H56" s="14">
        <v>1</v>
      </c>
      <c r="I56" s="14" t="s">
        <v>1070</v>
      </c>
      <c r="J56" s="14" t="s">
        <v>1403</v>
      </c>
      <c r="K56" s="14">
        <v>2024</v>
      </c>
      <c r="L56" s="42">
        <v>2024</v>
      </c>
      <c r="M56" s="43">
        <v>45222</v>
      </c>
      <c r="N56" s="14" t="s">
        <v>36</v>
      </c>
      <c r="O56" s="14" t="s">
        <v>704</v>
      </c>
      <c r="P56" s="14">
        <v>852</v>
      </c>
      <c r="Q56" s="14" t="s">
        <v>1472</v>
      </c>
      <c r="R56" s="14">
        <v>2</v>
      </c>
      <c r="S56" s="14">
        <v>2</v>
      </c>
      <c r="T56" s="14" t="s">
        <v>1464</v>
      </c>
      <c r="U56" s="14">
        <v>1</v>
      </c>
      <c r="V56" s="42">
        <v>2422585</v>
      </c>
      <c r="W56" s="42">
        <v>0</v>
      </c>
      <c r="X56" s="42" t="s">
        <v>1406</v>
      </c>
      <c r="Z56" s="14" t="s">
        <v>32</v>
      </c>
      <c r="AA56" s="45">
        <v>45349</v>
      </c>
      <c r="AB56" s="14">
        <v>24</v>
      </c>
      <c r="AC56" s="14">
        <v>22585</v>
      </c>
      <c r="AD56" s="14">
        <v>131</v>
      </c>
      <c r="AE56" s="14" t="s">
        <v>1462</v>
      </c>
      <c r="AF56" s="14">
        <v>130</v>
      </c>
      <c r="AG56" s="14" t="s">
        <v>1402</v>
      </c>
      <c r="AH56" s="14" t="s">
        <v>36</v>
      </c>
      <c r="AI56" s="14" t="s">
        <v>704</v>
      </c>
      <c r="AJ56" s="14">
        <v>852</v>
      </c>
      <c r="AK56" s="14" t="s">
        <v>1407</v>
      </c>
      <c r="AL56" s="14">
        <v>28141</v>
      </c>
      <c r="AM56" s="14" t="s">
        <v>1418</v>
      </c>
      <c r="AN56" s="14" t="s">
        <v>1546</v>
      </c>
      <c r="AO56" s="14">
        <v>28</v>
      </c>
      <c r="AP56" s="14" t="s">
        <v>1416</v>
      </c>
      <c r="AQ56" s="14">
        <v>0</v>
      </c>
      <c r="AR56" s="14" t="s">
        <v>1410</v>
      </c>
      <c r="AT56" s="14" t="s">
        <v>1417</v>
      </c>
      <c r="AU56" s="14" t="s">
        <v>1412</v>
      </c>
    </row>
    <row r="57" spans="1:47" x14ac:dyDescent="0.45">
      <c r="A57" s="42">
        <v>2405750015</v>
      </c>
      <c r="B57" s="14">
        <v>57</v>
      </c>
      <c r="C57" s="14" t="s">
        <v>1551</v>
      </c>
      <c r="D57" s="14">
        <v>57</v>
      </c>
      <c r="E57" s="14" t="s">
        <v>1552</v>
      </c>
      <c r="F57" s="14" t="s">
        <v>106</v>
      </c>
      <c r="G57" s="14" t="s">
        <v>107</v>
      </c>
      <c r="H57" s="14">
        <v>2</v>
      </c>
      <c r="I57" s="14" t="s">
        <v>108</v>
      </c>
      <c r="J57" s="14" t="s">
        <v>1403</v>
      </c>
      <c r="K57" s="14">
        <v>2024</v>
      </c>
      <c r="L57" s="42">
        <v>2024</v>
      </c>
      <c r="M57" s="43">
        <v>45183</v>
      </c>
      <c r="N57" s="14" t="s">
        <v>36</v>
      </c>
      <c r="O57" s="14">
        <v>58</v>
      </c>
      <c r="P57" s="14">
        <v>290</v>
      </c>
      <c r="Q57" s="14" t="s">
        <v>1496</v>
      </c>
      <c r="R57" s="14">
        <v>2</v>
      </c>
      <c r="S57" s="14">
        <v>2</v>
      </c>
      <c r="T57" s="14" t="s">
        <v>1464</v>
      </c>
      <c r="U57" s="14">
        <v>1</v>
      </c>
      <c r="V57" s="42">
        <v>2480103</v>
      </c>
      <c r="W57" s="42">
        <v>0</v>
      </c>
      <c r="X57" s="42" t="s">
        <v>1406</v>
      </c>
      <c r="Z57" s="14" t="s">
        <v>32</v>
      </c>
      <c r="AA57" s="45">
        <v>45282</v>
      </c>
      <c r="AB57" s="14">
        <v>24</v>
      </c>
      <c r="AC57" s="14">
        <v>80103</v>
      </c>
      <c r="AD57" s="14">
        <v>57</v>
      </c>
      <c r="AE57" s="14" t="s">
        <v>1551</v>
      </c>
      <c r="AF57" s="14">
        <v>57</v>
      </c>
      <c r="AG57" s="14" t="s">
        <v>1552</v>
      </c>
      <c r="AH57" s="14" t="s">
        <v>36</v>
      </c>
      <c r="AI57" s="14">
        <v>58</v>
      </c>
      <c r="AJ57" s="14">
        <v>290</v>
      </c>
      <c r="AK57" s="14" t="s">
        <v>1407</v>
      </c>
      <c r="AL57" s="14">
        <v>28243</v>
      </c>
      <c r="AM57" s="14" t="s">
        <v>1421</v>
      </c>
      <c r="AN57" s="14" t="s">
        <v>1601</v>
      </c>
      <c r="AO57" s="14">
        <v>28</v>
      </c>
      <c r="AP57" s="14" t="s">
        <v>1416</v>
      </c>
      <c r="AQ57" s="14">
        <v>0</v>
      </c>
      <c r="AR57" s="14" t="s">
        <v>1410</v>
      </c>
      <c r="AT57" s="14" t="s">
        <v>1417</v>
      </c>
      <c r="AU57" s="14" t="s">
        <v>1412</v>
      </c>
    </row>
    <row r="58" spans="1:47" x14ac:dyDescent="0.45">
      <c r="A58" s="42">
        <v>2413150085</v>
      </c>
      <c r="B58" s="14">
        <v>131</v>
      </c>
      <c r="C58" s="14" t="s">
        <v>1462</v>
      </c>
      <c r="D58" s="14">
        <v>130</v>
      </c>
      <c r="E58" s="14" t="s">
        <v>1402</v>
      </c>
      <c r="F58" s="14" t="s">
        <v>978</v>
      </c>
      <c r="G58" s="14" t="s">
        <v>979</v>
      </c>
      <c r="H58" s="14">
        <v>2</v>
      </c>
      <c r="I58" s="14" t="s">
        <v>500</v>
      </c>
      <c r="J58" s="14" t="s">
        <v>1403</v>
      </c>
      <c r="K58" s="14">
        <v>2024</v>
      </c>
      <c r="L58" s="42">
        <v>2024</v>
      </c>
      <c r="M58" s="43">
        <v>45180</v>
      </c>
      <c r="N58" s="14" t="s">
        <v>36</v>
      </c>
      <c r="O58" s="14" t="s">
        <v>698</v>
      </c>
      <c r="P58" s="14">
        <v>502</v>
      </c>
      <c r="Q58" s="14" t="s">
        <v>1500</v>
      </c>
      <c r="R58" s="14">
        <v>2</v>
      </c>
      <c r="S58" s="14">
        <v>5</v>
      </c>
      <c r="T58" s="14" t="s">
        <v>1470</v>
      </c>
      <c r="U58" s="14">
        <v>15</v>
      </c>
      <c r="V58" s="42">
        <v>2422586</v>
      </c>
      <c r="W58" s="42">
        <v>0</v>
      </c>
      <c r="X58" s="42" t="s">
        <v>1406</v>
      </c>
      <c r="Z58" s="14" t="s">
        <v>32</v>
      </c>
      <c r="AA58" s="45">
        <v>45349</v>
      </c>
      <c r="AB58" s="14">
        <v>24</v>
      </c>
      <c r="AC58" s="14">
        <v>22586</v>
      </c>
      <c r="AD58" s="14">
        <v>131</v>
      </c>
      <c r="AE58" s="14" t="s">
        <v>1462</v>
      </c>
      <c r="AF58" s="14">
        <v>130</v>
      </c>
      <c r="AG58" s="14" t="s">
        <v>1402</v>
      </c>
      <c r="AH58" s="14" t="s">
        <v>36</v>
      </c>
      <c r="AI58" s="14" t="s">
        <v>698</v>
      </c>
      <c r="AJ58" s="14">
        <v>502</v>
      </c>
      <c r="AK58" s="14" t="s">
        <v>1407</v>
      </c>
      <c r="AL58" s="14">
        <v>28017</v>
      </c>
      <c r="AM58" s="14" t="s">
        <v>1421</v>
      </c>
      <c r="AN58" s="14" t="s">
        <v>1536</v>
      </c>
      <c r="AO58" s="14">
        <v>28</v>
      </c>
      <c r="AP58" s="14" t="s">
        <v>1416</v>
      </c>
      <c r="AQ58" s="14">
        <v>0</v>
      </c>
      <c r="AR58" s="14" t="s">
        <v>1410</v>
      </c>
      <c r="AT58" s="14" t="s">
        <v>1417</v>
      </c>
      <c r="AU58" s="14" t="s">
        <v>1412</v>
      </c>
    </row>
    <row r="59" spans="1:47" x14ac:dyDescent="0.45">
      <c r="A59" s="42">
        <v>2413150100</v>
      </c>
      <c r="B59" s="14">
        <v>131</v>
      </c>
      <c r="C59" s="14" t="s">
        <v>1462</v>
      </c>
      <c r="D59" s="14">
        <v>130</v>
      </c>
      <c r="E59" s="14" t="s">
        <v>1402</v>
      </c>
      <c r="F59" s="14" t="s">
        <v>1022</v>
      </c>
      <c r="G59" s="14" t="s">
        <v>1023</v>
      </c>
      <c r="H59" s="14">
        <v>1</v>
      </c>
      <c r="I59" s="14" t="s">
        <v>1024</v>
      </c>
      <c r="J59" s="14" t="s">
        <v>1403</v>
      </c>
      <c r="K59" s="14">
        <v>2024</v>
      </c>
      <c r="L59" s="42">
        <v>2024</v>
      </c>
      <c r="M59" s="43">
        <v>45182</v>
      </c>
      <c r="N59" s="14" t="s">
        <v>36</v>
      </c>
      <c r="O59" s="14" t="s">
        <v>704</v>
      </c>
      <c r="P59" s="14">
        <v>428</v>
      </c>
      <c r="Q59" s="14" t="s">
        <v>1463</v>
      </c>
      <c r="R59" s="14">
        <v>2</v>
      </c>
      <c r="S59" s="14">
        <v>2</v>
      </c>
      <c r="T59" s="14" t="s">
        <v>1464</v>
      </c>
      <c r="U59" s="14">
        <v>1</v>
      </c>
      <c r="V59" s="42">
        <v>2422584</v>
      </c>
      <c r="W59" s="42">
        <v>0</v>
      </c>
      <c r="X59" s="42" t="s">
        <v>1406</v>
      </c>
      <c r="Y59" s="59"/>
      <c r="Z59" s="14" t="s">
        <v>32</v>
      </c>
      <c r="AA59" s="45">
        <v>45348</v>
      </c>
      <c r="AB59" s="14">
        <v>24</v>
      </c>
      <c r="AC59" s="14">
        <v>22584</v>
      </c>
      <c r="AD59" s="14">
        <v>131</v>
      </c>
      <c r="AE59" s="14" t="s">
        <v>1462</v>
      </c>
      <c r="AF59" s="14">
        <v>130</v>
      </c>
      <c r="AG59" s="14" t="s">
        <v>1402</v>
      </c>
      <c r="AH59" s="14" t="s">
        <v>36</v>
      </c>
      <c r="AI59" s="14" t="s">
        <v>704</v>
      </c>
      <c r="AJ59" s="14">
        <v>428</v>
      </c>
      <c r="AK59" s="14" t="s">
        <v>1407</v>
      </c>
      <c r="AL59" s="14">
        <v>28127</v>
      </c>
      <c r="AM59" s="14" t="s">
        <v>1418</v>
      </c>
      <c r="AN59" s="14" t="s">
        <v>1539</v>
      </c>
      <c r="AO59" s="14">
        <v>28</v>
      </c>
      <c r="AP59" s="14" t="s">
        <v>1416</v>
      </c>
      <c r="AQ59" s="14">
        <v>0</v>
      </c>
      <c r="AR59" s="14" t="s">
        <v>1410</v>
      </c>
      <c r="AT59" s="14" t="s">
        <v>1417</v>
      </c>
      <c r="AU59" s="14" t="s">
        <v>1412</v>
      </c>
    </row>
    <row r="60" spans="1:47" x14ac:dyDescent="0.45">
      <c r="A60" s="42">
        <v>2405750099</v>
      </c>
      <c r="B60" s="14">
        <v>57</v>
      </c>
      <c r="C60" s="14" t="s">
        <v>1551</v>
      </c>
      <c r="D60" s="14">
        <v>57</v>
      </c>
      <c r="E60" s="14" t="s">
        <v>1552</v>
      </c>
      <c r="F60" s="14" t="s">
        <v>415</v>
      </c>
      <c r="G60" s="14" t="s">
        <v>416</v>
      </c>
      <c r="H60" s="14">
        <v>2</v>
      </c>
      <c r="I60" s="14" t="s">
        <v>417</v>
      </c>
      <c r="J60" s="14" t="s">
        <v>1403</v>
      </c>
      <c r="K60" s="14">
        <v>2024</v>
      </c>
      <c r="L60" s="42">
        <v>2024</v>
      </c>
      <c r="M60" s="43">
        <v>45184</v>
      </c>
      <c r="N60" s="14" t="s">
        <v>36</v>
      </c>
      <c r="O60" s="14" t="s">
        <v>135</v>
      </c>
      <c r="P60" s="14">
        <v>870</v>
      </c>
      <c r="Q60" s="14" t="s">
        <v>1610</v>
      </c>
      <c r="R60" s="14">
        <v>2</v>
      </c>
      <c r="S60" s="14">
        <v>5</v>
      </c>
      <c r="T60" s="14" t="s">
        <v>1470</v>
      </c>
      <c r="U60" s="14">
        <v>15</v>
      </c>
      <c r="V60" s="42">
        <v>2480024</v>
      </c>
      <c r="W60" s="42">
        <v>166</v>
      </c>
      <c r="X60" s="42" t="s">
        <v>1501</v>
      </c>
      <c r="Y60" s="59"/>
      <c r="Z60" s="14" t="s">
        <v>32</v>
      </c>
      <c r="AA60" s="45">
        <v>45222</v>
      </c>
      <c r="AB60" s="14">
        <v>24</v>
      </c>
      <c r="AC60" s="14">
        <v>80024</v>
      </c>
      <c r="AD60" s="14">
        <v>57</v>
      </c>
      <c r="AE60" s="14" t="s">
        <v>1551</v>
      </c>
      <c r="AF60" s="14">
        <v>57</v>
      </c>
      <c r="AG60" s="14" t="s">
        <v>1552</v>
      </c>
      <c r="AH60" s="14" t="s">
        <v>36</v>
      </c>
      <c r="AI60" s="14" t="s">
        <v>135</v>
      </c>
      <c r="AJ60" s="14">
        <v>870</v>
      </c>
      <c r="AK60" s="14" t="s">
        <v>1407</v>
      </c>
      <c r="AL60" s="14">
        <v>28120</v>
      </c>
      <c r="AM60" s="14" t="s">
        <v>1418</v>
      </c>
      <c r="AN60" s="14" t="s">
        <v>1593</v>
      </c>
      <c r="AO60" s="14">
        <v>28</v>
      </c>
      <c r="AP60" s="14" t="s">
        <v>1416</v>
      </c>
      <c r="AQ60" s="14">
        <v>0</v>
      </c>
      <c r="AR60" s="14" t="s">
        <v>1410</v>
      </c>
      <c r="AT60" s="14" t="s">
        <v>1417</v>
      </c>
      <c r="AU60" s="14" t="s">
        <v>1412</v>
      </c>
    </row>
    <row r="61" spans="1:47" x14ac:dyDescent="0.45">
      <c r="A61" s="42">
        <v>2405750115</v>
      </c>
      <c r="B61" s="14">
        <v>57</v>
      </c>
      <c r="C61" s="14" t="s">
        <v>1551</v>
      </c>
      <c r="D61" s="14">
        <v>57</v>
      </c>
      <c r="E61" s="14" t="s">
        <v>1552</v>
      </c>
      <c r="F61" s="14" t="s">
        <v>1113</v>
      </c>
      <c r="G61" s="14" t="s">
        <v>1114</v>
      </c>
      <c r="H61" s="14">
        <v>1</v>
      </c>
      <c r="I61" s="14" t="s">
        <v>1115</v>
      </c>
      <c r="J61" s="14" t="s">
        <v>1403</v>
      </c>
      <c r="K61" s="14">
        <v>2024</v>
      </c>
      <c r="L61" s="42">
        <v>2024</v>
      </c>
      <c r="M61" s="43">
        <v>45188</v>
      </c>
      <c r="N61" s="14" t="s">
        <v>36</v>
      </c>
      <c r="O61" s="14">
        <v>58</v>
      </c>
      <c r="P61" s="14">
        <v>290</v>
      </c>
      <c r="Q61" s="14" t="s">
        <v>1496</v>
      </c>
      <c r="R61" s="14">
        <v>2</v>
      </c>
      <c r="S61" s="14">
        <v>2</v>
      </c>
      <c r="T61" s="14" t="s">
        <v>1464</v>
      </c>
      <c r="U61" s="14">
        <v>1</v>
      </c>
      <c r="V61" s="42">
        <v>2480048</v>
      </c>
      <c r="W61" s="42">
        <v>0</v>
      </c>
      <c r="X61" s="42" t="s">
        <v>1406</v>
      </c>
      <c r="Z61" s="14" t="s">
        <v>32</v>
      </c>
      <c r="AA61" s="45">
        <v>45238</v>
      </c>
      <c r="AB61" s="14">
        <v>24</v>
      </c>
      <c r="AC61" s="14">
        <v>80048</v>
      </c>
      <c r="AD61" s="14">
        <v>57</v>
      </c>
      <c r="AE61" s="14" t="s">
        <v>1551</v>
      </c>
      <c r="AF61" s="14">
        <v>57</v>
      </c>
      <c r="AG61" s="14" t="s">
        <v>1552</v>
      </c>
      <c r="AH61" s="14" t="s">
        <v>36</v>
      </c>
      <c r="AI61" s="14">
        <v>58</v>
      </c>
      <c r="AJ61" s="14">
        <v>290</v>
      </c>
      <c r="AK61" s="14" t="s">
        <v>1407</v>
      </c>
      <c r="AL61" s="14">
        <v>34037</v>
      </c>
      <c r="AM61" s="14" t="s">
        <v>1421</v>
      </c>
      <c r="AN61" s="14" t="s">
        <v>1625</v>
      </c>
      <c r="AO61" s="14">
        <v>34</v>
      </c>
      <c r="AP61" s="14" t="s">
        <v>1498</v>
      </c>
      <c r="AQ61" s="14">
        <v>0</v>
      </c>
      <c r="AR61" s="14" t="s">
        <v>1410</v>
      </c>
      <c r="AT61" s="14" t="s">
        <v>1417</v>
      </c>
      <c r="AU61" s="14" t="s">
        <v>1412</v>
      </c>
    </row>
    <row r="62" spans="1:47" x14ac:dyDescent="0.45">
      <c r="A62" s="42">
        <v>2405750027</v>
      </c>
      <c r="B62" s="14">
        <v>57</v>
      </c>
      <c r="C62" s="14" t="s">
        <v>1551</v>
      </c>
      <c r="D62" s="14">
        <v>57</v>
      </c>
      <c r="E62" s="14" t="s">
        <v>1552</v>
      </c>
      <c r="F62" s="14" t="s">
        <v>155</v>
      </c>
      <c r="G62" s="14" t="s">
        <v>156</v>
      </c>
      <c r="H62" s="14">
        <v>2</v>
      </c>
      <c r="I62" s="14" t="s">
        <v>157</v>
      </c>
      <c r="J62" s="14" t="s">
        <v>1403</v>
      </c>
      <c r="K62" s="14">
        <v>2024</v>
      </c>
      <c r="L62" s="42">
        <v>2024</v>
      </c>
      <c r="M62" s="43">
        <v>45188</v>
      </c>
      <c r="N62" s="14" t="s">
        <v>36</v>
      </c>
      <c r="O62" s="14">
        <v>7</v>
      </c>
      <c r="P62" s="14">
        <v>265</v>
      </c>
      <c r="Q62" s="14" t="s">
        <v>1562</v>
      </c>
      <c r="R62" s="14">
        <v>2</v>
      </c>
      <c r="S62" s="14">
        <v>1</v>
      </c>
      <c r="T62" s="14" t="s">
        <v>1527</v>
      </c>
      <c r="U62" s="14">
        <v>3</v>
      </c>
      <c r="V62" s="42">
        <v>2480017</v>
      </c>
      <c r="W62" s="42">
        <v>0</v>
      </c>
      <c r="X62" s="42" t="s">
        <v>1406</v>
      </c>
      <c r="Z62" s="14" t="s">
        <v>32</v>
      </c>
      <c r="AA62" s="45">
        <v>45219</v>
      </c>
      <c r="AB62" s="14">
        <v>24</v>
      </c>
      <c r="AC62" s="14">
        <v>80017</v>
      </c>
      <c r="AD62" s="14">
        <v>57</v>
      </c>
      <c r="AE62" s="14" t="s">
        <v>1551</v>
      </c>
      <c r="AF62" s="14">
        <v>57</v>
      </c>
      <c r="AG62" s="14" t="s">
        <v>1552</v>
      </c>
      <c r="AH62" s="14" t="s">
        <v>36</v>
      </c>
      <c r="AI62" s="14">
        <v>7</v>
      </c>
      <c r="AJ62" s="14">
        <v>265</v>
      </c>
      <c r="AK62" s="14" t="s">
        <v>1407</v>
      </c>
      <c r="AL62" s="14">
        <v>28282</v>
      </c>
      <c r="AM62" s="14" t="s">
        <v>1414</v>
      </c>
      <c r="AN62" s="14" t="s">
        <v>1572</v>
      </c>
      <c r="AO62" s="14">
        <v>28</v>
      </c>
      <c r="AP62" s="14" t="s">
        <v>1416</v>
      </c>
      <c r="AQ62" s="14">
        <v>0</v>
      </c>
      <c r="AR62" s="14" t="s">
        <v>1410</v>
      </c>
      <c r="AT62" s="14" t="s">
        <v>1417</v>
      </c>
      <c r="AU62" s="14" t="s">
        <v>1412</v>
      </c>
    </row>
    <row r="63" spans="1:47" x14ac:dyDescent="0.45">
      <c r="A63" s="42">
        <v>2405750009</v>
      </c>
      <c r="B63" s="14">
        <v>57</v>
      </c>
      <c r="C63" s="14" t="s">
        <v>1551</v>
      </c>
      <c r="D63" s="14">
        <v>57</v>
      </c>
      <c r="E63" s="14" t="s">
        <v>1552</v>
      </c>
      <c r="F63" s="14" t="s">
        <v>77</v>
      </c>
      <c r="G63" s="14" t="s">
        <v>78</v>
      </c>
      <c r="H63" s="14">
        <v>1</v>
      </c>
      <c r="I63" s="14" t="s">
        <v>79</v>
      </c>
      <c r="J63" s="14" t="s">
        <v>1560</v>
      </c>
      <c r="K63" s="14">
        <v>2024</v>
      </c>
      <c r="L63" s="42">
        <v>2024</v>
      </c>
      <c r="M63" s="43">
        <v>45189</v>
      </c>
      <c r="N63" s="14" t="s">
        <v>36</v>
      </c>
      <c r="O63" s="14" t="s">
        <v>51</v>
      </c>
      <c r="P63" s="14">
        <v>427</v>
      </c>
      <c r="Q63" s="14" t="s">
        <v>1479</v>
      </c>
      <c r="R63" s="14">
        <v>1</v>
      </c>
      <c r="S63" s="14">
        <v>2</v>
      </c>
      <c r="T63" s="14" t="s">
        <v>1464</v>
      </c>
      <c r="U63" s="14">
        <v>1</v>
      </c>
      <c r="V63" s="42">
        <v>2480107</v>
      </c>
      <c r="W63" s="42">
        <v>0</v>
      </c>
      <c r="X63" s="42" t="s">
        <v>1406</v>
      </c>
      <c r="Z63" s="14" t="s">
        <v>32</v>
      </c>
      <c r="AA63" s="45">
        <v>45282</v>
      </c>
      <c r="AB63" s="14">
        <v>24</v>
      </c>
      <c r="AC63" s="14">
        <v>80107</v>
      </c>
      <c r="AD63" s="14">
        <v>57</v>
      </c>
      <c r="AE63" s="14" t="s">
        <v>1551</v>
      </c>
      <c r="AF63" s="14">
        <v>57</v>
      </c>
      <c r="AG63" s="14" t="s">
        <v>1552</v>
      </c>
      <c r="AH63" s="14" t="s">
        <v>36</v>
      </c>
      <c r="AI63" s="14" t="s">
        <v>51</v>
      </c>
      <c r="AJ63" s="14">
        <v>427</v>
      </c>
      <c r="AK63" s="14" t="s">
        <v>1407</v>
      </c>
      <c r="AL63" s="14">
        <v>38040</v>
      </c>
      <c r="AM63" s="14" t="s">
        <v>1418</v>
      </c>
      <c r="AN63" s="14" t="s">
        <v>1595</v>
      </c>
      <c r="AO63" s="14">
        <v>38</v>
      </c>
      <c r="AP63" s="14" t="s">
        <v>1596</v>
      </c>
      <c r="AQ63" s="14">
        <v>0</v>
      </c>
      <c r="AR63" s="14" t="s">
        <v>1410</v>
      </c>
      <c r="AT63" s="14" t="s">
        <v>1417</v>
      </c>
      <c r="AU63" s="14" t="s">
        <v>1412</v>
      </c>
    </row>
    <row r="64" spans="1:47" x14ac:dyDescent="0.45">
      <c r="A64" s="42">
        <v>2405750016</v>
      </c>
      <c r="B64" s="14">
        <v>57</v>
      </c>
      <c r="C64" s="14" t="s">
        <v>1551</v>
      </c>
      <c r="D64" s="14">
        <v>57</v>
      </c>
      <c r="E64" s="14" t="s">
        <v>1552</v>
      </c>
      <c r="F64" s="14" t="s">
        <v>111</v>
      </c>
      <c r="G64" s="14" t="s">
        <v>112</v>
      </c>
      <c r="H64" s="14">
        <v>2</v>
      </c>
      <c r="I64" s="14" t="s">
        <v>113</v>
      </c>
      <c r="J64" s="14" t="s">
        <v>1461</v>
      </c>
      <c r="K64" s="14">
        <v>2024</v>
      </c>
      <c r="L64" s="42">
        <v>2024</v>
      </c>
      <c r="M64" s="43">
        <v>45191</v>
      </c>
      <c r="N64" s="14" t="s">
        <v>36</v>
      </c>
      <c r="O64" s="14">
        <v>6</v>
      </c>
      <c r="P64" s="14">
        <v>448</v>
      </c>
      <c r="Q64" s="14" t="s">
        <v>1557</v>
      </c>
      <c r="R64" s="14">
        <v>2</v>
      </c>
      <c r="S64" s="14">
        <v>1</v>
      </c>
      <c r="T64" s="14" t="s">
        <v>1527</v>
      </c>
      <c r="U64" s="14">
        <v>3</v>
      </c>
      <c r="V64" s="42">
        <v>2480144</v>
      </c>
      <c r="W64" s="42">
        <v>0</v>
      </c>
      <c r="X64" s="42" t="s">
        <v>1406</v>
      </c>
      <c r="Y64" s="111"/>
      <c r="Z64" s="14" t="s">
        <v>32</v>
      </c>
      <c r="AA64" s="45">
        <v>45336</v>
      </c>
      <c r="AB64" s="14">
        <v>24</v>
      </c>
      <c r="AC64" s="14">
        <v>80144</v>
      </c>
      <c r="AD64" s="14">
        <v>57</v>
      </c>
      <c r="AE64" s="14" t="s">
        <v>1551</v>
      </c>
      <c r="AF64" s="14">
        <v>57</v>
      </c>
      <c r="AG64" s="14" t="s">
        <v>1552</v>
      </c>
      <c r="AH64" s="14" t="s">
        <v>36</v>
      </c>
      <c r="AI64" s="14">
        <v>6</v>
      </c>
      <c r="AJ64" s="14">
        <v>448</v>
      </c>
      <c r="AK64" s="14" t="s">
        <v>1407</v>
      </c>
      <c r="AL64" s="14">
        <v>36030</v>
      </c>
      <c r="AM64" s="14" t="s">
        <v>1418</v>
      </c>
      <c r="AN64" s="14" t="s">
        <v>1602</v>
      </c>
      <c r="AO64" s="14">
        <v>36</v>
      </c>
      <c r="AP64" s="14" t="s">
        <v>1603</v>
      </c>
      <c r="AQ64" s="14">
        <v>0</v>
      </c>
      <c r="AR64" s="14" t="s">
        <v>1410</v>
      </c>
      <c r="AT64" s="14" t="s">
        <v>1417</v>
      </c>
      <c r="AU64" s="14" t="s">
        <v>1412</v>
      </c>
    </row>
    <row r="65" spans="1:47" x14ac:dyDescent="0.45">
      <c r="A65" s="42">
        <v>2405750053</v>
      </c>
      <c r="B65" s="14">
        <v>57</v>
      </c>
      <c r="C65" s="14" t="s">
        <v>1551</v>
      </c>
      <c r="D65" s="14">
        <v>57</v>
      </c>
      <c r="E65" s="14" t="s">
        <v>1552</v>
      </c>
      <c r="F65" s="14" t="s">
        <v>254</v>
      </c>
      <c r="G65" s="14" t="s">
        <v>255</v>
      </c>
      <c r="H65" s="14">
        <v>1</v>
      </c>
      <c r="I65" s="14" t="s">
        <v>256</v>
      </c>
      <c r="J65" s="14" t="s">
        <v>1403</v>
      </c>
      <c r="K65" s="14">
        <v>2024</v>
      </c>
      <c r="L65" s="42">
        <v>2024</v>
      </c>
      <c r="M65" s="43">
        <v>45194</v>
      </c>
      <c r="N65" s="14" t="s">
        <v>36</v>
      </c>
      <c r="O65" s="14" t="s">
        <v>135</v>
      </c>
      <c r="P65" s="14">
        <v>870</v>
      </c>
      <c r="Q65" s="14" t="s">
        <v>1610</v>
      </c>
      <c r="R65" s="14">
        <v>2</v>
      </c>
      <c r="S65" s="14">
        <v>5</v>
      </c>
      <c r="T65" s="14" t="s">
        <v>1470</v>
      </c>
      <c r="U65" s="14">
        <v>15</v>
      </c>
      <c r="V65" s="42">
        <v>2480131</v>
      </c>
      <c r="W65" s="42">
        <v>0</v>
      </c>
      <c r="X65" s="42" t="s">
        <v>1406</v>
      </c>
      <c r="Y65" s="111"/>
      <c r="Z65" s="14" t="s">
        <v>32</v>
      </c>
      <c r="AA65" s="45">
        <v>45329</v>
      </c>
      <c r="AB65" s="14">
        <v>24</v>
      </c>
      <c r="AC65" s="14">
        <v>80131</v>
      </c>
      <c r="AD65" s="14">
        <v>57</v>
      </c>
      <c r="AE65" s="14" t="s">
        <v>1551</v>
      </c>
      <c r="AF65" s="14">
        <v>57</v>
      </c>
      <c r="AG65" s="14" t="s">
        <v>1552</v>
      </c>
      <c r="AH65" s="14" t="s">
        <v>36</v>
      </c>
      <c r="AI65" s="14" t="s">
        <v>135</v>
      </c>
      <c r="AJ65" s="14">
        <v>870</v>
      </c>
      <c r="AK65" s="14" t="s">
        <v>1407</v>
      </c>
      <c r="AL65" s="14">
        <v>28034</v>
      </c>
      <c r="AM65" s="14" t="s">
        <v>1418</v>
      </c>
      <c r="AN65" s="14" t="s">
        <v>1599</v>
      </c>
      <c r="AO65" s="14">
        <v>28</v>
      </c>
      <c r="AP65" s="14" t="s">
        <v>1416</v>
      </c>
      <c r="AQ65" s="14">
        <v>0</v>
      </c>
      <c r="AR65" s="14" t="s">
        <v>1410</v>
      </c>
      <c r="AT65" s="14" t="s">
        <v>1417</v>
      </c>
      <c r="AU65" s="14" t="s">
        <v>1412</v>
      </c>
    </row>
    <row r="66" spans="1:47" x14ac:dyDescent="0.45">
      <c r="A66" s="42">
        <v>2405750012</v>
      </c>
      <c r="B66" s="14">
        <v>57</v>
      </c>
      <c r="C66" s="14" t="s">
        <v>1551</v>
      </c>
      <c r="D66" s="14">
        <v>57</v>
      </c>
      <c r="E66" s="14" t="s">
        <v>1552</v>
      </c>
      <c r="F66" s="14" t="s">
        <v>91</v>
      </c>
      <c r="G66" s="14" t="s">
        <v>92</v>
      </c>
      <c r="H66" s="14">
        <v>1</v>
      </c>
      <c r="I66" s="14" t="s">
        <v>93</v>
      </c>
      <c r="J66" s="14" t="s">
        <v>1403</v>
      </c>
      <c r="K66" s="14">
        <v>2024</v>
      </c>
      <c r="L66" s="42">
        <v>2024</v>
      </c>
      <c r="M66" s="43">
        <v>45194</v>
      </c>
      <c r="N66" s="14" t="s">
        <v>36</v>
      </c>
      <c r="O66" s="14">
        <v>58</v>
      </c>
      <c r="P66" s="14">
        <v>968</v>
      </c>
      <c r="Q66" s="14" t="s">
        <v>1474</v>
      </c>
      <c r="R66" s="14">
        <v>2</v>
      </c>
      <c r="S66" s="14">
        <v>2</v>
      </c>
      <c r="T66" s="14" t="s">
        <v>1464</v>
      </c>
      <c r="U66" s="14">
        <v>1</v>
      </c>
      <c r="V66" s="42">
        <v>2480118</v>
      </c>
      <c r="W66" s="42">
        <v>0</v>
      </c>
      <c r="X66" s="42" t="s">
        <v>1406</v>
      </c>
      <c r="Y66" s="111"/>
      <c r="Z66" s="14" t="s">
        <v>32</v>
      </c>
      <c r="AA66" s="45">
        <v>45315</v>
      </c>
      <c r="AB66" s="14">
        <v>24</v>
      </c>
      <c r="AC66" s="14">
        <v>80118</v>
      </c>
      <c r="AD66" s="14">
        <v>57</v>
      </c>
      <c r="AE66" s="14" t="s">
        <v>1551</v>
      </c>
      <c r="AF66" s="14">
        <v>57</v>
      </c>
      <c r="AG66" s="14" t="s">
        <v>1552</v>
      </c>
      <c r="AH66" s="14" t="s">
        <v>36</v>
      </c>
      <c r="AI66" s="14">
        <v>58</v>
      </c>
      <c r="AJ66" s="14">
        <v>968</v>
      </c>
      <c r="AK66" s="14" t="s">
        <v>1407</v>
      </c>
      <c r="AL66" s="14">
        <v>28226</v>
      </c>
      <c r="AM66" s="14" t="s">
        <v>1418</v>
      </c>
      <c r="AN66" s="14" t="s">
        <v>1598</v>
      </c>
      <c r="AO66" s="14">
        <v>28</v>
      </c>
      <c r="AP66" s="14" t="s">
        <v>1416</v>
      </c>
      <c r="AQ66" s="14">
        <v>0</v>
      </c>
      <c r="AR66" s="14" t="s">
        <v>1410</v>
      </c>
      <c r="AT66" s="14" t="s">
        <v>1417</v>
      </c>
      <c r="AU66" s="14" t="s">
        <v>1412</v>
      </c>
    </row>
    <row r="67" spans="1:47" x14ac:dyDescent="0.45">
      <c r="A67" s="42">
        <v>2405750011</v>
      </c>
      <c r="B67" s="14">
        <v>57</v>
      </c>
      <c r="C67" s="14" t="s">
        <v>1551</v>
      </c>
      <c r="D67" s="14">
        <v>57</v>
      </c>
      <c r="E67" s="14" t="s">
        <v>1552</v>
      </c>
      <c r="F67" s="14" t="s">
        <v>86</v>
      </c>
      <c r="G67" s="14" t="s">
        <v>87</v>
      </c>
      <c r="H67" s="14">
        <v>2</v>
      </c>
      <c r="I67" s="14" t="s">
        <v>88</v>
      </c>
      <c r="J67" s="14" t="s">
        <v>1403</v>
      </c>
      <c r="K67" s="14">
        <v>2024</v>
      </c>
      <c r="L67" s="42">
        <v>2024</v>
      </c>
      <c r="M67" s="43">
        <v>45194</v>
      </c>
      <c r="N67" s="14" t="s">
        <v>36</v>
      </c>
      <c r="O67" s="14">
        <v>7</v>
      </c>
      <c r="P67" s="14">
        <v>265</v>
      </c>
      <c r="Q67" s="14" t="s">
        <v>1562</v>
      </c>
      <c r="R67" s="14">
        <v>2</v>
      </c>
      <c r="S67" s="14">
        <v>1</v>
      </c>
      <c r="T67" s="14" t="s">
        <v>1527</v>
      </c>
      <c r="U67" s="14">
        <v>3</v>
      </c>
      <c r="V67" s="42">
        <v>2480108</v>
      </c>
      <c r="W67" s="42">
        <v>0</v>
      </c>
      <c r="X67" s="42" t="s">
        <v>1406</v>
      </c>
      <c r="Y67" s="111"/>
      <c r="Z67" s="14" t="s">
        <v>32</v>
      </c>
      <c r="AA67" s="45">
        <v>45282</v>
      </c>
      <c r="AB67" s="14">
        <v>24</v>
      </c>
      <c r="AC67" s="14">
        <v>80108</v>
      </c>
      <c r="AD67" s="14">
        <v>57</v>
      </c>
      <c r="AE67" s="14" t="s">
        <v>1551</v>
      </c>
      <c r="AF67" s="14">
        <v>57</v>
      </c>
      <c r="AG67" s="14" t="s">
        <v>1552</v>
      </c>
      <c r="AH67" s="14" t="s">
        <v>36</v>
      </c>
      <c r="AI67" s="14">
        <v>7</v>
      </c>
      <c r="AJ67" s="14">
        <v>265</v>
      </c>
      <c r="AK67" s="14" t="s">
        <v>1407</v>
      </c>
      <c r="AL67" s="14">
        <v>28282</v>
      </c>
      <c r="AM67" s="14" t="s">
        <v>1414</v>
      </c>
      <c r="AN67" s="14" t="s">
        <v>1572</v>
      </c>
      <c r="AO67" s="14">
        <v>28</v>
      </c>
      <c r="AP67" s="14" t="s">
        <v>1416</v>
      </c>
      <c r="AQ67" s="14">
        <v>0</v>
      </c>
      <c r="AR67" s="14" t="s">
        <v>1410</v>
      </c>
      <c r="AT67" s="14" t="s">
        <v>1417</v>
      </c>
      <c r="AU67" s="14" t="s">
        <v>1412</v>
      </c>
    </row>
    <row r="68" spans="1:47" x14ac:dyDescent="0.45">
      <c r="A68" s="42">
        <v>2405750102</v>
      </c>
      <c r="B68" s="14">
        <v>57</v>
      </c>
      <c r="C68" s="14" t="s">
        <v>1551</v>
      </c>
      <c r="D68" s="14">
        <v>57</v>
      </c>
      <c r="E68" s="14" t="s">
        <v>1552</v>
      </c>
      <c r="F68" s="14" t="s">
        <v>427</v>
      </c>
      <c r="G68" s="14" t="s">
        <v>428</v>
      </c>
      <c r="H68" s="14">
        <v>1</v>
      </c>
      <c r="I68" s="14" t="s">
        <v>429</v>
      </c>
      <c r="J68" s="14" t="s">
        <v>1403</v>
      </c>
      <c r="K68" s="14">
        <v>2024</v>
      </c>
      <c r="L68" s="42">
        <v>2024</v>
      </c>
      <c r="M68" s="43">
        <v>45194</v>
      </c>
      <c r="N68" s="14" t="s">
        <v>36</v>
      </c>
      <c r="O68" s="14" t="s">
        <v>51</v>
      </c>
      <c r="P68" s="14">
        <v>428</v>
      </c>
      <c r="Q68" s="14" t="s">
        <v>1463</v>
      </c>
      <c r="R68" s="14">
        <v>1</v>
      </c>
      <c r="S68" s="14">
        <v>2</v>
      </c>
      <c r="T68" s="14" t="s">
        <v>1464</v>
      </c>
      <c r="U68" s="14">
        <v>1</v>
      </c>
      <c r="V68" s="42">
        <v>2480104</v>
      </c>
      <c r="W68" s="42">
        <v>0</v>
      </c>
      <c r="X68" s="42" t="s">
        <v>1406</v>
      </c>
      <c r="Y68" s="59"/>
      <c r="Z68" s="14" t="s">
        <v>32</v>
      </c>
      <c r="AA68" s="45">
        <v>45282</v>
      </c>
      <c r="AB68" s="14">
        <v>24</v>
      </c>
      <c r="AC68" s="14">
        <v>80104</v>
      </c>
      <c r="AD68" s="14">
        <v>57</v>
      </c>
      <c r="AE68" s="14" t="s">
        <v>1551</v>
      </c>
      <c r="AF68" s="14">
        <v>57</v>
      </c>
      <c r="AG68" s="14" t="s">
        <v>1552</v>
      </c>
      <c r="AH68" s="14" t="s">
        <v>36</v>
      </c>
      <c r="AI68" s="14" t="s">
        <v>51</v>
      </c>
      <c r="AJ68" s="14">
        <v>428</v>
      </c>
      <c r="AK68" s="14" t="s">
        <v>1473</v>
      </c>
      <c r="AL68" s="14">
        <v>28233</v>
      </c>
      <c r="AM68" s="14" t="s">
        <v>1414</v>
      </c>
      <c r="AN68" s="14" t="s">
        <v>1493</v>
      </c>
      <c r="AO68" s="14">
        <v>28</v>
      </c>
      <c r="AP68" s="14" t="s">
        <v>1416</v>
      </c>
      <c r="AQ68" s="14">
        <v>0</v>
      </c>
      <c r="AR68" s="14" t="s">
        <v>1410</v>
      </c>
      <c r="AT68" s="14" t="s">
        <v>1417</v>
      </c>
      <c r="AU68" s="14" t="s">
        <v>1412</v>
      </c>
    </row>
    <row r="69" spans="1:47" x14ac:dyDescent="0.45">
      <c r="A69" s="42">
        <v>2405750047</v>
      </c>
      <c r="B69" s="14">
        <v>57</v>
      </c>
      <c r="C69" s="14" t="s">
        <v>1551</v>
      </c>
      <c r="D69" s="14">
        <v>57</v>
      </c>
      <c r="E69" s="14" t="s">
        <v>1552</v>
      </c>
      <c r="F69" s="14" t="s">
        <v>231</v>
      </c>
      <c r="G69" s="14" t="s">
        <v>232</v>
      </c>
      <c r="H69" s="14">
        <v>1</v>
      </c>
      <c r="I69" s="14" t="s">
        <v>233</v>
      </c>
      <c r="J69" s="14" t="s">
        <v>1590</v>
      </c>
      <c r="K69" s="14">
        <v>2024</v>
      </c>
      <c r="L69" s="42">
        <v>2024</v>
      </c>
      <c r="M69" s="43">
        <v>45194</v>
      </c>
      <c r="N69" s="14" t="s">
        <v>36</v>
      </c>
      <c r="O69" s="14">
        <v>58</v>
      </c>
      <c r="P69" s="14">
        <v>427</v>
      </c>
      <c r="Q69" s="14" t="s">
        <v>1479</v>
      </c>
      <c r="R69" s="14">
        <v>2</v>
      </c>
      <c r="S69" s="14">
        <v>2</v>
      </c>
      <c r="T69" s="14" t="s">
        <v>1464</v>
      </c>
      <c r="U69" s="14">
        <v>1</v>
      </c>
      <c r="V69" s="42">
        <v>2480029</v>
      </c>
      <c r="W69" s="42">
        <v>0</v>
      </c>
      <c r="X69" s="42" t="s">
        <v>1406</v>
      </c>
      <c r="Z69" s="14" t="s">
        <v>32</v>
      </c>
      <c r="AA69" s="45">
        <v>45223</v>
      </c>
      <c r="AB69" s="14">
        <v>24</v>
      </c>
      <c r="AC69" s="14">
        <v>80029</v>
      </c>
      <c r="AD69" s="14">
        <v>57</v>
      </c>
      <c r="AE69" s="14" t="s">
        <v>1551</v>
      </c>
      <c r="AF69" s="14">
        <v>57</v>
      </c>
      <c r="AG69" s="14" t="s">
        <v>1552</v>
      </c>
      <c r="AH69" s="14" t="s">
        <v>36</v>
      </c>
      <c r="AI69" s="14">
        <v>58</v>
      </c>
      <c r="AJ69" s="14">
        <v>427</v>
      </c>
      <c r="AK69" s="14" t="s">
        <v>1473</v>
      </c>
      <c r="AL69" s="14">
        <v>27228</v>
      </c>
      <c r="AM69" s="14" t="s">
        <v>1421</v>
      </c>
      <c r="AN69" s="14" t="s">
        <v>1608</v>
      </c>
      <c r="AO69" s="14">
        <v>27</v>
      </c>
      <c r="AP69" s="14" t="s">
        <v>1581</v>
      </c>
      <c r="AQ69" s="14">
        <v>0</v>
      </c>
      <c r="AR69" s="14" t="s">
        <v>1410</v>
      </c>
      <c r="AT69" s="14" t="s">
        <v>1417</v>
      </c>
      <c r="AU69" s="14" t="s">
        <v>1412</v>
      </c>
    </row>
    <row r="70" spans="1:47" x14ac:dyDescent="0.45">
      <c r="A70" s="42">
        <v>2405750067</v>
      </c>
      <c r="B70" s="14">
        <v>57</v>
      </c>
      <c r="C70" s="14" t="s">
        <v>1551</v>
      </c>
      <c r="D70" s="14">
        <v>57</v>
      </c>
      <c r="E70" s="14" t="s">
        <v>1552</v>
      </c>
      <c r="F70" s="14" t="s">
        <v>305</v>
      </c>
      <c r="G70" s="14" t="s">
        <v>306</v>
      </c>
      <c r="H70" s="14">
        <v>1</v>
      </c>
      <c r="I70" s="14" t="s">
        <v>307</v>
      </c>
      <c r="J70" s="14" t="s">
        <v>1403</v>
      </c>
      <c r="K70" s="14">
        <v>2024</v>
      </c>
      <c r="L70" s="42">
        <v>2024</v>
      </c>
      <c r="M70" s="43">
        <v>45194</v>
      </c>
      <c r="N70" s="14" t="s">
        <v>36</v>
      </c>
      <c r="O70" s="14">
        <v>6</v>
      </c>
      <c r="P70" s="14">
        <v>488</v>
      </c>
      <c r="Q70" s="14" t="s">
        <v>1553</v>
      </c>
      <c r="R70" s="14">
        <v>2</v>
      </c>
      <c r="S70" s="14">
        <v>1</v>
      </c>
      <c r="T70" s="14" t="s">
        <v>1527</v>
      </c>
      <c r="U70" s="14">
        <v>3</v>
      </c>
      <c r="V70" s="42">
        <v>2480025</v>
      </c>
      <c r="W70" s="42">
        <v>0</v>
      </c>
      <c r="X70" s="42" t="s">
        <v>1406</v>
      </c>
      <c r="Z70" s="14" t="s">
        <v>32</v>
      </c>
      <c r="AA70" s="45">
        <v>45222</v>
      </c>
      <c r="AB70" s="14">
        <v>24</v>
      </c>
      <c r="AC70" s="14">
        <v>80025</v>
      </c>
      <c r="AD70" s="14">
        <v>57</v>
      </c>
      <c r="AE70" s="14" t="s">
        <v>1551</v>
      </c>
      <c r="AF70" s="14">
        <v>57</v>
      </c>
      <c r="AG70" s="14" t="s">
        <v>1552</v>
      </c>
      <c r="AH70" s="14" t="s">
        <v>36</v>
      </c>
      <c r="AI70" s="14">
        <v>6</v>
      </c>
      <c r="AJ70" s="14">
        <v>488</v>
      </c>
      <c r="AK70" s="14" t="s">
        <v>1407</v>
      </c>
      <c r="AL70" s="14">
        <v>28205</v>
      </c>
      <c r="AM70" s="14" t="s">
        <v>1418</v>
      </c>
      <c r="AN70" s="14" t="s">
        <v>1436</v>
      </c>
      <c r="AO70" s="14">
        <v>28</v>
      </c>
      <c r="AP70" s="14" t="s">
        <v>1416</v>
      </c>
      <c r="AQ70" s="14">
        <v>0</v>
      </c>
      <c r="AR70" s="14" t="s">
        <v>1410</v>
      </c>
      <c r="AT70" s="14" t="s">
        <v>1417</v>
      </c>
      <c r="AU70" s="14" t="s">
        <v>1412</v>
      </c>
    </row>
    <row r="71" spans="1:47" x14ac:dyDescent="0.45">
      <c r="A71" s="42">
        <v>2405750039</v>
      </c>
      <c r="B71" s="14">
        <v>57</v>
      </c>
      <c r="C71" s="14" t="s">
        <v>1551</v>
      </c>
      <c r="D71" s="14">
        <v>57</v>
      </c>
      <c r="E71" s="14" t="s">
        <v>1552</v>
      </c>
      <c r="F71" s="14" t="s">
        <v>202</v>
      </c>
      <c r="G71" s="14" t="s">
        <v>203</v>
      </c>
      <c r="H71" s="14">
        <v>2</v>
      </c>
      <c r="I71" s="14" t="s">
        <v>204</v>
      </c>
      <c r="J71" s="14" t="s">
        <v>1403</v>
      </c>
      <c r="K71" s="14">
        <v>2024</v>
      </c>
      <c r="L71" s="42">
        <v>2024</v>
      </c>
      <c r="M71" s="43">
        <v>45194</v>
      </c>
      <c r="N71" s="14" t="s">
        <v>36</v>
      </c>
      <c r="O71" s="14">
        <v>58</v>
      </c>
      <c r="P71" s="14">
        <v>968</v>
      </c>
      <c r="Q71" s="14" t="s">
        <v>1474</v>
      </c>
      <c r="R71" s="14">
        <v>2</v>
      </c>
      <c r="S71" s="14">
        <v>2</v>
      </c>
      <c r="T71" s="14" t="s">
        <v>1464</v>
      </c>
      <c r="U71" s="14">
        <v>1</v>
      </c>
      <c r="V71" s="42">
        <v>2480018</v>
      </c>
      <c r="W71" s="42">
        <v>0</v>
      </c>
      <c r="X71" s="42" t="s">
        <v>1406</v>
      </c>
      <c r="Y71" s="59"/>
      <c r="Z71" s="14" t="s">
        <v>32</v>
      </c>
      <c r="AA71" s="45">
        <v>45219</v>
      </c>
      <c r="AB71" s="14">
        <v>24</v>
      </c>
      <c r="AC71" s="14">
        <v>80018</v>
      </c>
      <c r="AD71" s="14">
        <v>57</v>
      </c>
      <c r="AE71" s="14" t="s">
        <v>1551</v>
      </c>
      <c r="AF71" s="14">
        <v>57</v>
      </c>
      <c r="AG71" s="14" t="s">
        <v>1552</v>
      </c>
      <c r="AH71" s="14" t="s">
        <v>36</v>
      </c>
      <c r="AI71" s="14">
        <v>58</v>
      </c>
      <c r="AJ71" s="14">
        <v>968</v>
      </c>
      <c r="AK71" s="14" t="s">
        <v>1407</v>
      </c>
      <c r="AL71" s="14">
        <v>28032</v>
      </c>
      <c r="AM71" s="14" t="s">
        <v>1421</v>
      </c>
      <c r="AN71" s="14" t="s">
        <v>1545</v>
      </c>
      <c r="AO71" s="14">
        <v>28</v>
      </c>
      <c r="AP71" s="14" t="s">
        <v>1416</v>
      </c>
      <c r="AQ71" s="14">
        <v>0</v>
      </c>
      <c r="AR71" s="14" t="s">
        <v>1410</v>
      </c>
      <c r="AT71" s="14" t="s">
        <v>1417</v>
      </c>
      <c r="AU71" s="14" t="s">
        <v>1412</v>
      </c>
    </row>
    <row r="72" spans="1:47" x14ac:dyDescent="0.45">
      <c r="A72" s="42">
        <v>2405750030</v>
      </c>
      <c r="B72" s="14">
        <v>57</v>
      </c>
      <c r="C72" s="14" t="s">
        <v>1551</v>
      </c>
      <c r="D72" s="14">
        <v>57</v>
      </c>
      <c r="E72" s="14" t="s">
        <v>1552</v>
      </c>
      <c r="F72" s="14" t="s">
        <v>168</v>
      </c>
      <c r="G72" s="14" t="s">
        <v>169</v>
      </c>
      <c r="H72" s="14">
        <v>2</v>
      </c>
      <c r="I72" s="14" t="s">
        <v>170</v>
      </c>
      <c r="J72" s="14" t="s">
        <v>1403</v>
      </c>
      <c r="K72" s="14">
        <v>2024</v>
      </c>
      <c r="L72" s="42">
        <v>2024</v>
      </c>
      <c r="M72" s="43">
        <v>45195</v>
      </c>
      <c r="N72" s="14" t="s">
        <v>36</v>
      </c>
      <c r="O72" s="14">
        <v>6</v>
      </c>
      <c r="P72" s="14">
        <v>448</v>
      </c>
      <c r="Q72" s="14" t="s">
        <v>1557</v>
      </c>
      <c r="R72" s="14">
        <v>2</v>
      </c>
      <c r="S72" s="14">
        <v>1</v>
      </c>
      <c r="T72" s="14" t="s">
        <v>1527</v>
      </c>
      <c r="U72" s="14">
        <v>3</v>
      </c>
      <c r="V72" s="42">
        <v>2480109</v>
      </c>
      <c r="W72" s="42">
        <v>0</v>
      </c>
      <c r="X72" s="42" t="s">
        <v>1406</v>
      </c>
      <c r="Z72" s="14" t="s">
        <v>32</v>
      </c>
      <c r="AA72" s="45">
        <v>45282</v>
      </c>
      <c r="AB72" s="14">
        <v>24</v>
      </c>
      <c r="AC72" s="14">
        <v>80109</v>
      </c>
      <c r="AD72" s="14">
        <v>57</v>
      </c>
      <c r="AE72" s="14" t="s">
        <v>1551</v>
      </c>
      <c r="AF72" s="14">
        <v>57</v>
      </c>
      <c r="AG72" s="14" t="s">
        <v>1552</v>
      </c>
      <c r="AH72" s="14" t="s">
        <v>36</v>
      </c>
      <c r="AI72" s="14">
        <v>6</v>
      </c>
      <c r="AJ72" s="14">
        <v>448</v>
      </c>
      <c r="AK72" s="14" t="s">
        <v>1407</v>
      </c>
      <c r="AL72" s="14">
        <v>28282</v>
      </c>
      <c r="AM72" s="14" t="s">
        <v>1414</v>
      </c>
      <c r="AN72" s="14" t="s">
        <v>1572</v>
      </c>
      <c r="AO72" s="14">
        <v>28</v>
      </c>
      <c r="AP72" s="14" t="s">
        <v>1416</v>
      </c>
      <c r="AQ72" s="14">
        <v>0</v>
      </c>
      <c r="AR72" s="14" t="s">
        <v>1410</v>
      </c>
      <c r="AT72" s="14" t="s">
        <v>1417</v>
      </c>
      <c r="AU72" s="14" t="s">
        <v>1412</v>
      </c>
    </row>
    <row r="73" spans="1:47" x14ac:dyDescent="0.45">
      <c r="A73" s="42">
        <v>2405750138</v>
      </c>
      <c r="B73" s="14">
        <v>57</v>
      </c>
      <c r="C73" s="14" t="s">
        <v>1551</v>
      </c>
      <c r="D73" s="14">
        <v>57</v>
      </c>
      <c r="E73" s="14" t="s">
        <v>1552</v>
      </c>
      <c r="F73" s="14" t="s">
        <v>1185</v>
      </c>
      <c r="G73" s="14" t="s">
        <v>1186</v>
      </c>
      <c r="H73" s="14">
        <v>1</v>
      </c>
      <c r="I73" s="14" t="s">
        <v>1187</v>
      </c>
      <c r="J73" s="14" t="s">
        <v>1403</v>
      </c>
      <c r="K73" s="14">
        <v>2024</v>
      </c>
      <c r="L73" s="42">
        <v>2024</v>
      </c>
      <c r="M73" s="43">
        <v>45195</v>
      </c>
      <c r="N73" s="14" t="s">
        <v>36</v>
      </c>
      <c r="O73" s="14" t="s">
        <v>51</v>
      </c>
      <c r="P73" s="14">
        <v>968</v>
      </c>
      <c r="Q73" s="14" t="s">
        <v>1474</v>
      </c>
      <c r="R73" s="14">
        <v>1</v>
      </c>
      <c r="S73" s="14">
        <v>2</v>
      </c>
      <c r="T73" s="14" t="s">
        <v>1464</v>
      </c>
      <c r="U73" s="14">
        <v>1</v>
      </c>
      <c r="V73" s="42">
        <v>2480054</v>
      </c>
      <c r="W73" s="42">
        <v>0</v>
      </c>
      <c r="X73" s="42" t="s">
        <v>1406</v>
      </c>
      <c r="Z73" s="14" t="s">
        <v>32</v>
      </c>
      <c r="AA73" s="45">
        <v>45243</v>
      </c>
      <c r="AB73" s="14">
        <v>24</v>
      </c>
      <c r="AC73" s="14">
        <v>80054</v>
      </c>
      <c r="AD73" s="14">
        <v>57</v>
      </c>
      <c r="AE73" s="14" t="s">
        <v>1551</v>
      </c>
      <c r="AF73" s="14">
        <v>57</v>
      </c>
      <c r="AG73" s="14" t="s">
        <v>1552</v>
      </c>
      <c r="AH73" s="14" t="s">
        <v>36</v>
      </c>
      <c r="AI73" s="14" t="s">
        <v>51</v>
      </c>
      <c r="AJ73" s="14">
        <v>968</v>
      </c>
      <c r="AK73" s="14" t="s">
        <v>1407</v>
      </c>
      <c r="AL73" s="14">
        <v>28246</v>
      </c>
      <c r="AM73" s="14" t="s">
        <v>1418</v>
      </c>
      <c r="AN73" s="14" t="s">
        <v>1567</v>
      </c>
      <c r="AO73" s="14">
        <v>28</v>
      </c>
      <c r="AP73" s="14" t="s">
        <v>1416</v>
      </c>
      <c r="AQ73" s="14">
        <v>0</v>
      </c>
      <c r="AR73" s="14" t="s">
        <v>1410</v>
      </c>
      <c r="AT73" s="14" t="s">
        <v>1417</v>
      </c>
      <c r="AU73" s="14" t="s">
        <v>1412</v>
      </c>
    </row>
    <row r="74" spans="1:47" x14ac:dyDescent="0.45">
      <c r="A74" s="42">
        <v>2405750079</v>
      </c>
      <c r="B74" s="14">
        <v>57</v>
      </c>
      <c r="C74" s="14" t="s">
        <v>1551</v>
      </c>
      <c r="D74" s="14">
        <v>57</v>
      </c>
      <c r="E74" s="14" t="s">
        <v>1552</v>
      </c>
      <c r="F74" s="14" t="s">
        <v>350</v>
      </c>
      <c r="G74" s="14" t="s">
        <v>351</v>
      </c>
      <c r="H74" s="14">
        <v>1</v>
      </c>
      <c r="I74" s="14" t="s">
        <v>352</v>
      </c>
      <c r="J74" s="14" t="s">
        <v>1485</v>
      </c>
      <c r="K74" s="14">
        <v>2024</v>
      </c>
      <c r="L74" s="42">
        <v>2024</v>
      </c>
      <c r="M74" s="43">
        <v>45198</v>
      </c>
      <c r="N74" s="14" t="s">
        <v>36</v>
      </c>
      <c r="O74" s="14">
        <v>7</v>
      </c>
      <c r="P74" s="14">
        <v>266</v>
      </c>
      <c r="Q74" s="14" t="s">
        <v>1526</v>
      </c>
      <c r="R74" s="14">
        <v>2</v>
      </c>
      <c r="S74" s="14">
        <v>1</v>
      </c>
      <c r="T74" s="14" t="s">
        <v>1527</v>
      </c>
      <c r="U74" s="14">
        <v>3</v>
      </c>
      <c r="V74" s="42">
        <v>2480130</v>
      </c>
      <c r="W74" s="42">
        <v>0</v>
      </c>
      <c r="X74" s="42" t="s">
        <v>1406</v>
      </c>
      <c r="Z74" s="14" t="s">
        <v>32</v>
      </c>
      <c r="AA74" s="45">
        <v>45324</v>
      </c>
      <c r="AB74" s="14">
        <v>24</v>
      </c>
      <c r="AC74" s="14">
        <v>80130</v>
      </c>
      <c r="AD74" s="14">
        <v>57</v>
      </c>
      <c r="AE74" s="14" t="s">
        <v>1551</v>
      </c>
      <c r="AF74" s="14">
        <v>57</v>
      </c>
      <c r="AG74" s="14" t="s">
        <v>1552</v>
      </c>
      <c r="AH74" s="14" t="s">
        <v>36</v>
      </c>
      <c r="AI74" s="14">
        <v>7</v>
      </c>
      <c r="AJ74" s="14">
        <v>266</v>
      </c>
      <c r="AK74" s="14" t="s">
        <v>1407</v>
      </c>
      <c r="AL74" s="14">
        <v>31039</v>
      </c>
      <c r="AM74" s="14" t="s">
        <v>1418</v>
      </c>
      <c r="AN74" s="14" t="s">
        <v>1614</v>
      </c>
      <c r="AO74" s="14">
        <v>31</v>
      </c>
      <c r="AP74" s="14" t="s">
        <v>1487</v>
      </c>
      <c r="AQ74" s="14">
        <v>0</v>
      </c>
      <c r="AR74" s="14" t="s">
        <v>1410</v>
      </c>
      <c r="AT74" s="14" t="s">
        <v>1417</v>
      </c>
      <c r="AU74" s="14" t="s">
        <v>1412</v>
      </c>
    </row>
    <row r="75" spans="1:47" x14ac:dyDescent="0.45">
      <c r="A75" s="42">
        <v>2405750007</v>
      </c>
      <c r="B75" s="14">
        <v>57</v>
      </c>
      <c r="C75" s="14" t="s">
        <v>1551</v>
      </c>
      <c r="D75" s="14">
        <v>57</v>
      </c>
      <c r="E75" s="14" t="s">
        <v>1552</v>
      </c>
      <c r="F75" s="14" t="s">
        <v>69</v>
      </c>
      <c r="G75" s="14" t="s">
        <v>70</v>
      </c>
      <c r="H75" s="14">
        <v>2</v>
      </c>
      <c r="I75" s="14" t="s">
        <v>71</v>
      </c>
      <c r="J75" s="14" t="s">
        <v>1403</v>
      </c>
      <c r="K75" s="14">
        <v>2024</v>
      </c>
      <c r="L75" s="42">
        <v>2024</v>
      </c>
      <c r="M75" s="43">
        <v>45198</v>
      </c>
      <c r="N75" s="14" t="s">
        <v>36</v>
      </c>
      <c r="O75" s="14">
        <v>57</v>
      </c>
      <c r="P75" s="14">
        <v>1044</v>
      </c>
      <c r="Q75" s="14" t="s">
        <v>1476</v>
      </c>
      <c r="R75" s="14">
        <v>2</v>
      </c>
      <c r="S75" s="14">
        <v>3</v>
      </c>
      <c r="T75" s="14" t="s">
        <v>1477</v>
      </c>
      <c r="U75" s="14">
        <v>4</v>
      </c>
      <c r="V75" s="42">
        <v>2480040</v>
      </c>
      <c r="W75" s="42">
        <v>0</v>
      </c>
      <c r="X75" s="42" t="s">
        <v>1406</v>
      </c>
      <c r="Z75" s="14" t="s">
        <v>32</v>
      </c>
      <c r="AA75" s="45">
        <v>45230</v>
      </c>
      <c r="AB75" s="14">
        <v>24</v>
      </c>
      <c r="AC75" s="14">
        <v>80040</v>
      </c>
      <c r="AD75" s="14">
        <v>57</v>
      </c>
      <c r="AE75" s="14" t="s">
        <v>1551</v>
      </c>
      <c r="AF75" s="14">
        <v>57</v>
      </c>
      <c r="AG75" s="14" t="s">
        <v>1552</v>
      </c>
      <c r="AH75" s="14" t="s">
        <v>36</v>
      </c>
      <c r="AI75" s="14">
        <v>57</v>
      </c>
      <c r="AJ75" s="14">
        <v>1044</v>
      </c>
      <c r="AK75" s="14" t="s">
        <v>1407</v>
      </c>
      <c r="AL75" s="14">
        <v>28120</v>
      </c>
      <c r="AM75" s="14" t="s">
        <v>1418</v>
      </c>
      <c r="AN75" s="14" t="s">
        <v>1593</v>
      </c>
      <c r="AO75" s="14">
        <v>28</v>
      </c>
      <c r="AP75" s="14" t="s">
        <v>1416</v>
      </c>
      <c r="AQ75" s="14">
        <v>0</v>
      </c>
      <c r="AR75" s="14" t="s">
        <v>1410</v>
      </c>
      <c r="AT75" s="14" t="s">
        <v>1417</v>
      </c>
      <c r="AU75" s="14" t="s">
        <v>1412</v>
      </c>
    </row>
    <row r="76" spans="1:47" x14ac:dyDescent="0.45">
      <c r="A76" s="42">
        <v>2413150123</v>
      </c>
      <c r="B76" s="14">
        <v>131</v>
      </c>
      <c r="C76" s="14" t="s">
        <v>1462</v>
      </c>
      <c r="D76" s="14">
        <v>130</v>
      </c>
      <c r="E76" s="14" t="s">
        <v>1402</v>
      </c>
      <c r="F76" s="14" t="s">
        <v>1086</v>
      </c>
      <c r="G76" s="14" t="s">
        <v>1087</v>
      </c>
      <c r="H76" s="14">
        <v>2</v>
      </c>
      <c r="I76" s="14" t="s">
        <v>1088</v>
      </c>
      <c r="J76" s="14" t="s">
        <v>1403</v>
      </c>
      <c r="K76" s="14">
        <v>2024</v>
      </c>
      <c r="L76" s="42">
        <v>2024</v>
      </c>
      <c r="M76" s="43">
        <v>45205</v>
      </c>
      <c r="N76" s="14" t="s">
        <v>36</v>
      </c>
      <c r="O76" s="14" t="s">
        <v>708</v>
      </c>
      <c r="P76" s="14">
        <v>1044</v>
      </c>
      <c r="Q76" s="14" t="s">
        <v>1476</v>
      </c>
      <c r="R76" s="14">
        <v>2</v>
      </c>
      <c r="S76" s="14">
        <v>3</v>
      </c>
      <c r="T76" s="14" t="s">
        <v>1477</v>
      </c>
      <c r="U76" s="14">
        <v>4</v>
      </c>
      <c r="V76" s="42">
        <v>2422579</v>
      </c>
      <c r="W76" s="42">
        <v>0</v>
      </c>
      <c r="X76" s="42" t="s">
        <v>1406</v>
      </c>
      <c r="Z76" s="14" t="s">
        <v>32</v>
      </c>
      <c r="AA76" s="45">
        <v>45328</v>
      </c>
      <c r="AB76" s="14">
        <v>24</v>
      </c>
      <c r="AC76" s="14">
        <v>22579</v>
      </c>
      <c r="AD76" s="14">
        <v>131</v>
      </c>
      <c r="AE76" s="14" t="s">
        <v>1462</v>
      </c>
      <c r="AF76" s="14">
        <v>130</v>
      </c>
      <c r="AG76" s="14" t="s">
        <v>1402</v>
      </c>
      <c r="AH76" s="14" t="s">
        <v>36</v>
      </c>
      <c r="AI76" s="14" t="s">
        <v>708</v>
      </c>
      <c r="AJ76" s="14">
        <v>1044</v>
      </c>
      <c r="AK76" s="14" t="s">
        <v>1407</v>
      </c>
      <c r="AL76" s="14">
        <v>28139</v>
      </c>
      <c r="AM76" s="14" t="s">
        <v>1418</v>
      </c>
      <c r="AN76" s="14" t="s">
        <v>1478</v>
      </c>
      <c r="AO76" s="14">
        <v>28</v>
      </c>
      <c r="AP76" s="14" t="s">
        <v>1416</v>
      </c>
      <c r="AQ76" s="14">
        <v>0</v>
      </c>
      <c r="AR76" s="14" t="s">
        <v>1410</v>
      </c>
      <c r="AT76" s="14" t="s">
        <v>1417</v>
      </c>
      <c r="AU76" s="14" t="s">
        <v>1412</v>
      </c>
    </row>
    <row r="77" spans="1:47" x14ac:dyDescent="0.45">
      <c r="A77" s="42">
        <v>2413150118</v>
      </c>
      <c r="B77" s="14">
        <v>131</v>
      </c>
      <c r="C77" s="14" t="s">
        <v>1462</v>
      </c>
      <c r="D77" s="14">
        <v>130</v>
      </c>
      <c r="E77" s="14" t="s">
        <v>1402</v>
      </c>
      <c r="F77" s="14" t="s">
        <v>1073</v>
      </c>
      <c r="G77" s="14" t="s">
        <v>1074</v>
      </c>
      <c r="H77" s="14">
        <v>2</v>
      </c>
      <c r="I77" s="14" t="s">
        <v>1075</v>
      </c>
      <c r="J77" s="14" t="s">
        <v>1403</v>
      </c>
      <c r="K77" s="14">
        <v>2024</v>
      </c>
      <c r="L77" s="42">
        <v>2024</v>
      </c>
      <c r="M77" s="43">
        <v>45194</v>
      </c>
      <c r="N77" s="14" t="s">
        <v>36</v>
      </c>
      <c r="O77" s="14" t="s">
        <v>704</v>
      </c>
      <c r="P77" s="14">
        <v>427</v>
      </c>
      <c r="Q77" s="14" t="s">
        <v>1479</v>
      </c>
      <c r="R77" s="14">
        <v>2</v>
      </c>
      <c r="S77" s="14">
        <v>2</v>
      </c>
      <c r="T77" s="14" t="s">
        <v>1464</v>
      </c>
      <c r="U77" s="14">
        <v>1</v>
      </c>
      <c r="V77" s="42">
        <v>2422581</v>
      </c>
      <c r="W77" s="42">
        <v>0</v>
      </c>
      <c r="X77" s="42" t="s">
        <v>1406</v>
      </c>
      <c r="Z77" s="14" t="s">
        <v>32</v>
      </c>
      <c r="AA77" s="45">
        <v>45328</v>
      </c>
      <c r="AB77" s="14">
        <v>24</v>
      </c>
      <c r="AC77" s="14">
        <v>22581</v>
      </c>
      <c r="AD77" s="14">
        <v>131</v>
      </c>
      <c r="AE77" s="14" t="s">
        <v>1462</v>
      </c>
      <c r="AF77" s="14">
        <v>130</v>
      </c>
      <c r="AG77" s="14" t="s">
        <v>1402</v>
      </c>
      <c r="AH77" s="14" t="s">
        <v>36</v>
      </c>
      <c r="AI77" s="14" t="s">
        <v>704</v>
      </c>
      <c r="AJ77" s="14">
        <v>427</v>
      </c>
      <c r="AK77" s="14" t="s">
        <v>1473</v>
      </c>
      <c r="AL77" s="14">
        <v>28169</v>
      </c>
      <c r="AM77" s="14" t="s">
        <v>1418</v>
      </c>
      <c r="AN77" s="14" t="s">
        <v>1547</v>
      </c>
      <c r="AO77" s="14">
        <v>28</v>
      </c>
      <c r="AP77" s="14" t="s">
        <v>1416</v>
      </c>
      <c r="AQ77" s="14">
        <v>0</v>
      </c>
      <c r="AR77" s="14" t="s">
        <v>1410</v>
      </c>
      <c r="AT77" s="14" t="s">
        <v>1417</v>
      </c>
      <c r="AU77" s="14" t="s">
        <v>1412</v>
      </c>
    </row>
    <row r="78" spans="1:47" x14ac:dyDescent="0.45">
      <c r="A78" s="42">
        <v>2405750021</v>
      </c>
      <c r="B78" s="14">
        <v>57</v>
      </c>
      <c r="C78" s="14" t="s">
        <v>1551</v>
      </c>
      <c r="D78" s="14">
        <v>57</v>
      </c>
      <c r="E78" s="14" t="s">
        <v>1552</v>
      </c>
      <c r="F78" s="14" t="s">
        <v>129</v>
      </c>
      <c r="G78" s="14" t="s">
        <v>130</v>
      </c>
      <c r="H78" s="14">
        <v>2</v>
      </c>
      <c r="I78" s="14" t="s">
        <v>131</v>
      </c>
      <c r="J78" s="14" t="s">
        <v>1403</v>
      </c>
      <c r="K78" s="14">
        <v>2024</v>
      </c>
      <c r="L78" s="42">
        <v>2024</v>
      </c>
      <c r="M78" s="43">
        <v>45198</v>
      </c>
      <c r="N78" s="14" t="s">
        <v>36</v>
      </c>
      <c r="O78" s="14">
        <v>58</v>
      </c>
      <c r="P78" s="14">
        <v>968</v>
      </c>
      <c r="Q78" s="14" t="s">
        <v>1474</v>
      </c>
      <c r="R78" s="14">
        <v>2</v>
      </c>
      <c r="S78" s="14">
        <v>2</v>
      </c>
      <c r="T78" s="14" t="s">
        <v>1464</v>
      </c>
      <c r="U78" s="14">
        <v>1</v>
      </c>
      <c r="V78" s="42">
        <v>2480030</v>
      </c>
      <c r="W78" s="42">
        <v>0</v>
      </c>
      <c r="X78" s="42" t="s">
        <v>1406</v>
      </c>
      <c r="Z78" s="14" t="s">
        <v>32</v>
      </c>
      <c r="AA78" s="45">
        <v>45223</v>
      </c>
      <c r="AB78" s="14">
        <v>24</v>
      </c>
      <c r="AC78" s="14">
        <v>80030</v>
      </c>
      <c r="AD78" s="14">
        <v>57</v>
      </c>
      <c r="AE78" s="14" t="s">
        <v>1551</v>
      </c>
      <c r="AF78" s="14">
        <v>57</v>
      </c>
      <c r="AG78" s="14" t="s">
        <v>1552</v>
      </c>
      <c r="AH78" s="14" t="s">
        <v>36</v>
      </c>
      <c r="AI78" s="14">
        <v>58</v>
      </c>
      <c r="AJ78" s="14">
        <v>968</v>
      </c>
      <c r="AK78" s="14" t="s">
        <v>1407</v>
      </c>
      <c r="AL78" s="14">
        <v>28025</v>
      </c>
      <c r="AM78" s="14" t="s">
        <v>1421</v>
      </c>
      <c r="AN78" s="14" t="s">
        <v>1550</v>
      </c>
      <c r="AO78" s="14">
        <v>28</v>
      </c>
      <c r="AP78" s="14" t="s">
        <v>1416</v>
      </c>
      <c r="AQ78" s="14">
        <v>0</v>
      </c>
      <c r="AR78" s="14" t="s">
        <v>1410</v>
      </c>
      <c r="AT78" s="14" t="s">
        <v>1417</v>
      </c>
      <c r="AU78" s="14" t="s">
        <v>1412</v>
      </c>
    </row>
    <row r="79" spans="1:47" x14ac:dyDescent="0.45">
      <c r="A79" s="42">
        <v>2405750100</v>
      </c>
      <c r="B79" s="14">
        <v>57</v>
      </c>
      <c r="C79" s="14" t="s">
        <v>1551</v>
      </c>
      <c r="D79" s="14">
        <v>57</v>
      </c>
      <c r="E79" s="14" t="s">
        <v>1552</v>
      </c>
      <c r="F79" s="14" t="s">
        <v>419</v>
      </c>
      <c r="G79" s="14" t="s">
        <v>420</v>
      </c>
      <c r="H79" s="14">
        <v>1</v>
      </c>
      <c r="I79" s="14" t="s">
        <v>421</v>
      </c>
      <c r="J79" s="14" t="s">
        <v>1403</v>
      </c>
      <c r="K79" s="14">
        <v>2024</v>
      </c>
      <c r="L79" s="42">
        <v>2024</v>
      </c>
      <c r="M79" s="43">
        <v>45201</v>
      </c>
      <c r="N79" s="14" t="s">
        <v>36</v>
      </c>
      <c r="O79" s="14">
        <v>58</v>
      </c>
      <c r="P79" s="14">
        <v>852</v>
      </c>
      <c r="Q79" s="14" t="s">
        <v>1472</v>
      </c>
      <c r="R79" s="14">
        <v>2</v>
      </c>
      <c r="S79" s="14">
        <v>2</v>
      </c>
      <c r="T79" s="14" t="s">
        <v>1464</v>
      </c>
      <c r="U79" s="14">
        <v>1</v>
      </c>
      <c r="V79" s="42">
        <v>2480206</v>
      </c>
      <c r="W79" s="42">
        <v>0</v>
      </c>
      <c r="X79" s="42" t="s">
        <v>1406</v>
      </c>
      <c r="Z79" s="14" t="s">
        <v>32</v>
      </c>
      <c r="AA79" s="45">
        <v>45383</v>
      </c>
      <c r="AB79" s="14">
        <v>24</v>
      </c>
      <c r="AC79" s="14">
        <v>80206</v>
      </c>
      <c r="AD79" s="14">
        <v>57</v>
      </c>
      <c r="AE79" s="14" t="s">
        <v>1551</v>
      </c>
      <c r="AF79" s="14">
        <v>57</v>
      </c>
      <c r="AG79" s="14" t="s">
        <v>1552</v>
      </c>
      <c r="AH79" s="14" t="s">
        <v>36</v>
      </c>
      <c r="AI79" s="14">
        <v>58</v>
      </c>
      <c r="AJ79" s="14">
        <v>852</v>
      </c>
      <c r="AK79" s="14" t="s">
        <v>1473</v>
      </c>
      <c r="AL79" s="14">
        <v>28203</v>
      </c>
      <c r="AM79" s="14" t="s">
        <v>1418</v>
      </c>
      <c r="AN79" s="14" t="s">
        <v>1619</v>
      </c>
      <c r="AO79" s="14">
        <v>28</v>
      </c>
      <c r="AP79" s="14" t="s">
        <v>1416</v>
      </c>
      <c r="AQ79" s="14">
        <v>0</v>
      </c>
      <c r="AR79" s="14" t="s">
        <v>1410</v>
      </c>
      <c r="AT79" s="14" t="s">
        <v>1417</v>
      </c>
      <c r="AU79" s="14" t="s">
        <v>1412</v>
      </c>
    </row>
    <row r="80" spans="1:47" x14ac:dyDescent="0.45">
      <c r="A80" s="42">
        <v>2405750058</v>
      </c>
      <c r="B80" s="14">
        <v>57</v>
      </c>
      <c r="C80" s="14" t="s">
        <v>1551</v>
      </c>
      <c r="D80" s="14">
        <v>57</v>
      </c>
      <c r="E80" s="14" t="s">
        <v>1552</v>
      </c>
      <c r="F80" s="14" t="s">
        <v>272</v>
      </c>
      <c r="G80" s="14" t="s">
        <v>273</v>
      </c>
      <c r="H80" s="14">
        <v>2</v>
      </c>
      <c r="I80" s="14" t="s">
        <v>274</v>
      </c>
      <c r="J80" s="14" t="s">
        <v>1403</v>
      </c>
      <c r="K80" s="14">
        <v>2024</v>
      </c>
      <c r="L80" s="42">
        <v>2024</v>
      </c>
      <c r="M80" s="43">
        <v>45201</v>
      </c>
      <c r="N80" s="14" t="s">
        <v>36</v>
      </c>
      <c r="O80" s="14">
        <v>58</v>
      </c>
      <c r="P80" s="14">
        <v>968</v>
      </c>
      <c r="Q80" s="14" t="s">
        <v>1474</v>
      </c>
      <c r="R80" s="14">
        <v>2</v>
      </c>
      <c r="S80" s="14">
        <v>2</v>
      </c>
      <c r="T80" s="14" t="s">
        <v>1464</v>
      </c>
      <c r="U80" s="14">
        <v>1</v>
      </c>
      <c r="V80" s="42">
        <v>2480187</v>
      </c>
      <c r="W80" s="42">
        <v>0</v>
      </c>
      <c r="X80" s="42" t="s">
        <v>1406</v>
      </c>
      <c r="Y80" s="59"/>
      <c r="Z80" s="14" t="s">
        <v>32</v>
      </c>
      <c r="AA80" s="45">
        <v>45373</v>
      </c>
      <c r="AB80" s="14">
        <v>24</v>
      </c>
      <c r="AC80" s="14">
        <v>80187</v>
      </c>
      <c r="AD80" s="14">
        <v>57</v>
      </c>
      <c r="AE80" s="14" t="s">
        <v>1551</v>
      </c>
      <c r="AF80" s="14">
        <v>57</v>
      </c>
      <c r="AG80" s="14" t="s">
        <v>1552</v>
      </c>
      <c r="AH80" s="14" t="s">
        <v>36</v>
      </c>
      <c r="AI80" s="14">
        <v>58</v>
      </c>
      <c r="AJ80" s="14">
        <v>968</v>
      </c>
      <c r="AK80" s="14" t="s">
        <v>1407</v>
      </c>
      <c r="AL80" s="14">
        <v>28282</v>
      </c>
      <c r="AM80" s="14" t="s">
        <v>1414</v>
      </c>
      <c r="AN80" s="14" t="s">
        <v>1572</v>
      </c>
      <c r="AO80" s="14">
        <v>28</v>
      </c>
      <c r="AP80" s="14" t="s">
        <v>1416</v>
      </c>
      <c r="AQ80" s="14">
        <v>0</v>
      </c>
      <c r="AR80" s="14" t="s">
        <v>1410</v>
      </c>
      <c r="AT80" s="14" t="s">
        <v>1417</v>
      </c>
      <c r="AU80" s="14" t="s">
        <v>1412</v>
      </c>
    </row>
    <row r="81" spans="1:47" x14ac:dyDescent="0.45">
      <c r="A81" s="42">
        <v>2405750048</v>
      </c>
      <c r="B81" s="14">
        <v>57</v>
      </c>
      <c r="C81" s="14" t="s">
        <v>1551</v>
      </c>
      <c r="D81" s="14">
        <v>57</v>
      </c>
      <c r="E81" s="14" t="s">
        <v>1552</v>
      </c>
      <c r="F81" s="14" t="s">
        <v>236</v>
      </c>
      <c r="G81" s="14" t="s">
        <v>237</v>
      </c>
      <c r="H81" s="14">
        <v>1</v>
      </c>
      <c r="I81" s="14" t="s">
        <v>238</v>
      </c>
      <c r="J81" s="14" t="s">
        <v>1403</v>
      </c>
      <c r="K81" s="14">
        <v>2024</v>
      </c>
      <c r="L81" s="42">
        <v>2024</v>
      </c>
      <c r="M81" s="43">
        <v>45201</v>
      </c>
      <c r="N81" s="14" t="s">
        <v>36</v>
      </c>
      <c r="O81" s="14">
        <v>58</v>
      </c>
      <c r="P81" s="14">
        <v>290</v>
      </c>
      <c r="Q81" s="14" t="s">
        <v>1496</v>
      </c>
      <c r="R81" s="14">
        <v>2</v>
      </c>
      <c r="S81" s="14">
        <v>2</v>
      </c>
      <c r="T81" s="14" t="s">
        <v>1464</v>
      </c>
      <c r="U81" s="14">
        <v>1</v>
      </c>
      <c r="V81" s="42">
        <v>2480145</v>
      </c>
      <c r="W81" s="42">
        <v>0</v>
      </c>
      <c r="X81" s="42" t="s">
        <v>1406</v>
      </c>
      <c r="Z81" s="14" t="s">
        <v>32</v>
      </c>
      <c r="AA81" s="45">
        <v>45336</v>
      </c>
      <c r="AB81" s="14">
        <v>24</v>
      </c>
      <c r="AC81" s="14">
        <v>80145</v>
      </c>
      <c r="AD81" s="14">
        <v>57</v>
      </c>
      <c r="AE81" s="14" t="s">
        <v>1551</v>
      </c>
      <c r="AF81" s="14">
        <v>57</v>
      </c>
      <c r="AG81" s="14" t="s">
        <v>1552</v>
      </c>
      <c r="AH81" s="14" t="s">
        <v>36</v>
      </c>
      <c r="AI81" s="14">
        <v>58</v>
      </c>
      <c r="AJ81" s="14">
        <v>290</v>
      </c>
      <c r="AK81" s="14" t="s">
        <v>1407</v>
      </c>
      <c r="AL81" s="14">
        <v>28152</v>
      </c>
      <c r="AM81" s="14" t="s">
        <v>1418</v>
      </c>
      <c r="AN81" s="14" t="s">
        <v>1453</v>
      </c>
      <c r="AO81" s="14">
        <v>28</v>
      </c>
      <c r="AP81" s="14" t="s">
        <v>1416</v>
      </c>
      <c r="AQ81" s="14">
        <v>0</v>
      </c>
      <c r="AR81" s="14" t="s">
        <v>1410</v>
      </c>
      <c r="AT81" s="14" t="s">
        <v>1417</v>
      </c>
      <c r="AU81" s="14" t="s">
        <v>1412</v>
      </c>
    </row>
    <row r="82" spans="1:47" x14ac:dyDescent="0.45">
      <c r="A82" s="42">
        <v>2405750091</v>
      </c>
      <c r="B82" s="14">
        <v>57</v>
      </c>
      <c r="C82" s="14" t="s">
        <v>1551</v>
      </c>
      <c r="D82" s="14">
        <v>57</v>
      </c>
      <c r="E82" s="14" t="s">
        <v>1552</v>
      </c>
      <c r="F82" s="14" t="s">
        <v>390</v>
      </c>
      <c r="G82" s="14" t="s">
        <v>391</v>
      </c>
      <c r="H82" s="14">
        <v>1</v>
      </c>
      <c r="I82" s="14" t="s">
        <v>392</v>
      </c>
      <c r="J82" s="14" t="s">
        <v>1403</v>
      </c>
      <c r="K82" s="14">
        <v>2024</v>
      </c>
      <c r="L82" s="42">
        <v>2024</v>
      </c>
      <c r="M82" s="43">
        <v>45201</v>
      </c>
      <c r="N82" s="14" t="s">
        <v>36</v>
      </c>
      <c r="O82" s="14">
        <v>58</v>
      </c>
      <c r="P82" s="14">
        <v>290</v>
      </c>
      <c r="Q82" s="14" t="s">
        <v>1496</v>
      </c>
      <c r="R82" s="14">
        <v>2</v>
      </c>
      <c r="S82" s="14">
        <v>2</v>
      </c>
      <c r="T82" s="14" t="s">
        <v>1464</v>
      </c>
      <c r="U82" s="14">
        <v>1</v>
      </c>
      <c r="V82" s="42">
        <v>2480105</v>
      </c>
      <c r="W82" s="42">
        <v>0</v>
      </c>
      <c r="X82" s="42" t="s">
        <v>1406</v>
      </c>
      <c r="Z82" s="14" t="s">
        <v>32</v>
      </c>
      <c r="AA82" s="45">
        <v>45282</v>
      </c>
      <c r="AB82" s="14">
        <v>24</v>
      </c>
      <c r="AC82" s="14">
        <v>80105</v>
      </c>
      <c r="AD82" s="14">
        <v>57</v>
      </c>
      <c r="AE82" s="14" t="s">
        <v>1551</v>
      </c>
      <c r="AF82" s="14">
        <v>57</v>
      </c>
      <c r="AG82" s="14" t="s">
        <v>1552</v>
      </c>
      <c r="AH82" s="14" t="s">
        <v>36</v>
      </c>
      <c r="AI82" s="14">
        <v>57</v>
      </c>
      <c r="AJ82" s="14">
        <v>1044</v>
      </c>
      <c r="AK82" s="14" t="s">
        <v>1473</v>
      </c>
      <c r="AL82" s="14">
        <v>28122</v>
      </c>
      <c r="AM82" s="14" t="s">
        <v>1418</v>
      </c>
      <c r="AN82" s="14" t="s">
        <v>1428</v>
      </c>
      <c r="AO82" s="14">
        <v>28</v>
      </c>
      <c r="AP82" s="14" t="s">
        <v>1416</v>
      </c>
      <c r="AQ82" s="14">
        <v>0</v>
      </c>
      <c r="AR82" s="14" t="s">
        <v>1410</v>
      </c>
      <c r="AT82" s="14" t="s">
        <v>1417</v>
      </c>
      <c r="AU82" s="14" t="s">
        <v>1412</v>
      </c>
    </row>
    <row r="83" spans="1:47" x14ac:dyDescent="0.45">
      <c r="A83" s="42">
        <v>2413150022</v>
      </c>
      <c r="B83" s="14">
        <v>131</v>
      </c>
      <c r="C83" s="14" t="s">
        <v>1462</v>
      </c>
      <c r="D83" s="14">
        <v>130</v>
      </c>
      <c r="E83" s="14" t="s">
        <v>1402</v>
      </c>
      <c r="F83" s="14" t="s">
        <v>782</v>
      </c>
      <c r="G83" s="14" t="s">
        <v>783</v>
      </c>
      <c r="H83" s="14">
        <v>2</v>
      </c>
      <c r="I83" s="14" t="s">
        <v>513</v>
      </c>
      <c r="J83" s="14" t="s">
        <v>1403</v>
      </c>
      <c r="K83" s="14">
        <v>2024</v>
      </c>
      <c r="L83" s="42">
        <v>2024</v>
      </c>
      <c r="M83" s="43">
        <v>45188</v>
      </c>
      <c r="N83" s="14" t="s">
        <v>36</v>
      </c>
      <c r="O83" s="14" t="s">
        <v>704</v>
      </c>
      <c r="P83" s="14">
        <v>290</v>
      </c>
      <c r="Q83" s="14" t="s">
        <v>1496</v>
      </c>
      <c r="R83" s="14">
        <v>2</v>
      </c>
      <c r="S83" s="14">
        <v>2</v>
      </c>
      <c r="T83" s="14" t="s">
        <v>1464</v>
      </c>
      <c r="U83" s="14">
        <v>1</v>
      </c>
      <c r="V83" s="42">
        <v>2422576</v>
      </c>
      <c r="W83" s="42">
        <v>0</v>
      </c>
      <c r="X83" s="42" t="s">
        <v>1406</v>
      </c>
      <c r="Z83" s="14" t="s">
        <v>32</v>
      </c>
      <c r="AA83" s="45">
        <v>45320</v>
      </c>
      <c r="AB83" s="14">
        <v>24</v>
      </c>
      <c r="AC83" s="14">
        <v>22576</v>
      </c>
      <c r="AD83" s="14">
        <v>131</v>
      </c>
      <c r="AE83" s="14" t="s">
        <v>1462</v>
      </c>
      <c r="AF83" s="14">
        <v>130</v>
      </c>
      <c r="AG83" s="14" t="s">
        <v>1402</v>
      </c>
      <c r="AH83" s="14" t="s">
        <v>36</v>
      </c>
      <c r="AI83" s="14" t="s">
        <v>704</v>
      </c>
      <c r="AJ83" s="14">
        <v>290</v>
      </c>
      <c r="AK83" s="14" t="s">
        <v>1407</v>
      </c>
      <c r="AL83" s="14">
        <v>28205</v>
      </c>
      <c r="AM83" s="14" t="s">
        <v>1418</v>
      </c>
      <c r="AN83" s="14" t="s">
        <v>1436</v>
      </c>
      <c r="AO83" s="14">
        <v>28</v>
      </c>
      <c r="AP83" s="14" t="s">
        <v>1416</v>
      </c>
      <c r="AQ83" s="14">
        <v>0</v>
      </c>
      <c r="AR83" s="14" t="s">
        <v>1410</v>
      </c>
      <c r="AT83" s="14" t="s">
        <v>1417</v>
      </c>
      <c r="AU83" s="14" t="s">
        <v>1412</v>
      </c>
    </row>
    <row r="84" spans="1:47" x14ac:dyDescent="0.45">
      <c r="A84" s="42">
        <v>2405750010</v>
      </c>
      <c r="B84" s="14">
        <v>57</v>
      </c>
      <c r="C84" s="14" t="s">
        <v>1551</v>
      </c>
      <c r="D84" s="14">
        <v>57</v>
      </c>
      <c r="E84" s="14" t="s">
        <v>1552</v>
      </c>
      <c r="F84" s="14" t="s">
        <v>82</v>
      </c>
      <c r="G84" s="14" t="s">
        <v>83</v>
      </c>
      <c r="H84" s="14">
        <v>1</v>
      </c>
      <c r="I84" s="14" t="s">
        <v>84</v>
      </c>
      <c r="J84" s="14" t="s">
        <v>1403</v>
      </c>
      <c r="K84" s="14">
        <v>2024</v>
      </c>
      <c r="L84" s="42">
        <v>2024</v>
      </c>
      <c r="M84" s="43">
        <v>45201</v>
      </c>
      <c r="N84" s="14" t="s">
        <v>36</v>
      </c>
      <c r="O84" s="14">
        <v>58</v>
      </c>
      <c r="P84" s="14">
        <v>428</v>
      </c>
      <c r="Q84" s="14" t="s">
        <v>1463</v>
      </c>
      <c r="R84" s="14">
        <v>2</v>
      </c>
      <c r="S84" s="14">
        <v>2</v>
      </c>
      <c r="T84" s="14" t="s">
        <v>1464</v>
      </c>
      <c r="U84" s="14">
        <v>1</v>
      </c>
      <c r="V84" s="42">
        <v>2480072</v>
      </c>
      <c r="W84" s="42">
        <v>0</v>
      </c>
      <c r="X84" s="42" t="s">
        <v>1406</v>
      </c>
      <c r="Y84" s="59"/>
      <c r="Z84" s="14" t="s">
        <v>32</v>
      </c>
      <c r="AA84" s="45">
        <v>45258</v>
      </c>
      <c r="AB84" s="14">
        <v>24</v>
      </c>
      <c r="AC84" s="14">
        <v>80072</v>
      </c>
      <c r="AD84" s="14">
        <v>57</v>
      </c>
      <c r="AE84" s="14" t="s">
        <v>1551</v>
      </c>
      <c r="AF84" s="14">
        <v>57</v>
      </c>
      <c r="AG84" s="14" t="s">
        <v>1552</v>
      </c>
      <c r="AH84" s="14" t="s">
        <v>36</v>
      </c>
      <c r="AI84" s="14">
        <v>58</v>
      </c>
      <c r="AJ84" s="14">
        <v>428</v>
      </c>
      <c r="AK84" s="14" t="s">
        <v>1473</v>
      </c>
      <c r="AL84" s="14">
        <v>28066</v>
      </c>
      <c r="AM84" s="14" t="s">
        <v>1418</v>
      </c>
      <c r="AN84" s="14" t="s">
        <v>1597</v>
      </c>
      <c r="AO84" s="14">
        <v>28</v>
      </c>
      <c r="AP84" s="14" t="s">
        <v>1416</v>
      </c>
      <c r="AQ84" s="14">
        <v>0</v>
      </c>
      <c r="AR84" s="14" t="s">
        <v>1410</v>
      </c>
      <c r="AT84" s="14" t="s">
        <v>1417</v>
      </c>
      <c r="AU84" s="14" t="s">
        <v>1412</v>
      </c>
    </row>
    <row r="85" spans="1:47" x14ac:dyDescent="0.45">
      <c r="A85" s="42">
        <v>2405750040</v>
      </c>
      <c r="B85" s="14">
        <v>57</v>
      </c>
      <c r="C85" s="14" t="s">
        <v>1551</v>
      </c>
      <c r="D85" s="14">
        <v>57</v>
      </c>
      <c r="E85" s="14" t="s">
        <v>1552</v>
      </c>
      <c r="F85" s="14" t="s">
        <v>206</v>
      </c>
      <c r="G85" s="14" t="s">
        <v>207</v>
      </c>
      <c r="H85" s="14">
        <v>2</v>
      </c>
      <c r="I85" s="14" t="s">
        <v>201</v>
      </c>
      <c r="J85" s="14" t="s">
        <v>1403</v>
      </c>
      <c r="K85" s="14">
        <v>2024</v>
      </c>
      <c r="L85" s="42">
        <v>2024</v>
      </c>
      <c r="M85" s="43">
        <v>45201</v>
      </c>
      <c r="N85" s="14" t="s">
        <v>36</v>
      </c>
      <c r="O85" s="14">
        <v>57</v>
      </c>
      <c r="P85" s="14">
        <v>1044</v>
      </c>
      <c r="Q85" s="14" t="s">
        <v>1476</v>
      </c>
      <c r="R85" s="14">
        <v>2</v>
      </c>
      <c r="S85" s="14">
        <v>3</v>
      </c>
      <c r="T85" s="14" t="s">
        <v>1477</v>
      </c>
      <c r="U85" s="14">
        <v>4</v>
      </c>
      <c r="V85" s="42">
        <v>2480031</v>
      </c>
      <c r="W85" s="42">
        <v>0</v>
      </c>
      <c r="X85" s="42" t="s">
        <v>1406</v>
      </c>
      <c r="Z85" s="14" t="s">
        <v>32</v>
      </c>
      <c r="AA85" s="45">
        <v>45223</v>
      </c>
      <c r="AB85" s="14">
        <v>24</v>
      </c>
      <c r="AC85" s="14">
        <v>80031</v>
      </c>
      <c r="AD85" s="14">
        <v>57</v>
      </c>
      <c r="AE85" s="14" t="s">
        <v>1551</v>
      </c>
      <c r="AF85" s="14">
        <v>57</v>
      </c>
      <c r="AG85" s="14" t="s">
        <v>1552</v>
      </c>
      <c r="AH85" s="14" t="s">
        <v>36</v>
      </c>
      <c r="AI85" s="14">
        <v>57</v>
      </c>
      <c r="AJ85" s="14">
        <v>1044</v>
      </c>
      <c r="AK85" s="14" t="s">
        <v>1407</v>
      </c>
      <c r="AL85" s="14">
        <v>28030</v>
      </c>
      <c r="AM85" s="14" t="s">
        <v>1418</v>
      </c>
      <c r="AN85" s="14" t="s">
        <v>1566</v>
      </c>
      <c r="AO85" s="14">
        <v>28</v>
      </c>
      <c r="AP85" s="14" t="s">
        <v>1416</v>
      </c>
      <c r="AQ85" s="14">
        <v>0</v>
      </c>
      <c r="AR85" s="14" t="s">
        <v>1410</v>
      </c>
      <c r="AT85" s="14" t="s">
        <v>1417</v>
      </c>
      <c r="AU85" s="14" t="s">
        <v>1412</v>
      </c>
    </row>
    <row r="86" spans="1:47" x14ac:dyDescent="0.45">
      <c r="A86" s="42">
        <v>2405750036</v>
      </c>
      <c r="B86" s="14">
        <v>57</v>
      </c>
      <c r="C86" s="14" t="s">
        <v>1551</v>
      </c>
      <c r="D86" s="14">
        <v>57</v>
      </c>
      <c r="E86" s="14" t="s">
        <v>1552</v>
      </c>
      <c r="F86" s="14" t="s">
        <v>191</v>
      </c>
      <c r="G86" s="14" t="s">
        <v>192</v>
      </c>
      <c r="H86" s="14">
        <v>2</v>
      </c>
      <c r="I86" s="14" t="s">
        <v>193</v>
      </c>
      <c r="J86" s="14" t="s">
        <v>1403</v>
      </c>
      <c r="K86" s="14">
        <v>2024</v>
      </c>
      <c r="L86" s="42">
        <v>2024</v>
      </c>
      <c r="M86" s="43">
        <v>45202</v>
      </c>
      <c r="N86" s="14" t="s">
        <v>36</v>
      </c>
      <c r="O86" s="14">
        <v>6</v>
      </c>
      <c r="P86" s="14">
        <v>448</v>
      </c>
      <c r="Q86" s="14" t="s">
        <v>1557</v>
      </c>
      <c r="R86" s="14">
        <v>2</v>
      </c>
      <c r="S86" s="14">
        <v>1</v>
      </c>
      <c r="T86" s="14" t="s">
        <v>1527</v>
      </c>
      <c r="U86" s="14">
        <v>3</v>
      </c>
      <c r="V86" s="42">
        <v>2480032</v>
      </c>
      <c r="W86" s="42">
        <v>0</v>
      </c>
      <c r="X86" s="42" t="s">
        <v>1406</v>
      </c>
      <c r="Z86" s="14" t="s">
        <v>32</v>
      </c>
      <c r="AA86" s="45">
        <v>45223</v>
      </c>
      <c r="AB86" s="14">
        <v>24</v>
      </c>
      <c r="AC86" s="14">
        <v>80032</v>
      </c>
      <c r="AD86" s="14">
        <v>57</v>
      </c>
      <c r="AE86" s="14" t="s">
        <v>1551</v>
      </c>
      <c r="AF86" s="14">
        <v>57</v>
      </c>
      <c r="AG86" s="14" t="s">
        <v>1552</v>
      </c>
      <c r="AH86" s="14" t="s">
        <v>36</v>
      </c>
      <c r="AI86" s="14">
        <v>6</v>
      </c>
      <c r="AJ86" s="14">
        <v>448</v>
      </c>
      <c r="AK86" s="14" t="s">
        <v>1407</v>
      </c>
      <c r="AL86" s="14">
        <v>28282</v>
      </c>
      <c r="AM86" s="14" t="s">
        <v>1414</v>
      </c>
      <c r="AN86" s="14" t="s">
        <v>1572</v>
      </c>
      <c r="AO86" s="14">
        <v>28</v>
      </c>
      <c r="AP86" s="14" t="s">
        <v>1416</v>
      </c>
      <c r="AQ86" s="14">
        <v>0</v>
      </c>
      <c r="AR86" s="14" t="s">
        <v>1410</v>
      </c>
      <c r="AT86" s="14" t="s">
        <v>1417</v>
      </c>
      <c r="AU86" s="14" t="s">
        <v>1412</v>
      </c>
    </row>
    <row r="87" spans="1:47" x14ac:dyDescent="0.45">
      <c r="A87" s="42">
        <v>2405750056</v>
      </c>
      <c r="B87" s="14">
        <v>57</v>
      </c>
      <c r="C87" s="14" t="s">
        <v>1551</v>
      </c>
      <c r="D87" s="14">
        <v>57</v>
      </c>
      <c r="E87" s="14" t="s">
        <v>1552</v>
      </c>
      <c r="F87" s="14" t="s">
        <v>264</v>
      </c>
      <c r="G87" s="14" t="s">
        <v>265</v>
      </c>
      <c r="H87" s="14">
        <v>2</v>
      </c>
      <c r="I87" s="14" t="s">
        <v>266</v>
      </c>
      <c r="J87" s="14" t="s">
        <v>1403</v>
      </c>
      <c r="K87" s="14">
        <v>2024</v>
      </c>
      <c r="L87" s="42">
        <v>2024</v>
      </c>
      <c r="M87" s="43">
        <v>45202</v>
      </c>
      <c r="N87" s="14" t="s">
        <v>36</v>
      </c>
      <c r="O87" s="14">
        <v>57</v>
      </c>
      <c r="P87" s="14">
        <v>1044</v>
      </c>
      <c r="Q87" s="14" t="s">
        <v>1476</v>
      </c>
      <c r="R87" s="14">
        <v>2</v>
      </c>
      <c r="S87" s="14">
        <v>3</v>
      </c>
      <c r="T87" s="14" t="s">
        <v>1477</v>
      </c>
      <c r="U87" s="14">
        <v>4</v>
      </c>
      <c r="V87" s="42">
        <v>2480033</v>
      </c>
      <c r="W87" s="42">
        <v>0</v>
      </c>
      <c r="X87" s="42" t="s">
        <v>1406</v>
      </c>
      <c r="Y87" s="59"/>
      <c r="Z87" s="14" t="s">
        <v>32</v>
      </c>
      <c r="AA87" s="45">
        <v>45223</v>
      </c>
      <c r="AB87" s="14">
        <v>24</v>
      </c>
      <c r="AC87" s="14">
        <v>80033</v>
      </c>
      <c r="AD87" s="14">
        <v>57</v>
      </c>
      <c r="AE87" s="14" t="s">
        <v>1551</v>
      </c>
      <c r="AF87" s="14">
        <v>57</v>
      </c>
      <c r="AG87" s="14" t="s">
        <v>1552</v>
      </c>
      <c r="AH87" s="14" t="s">
        <v>36</v>
      </c>
      <c r="AI87" s="14">
        <v>57</v>
      </c>
      <c r="AJ87" s="14">
        <v>1044</v>
      </c>
      <c r="AK87" s="14" t="s">
        <v>1407</v>
      </c>
      <c r="AL87" s="14">
        <v>4972</v>
      </c>
      <c r="AM87" s="14" t="s">
        <v>1421</v>
      </c>
      <c r="AN87" s="14" t="s">
        <v>1611</v>
      </c>
      <c r="AO87" s="14">
        <v>4</v>
      </c>
      <c r="AP87" s="14" t="s">
        <v>1584</v>
      </c>
      <c r="AQ87" s="14">
        <v>0</v>
      </c>
      <c r="AR87" s="14" t="s">
        <v>1410</v>
      </c>
      <c r="AT87" s="14" t="s">
        <v>1417</v>
      </c>
      <c r="AU87" s="14" t="s">
        <v>1412</v>
      </c>
    </row>
    <row r="88" spans="1:47" x14ac:dyDescent="0.45">
      <c r="A88" s="42">
        <v>2405750043</v>
      </c>
      <c r="B88" s="14">
        <v>57</v>
      </c>
      <c r="C88" s="14" t="s">
        <v>1551</v>
      </c>
      <c r="D88" s="14">
        <v>57</v>
      </c>
      <c r="E88" s="14" t="s">
        <v>1552</v>
      </c>
      <c r="F88" s="14" t="s">
        <v>214</v>
      </c>
      <c r="G88" s="14" t="s">
        <v>215</v>
      </c>
      <c r="H88" s="14">
        <v>1</v>
      </c>
      <c r="I88" s="14" t="s">
        <v>216</v>
      </c>
      <c r="J88" s="14" t="s">
        <v>1403</v>
      </c>
      <c r="K88" s="14">
        <v>2024</v>
      </c>
      <c r="L88" s="42">
        <v>2024</v>
      </c>
      <c r="M88" s="43">
        <v>45203</v>
      </c>
      <c r="N88" s="14" t="s">
        <v>36</v>
      </c>
      <c r="O88" s="14">
        <v>58</v>
      </c>
      <c r="P88" s="14">
        <v>428</v>
      </c>
      <c r="Q88" s="14" t="s">
        <v>1463</v>
      </c>
      <c r="R88" s="14">
        <v>2</v>
      </c>
      <c r="S88" s="14">
        <v>2</v>
      </c>
      <c r="T88" s="14" t="s">
        <v>1464</v>
      </c>
      <c r="U88" s="14">
        <v>1</v>
      </c>
      <c r="V88" s="42">
        <v>2480116</v>
      </c>
      <c r="W88" s="42">
        <v>0</v>
      </c>
      <c r="X88" s="42" t="s">
        <v>1406</v>
      </c>
      <c r="Y88" s="59"/>
      <c r="Z88" s="14" t="s">
        <v>32</v>
      </c>
      <c r="AA88" s="45">
        <v>45315</v>
      </c>
      <c r="AB88" s="14">
        <v>24</v>
      </c>
      <c r="AC88" s="14">
        <v>80116</v>
      </c>
      <c r="AD88" s="14">
        <v>57</v>
      </c>
      <c r="AE88" s="14" t="s">
        <v>1551</v>
      </c>
      <c r="AF88" s="14">
        <v>57</v>
      </c>
      <c r="AG88" s="14" t="s">
        <v>1552</v>
      </c>
      <c r="AH88" s="14" t="s">
        <v>36</v>
      </c>
      <c r="AI88" s="14">
        <v>58</v>
      </c>
      <c r="AJ88" s="14">
        <v>428</v>
      </c>
      <c r="AK88" s="14" t="s">
        <v>1473</v>
      </c>
      <c r="AL88" s="14">
        <v>28034</v>
      </c>
      <c r="AM88" s="14" t="s">
        <v>1418</v>
      </c>
      <c r="AN88" s="14" t="s">
        <v>1599</v>
      </c>
      <c r="AO88" s="14">
        <v>28</v>
      </c>
      <c r="AP88" s="14" t="s">
        <v>1416</v>
      </c>
      <c r="AQ88" s="14">
        <v>0</v>
      </c>
      <c r="AR88" s="14" t="s">
        <v>1410</v>
      </c>
      <c r="AT88" s="14" t="s">
        <v>1417</v>
      </c>
      <c r="AU88" s="14" t="s">
        <v>1412</v>
      </c>
    </row>
    <row r="89" spans="1:47" x14ac:dyDescent="0.45">
      <c r="A89" s="42">
        <v>2405750006</v>
      </c>
      <c r="B89" s="14">
        <v>57</v>
      </c>
      <c r="C89" s="14" t="s">
        <v>1551</v>
      </c>
      <c r="D89" s="14">
        <v>57</v>
      </c>
      <c r="E89" s="14" t="s">
        <v>1552</v>
      </c>
      <c r="F89" s="14" t="s">
        <v>64</v>
      </c>
      <c r="G89" s="14" t="s">
        <v>65</v>
      </c>
      <c r="H89" s="14">
        <v>1</v>
      </c>
      <c r="I89" s="14" t="s">
        <v>66</v>
      </c>
      <c r="J89" s="14" t="s">
        <v>1403</v>
      </c>
      <c r="K89" s="14">
        <v>2024</v>
      </c>
      <c r="L89" s="42">
        <v>2024</v>
      </c>
      <c r="M89" s="43">
        <v>45203</v>
      </c>
      <c r="N89" s="14" t="s">
        <v>36</v>
      </c>
      <c r="O89" s="14">
        <v>58</v>
      </c>
      <c r="P89" s="14">
        <v>428</v>
      </c>
      <c r="Q89" s="14" t="s">
        <v>1463</v>
      </c>
      <c r="R89" s="14">
        <v>2</v>
      </c>
      <c r="S89" s="14">
        <v>2</v>
      </c>
      <c r="T89" s="14" t="s">
        <v>1464</v>
      </c>
      <c r="U89" s="14">
        <v>1</v>
      </c>
      <c r="V89" s="42">
        <v>2480044</v>
      </c>
      <c r="W89" s="42">
        <v>0</v>
      </c>
      <c r="X89" s="42" t="s">
        <v>1406</v>
      </c>
      <c r="Y89" s="59"/>
      <c r="Z89" s="14" t="s">
        <v>32</v>
      </c>
      <c r="AA89" s="45">
        <v>45236</v>
      </c>
      <c r="AB89" s="14">
        <v>24</v>
      </c>
      <c r="AC89" s="14">
        <v>80044</v>
      </c>
      <c r="AD89" s="14">
        <v>57</v>
      </c>
      <c r="AE89" s="14" t="s">
        <v>1551</v>
      </c>
      <c r="AF89" s="14">
        <v>57</v>
      </c>
      <c r="AG89" s="14" t="s">
        <v>1552</v>
      </c>
      <c r="AH89" s="14" t="s">
        <v>36</v>
      </c>
      <c r="AI89" s="14">
        <v>58</v>
      </c>
      <c r="AJ89" s="14">
        <v>428</v>
      </c>
      <c r="AK89" s="14" t="s">
        <v>1407</v>
      </c>
      <c r="AL89" s="14">
        <v>28288</v>
      </c>
      <c r="AM89" s="14" t="s">
        <v>1421</v>
      </c>
      <c r="AN89" s="14" t="s">
        <v>1594</v>
      </c>
      <c r="AO89" s="14">
        <v>28</v>
      </c>
      <c r="AP89" s="14" t="s">
        <v>1416</v>
      </c>
      <c r="AQ89" s="14">
        <v>0</v>
      </c>
      <c r="AR89" s="14" t="s">
        <v>1410</v>
      </c>
      <c r="AT89" s="14" t="s">
        <v>1417</v>
      </c>
      <c r="AU89" s="14" t="s">
        <v>1412</v>
      </c>
    </row>
    <row r="90" spans="1:47" x14ac:dyDescent="0.45">
      <c r="A90" s="42">
        <v>2405750071</v>
      </c>
      <c r="B90" s="14">
        <v>57</v>
      </c>
      <c r="C90" s="14" t="s">
        <v>1551</v>
      </c>
      <c r="D90" s="14">
        <v>57</v>
      </c>
      <c r="E90" s="14" t="s">
        <v>1552</v>
      </c>
      <c r="F90" s="14" t="s">
        <v>320</v>
      </c>
      <c r="G90" s="14" t="s">
        <v>321</v>
      </c>
      <c r="H90" s="14">
        <v>2</v>
      </c>
      <c r="I90" s="14" t="s">
        <v>322</v>
      </c>
      <c r="J90" s="14" t="s">
        <v>1403</v>
      </c>
      <c r="K90" s="14">
        <v>2024</v>
      </c>
      <c r="L90" s="42">
        <v>2024</v>
      </c>
      <c r="M90" s="43">
        <v>45203</v>
      </c>
      <c r="N90" s="14" t="s">
        <v>36</v>
      </c>
      <c r="O90" s="14" t="s">
        <v>94</v>
      </c>
      <c r="P90" s="14">
        <v>121</v>
      </c>
      <c r="Q90" s="14" t="s">
        <v>1502</v>
      </c>
      <c r="R90" s="14">
        <v>2</v>
      </c>
      <c r="S90" s="14">
        <v>8</v>
      </c>
      <c r="T90" s="14" t="s">
        <v>1503</v>
      </c>
      <c r="U90" s="14">
        <v>6</v>
      </c>
      <c r="V90" s="42">
        <v>2480034</v>
      </c>
      <c r="W90" s="42">
        <v>0</v>
      </c>
      <c r="X90" s="42" t="s">
        <v>1406</v>
      </c>
      <c r="Y90" s="59"/>
      <c r="Z90" s="14" t="s">
        <v>32</v>
      </c>
      <c r="AA90" s="45">
        <v>45223</v>
      </c>
      <c r="AB90" s="14">
        <v>24</v>
      </c>
      <c r="AC90" s="14">
        <v>80034</v>
      </c>
      <c r="AD90" s="14">
        <v>57</v>
      </c>
      <c r="AE90" s="14" t="s">
        <v>1551</v>
      </c>
      <c r="AF90" s="14">
        <v>57</v>
      </c>
      <c r="AG90" s="14" t="s">
        <v>1552</v>
      </c>
      <c r="AH90" s="14" t="s">
        <v>36</v>
      </c>
      <c r="AI90" s="14" t="s">
        <v>94</v>
      </c>
      <c r="AJ90" s="14">
        <v>121</v>
      </c>
      <c r="AK90" s="14" t="s">
        <v>1407</v>
      </c>
      <c r="AL90" s="14">
        <v>28185</v>
      </c>
      <c r="AM90" s="14" t="s">
        <v>1418</v>
      </c>
      <c r="AN90" s="14" t="s">
        <v>1438</v>
      </c>
      <c r="AO90" s="14">
        <v>28</v>
      </c>
      <c r="AP90" s="14" t="s">
        <v>1416</v>
      </c>
      <c r="AQ90" s="14">
        <v>0</v>
      </c>
      <c r="AR90" s="14" t="s">
        <v>1410</v>
      </c>
      <c r="AT90" s="14" t="s">
        <v>1417</v>
      </c>
      <c r="AU90" s="14" t="s">
        <v>1412</v>
      </c>
    </row>
    <row r="91" spans="1:47" x14ac:dyDescent="0.45">
      <c r="A91" s="42">
        <v>2405750008</v>
      </c>
      <c r="B91" s="14">
        <v>57</v>
      </c>
      <c r="C91" s="14" t="s">
        <v>1551</v>
      </c>
      <c r="D91" s="14">
        <v>57</v>
      </c>
      <c r="E91" s="14" t="s">
        <v>1552</v>
      </c>
      <c r="F91" s="14" t="s">
        <v>72</v>
      </c>
      <c r="G91" s="14" t="s">
        <v>73</v>
      </c>
      <c r="H91" s="14">
        <v>2</v>
      </c>
      <c r="I91" s="14" t="s">
        <v>74</v>
      </c>
      <c r="J91" s="14" t="s">
        <v>1403</v>
      </c>
      <c r="K91" s="14">
        <v>2024</v>
      </c>
      <c r="L91" s="42">
        <v>2024</v>
      </c>
      <c r="M91" s="43">
        <v>45204</v>
      </c>
      <c r="N91" s="14" t="s">
        <v>36</v>
      </c>
      <c r="O91" s="14">
        <v>6</v>
      </c>
      <c r="P91" s="14">
        <v>448</v>
      </c>
      <c r="Q91" s="14" t="s">
        <v>1557</v>
      </c>
      <c r="R91" s="14">
        <v>2</v>
      </c>
      <c r="S91" s="14">
        <v>1</v>
      </c>
      <c r="T91" s="14" t="s">
        <v>1527</v>
      </c>
      <c r="U91" s="14">
        <v>3</v>
      </c>
      <c r="V91" s="42">
        <v>2480075</v>
      </c>
      <c r="W91" s="42">
        <v>0</v>
      </c>
      <c r="X91" s="42" t="s">
        <v>1406</v>
      </c>
      <c r="Y91" s="111"/>
      <c r="Z91" s="14" t="s">
        <v>32</v>
      </c>
      <c r="AA91" s="45">
        <v>45259</v>
      </c>
      <c r="AB91" s="14">
        <v>24</v>
      </c>
      <c r="AC91" s="14">
        <v>80075</v>
      </c>
      <c r="AD91" s="14">
        <v>57</v>
      </c>
      <c r="AE91" s="14" t="s">
        <v>1551</v>
      </c>
      <c r="AF91" s="14">
        <v>57</v>
      </c>
      <c r="AG91" s="14" t="s">
        <v>1552</v>
      </c>
      <c r="AH91" s="14" t="s">
        <v>36</v>
      </c>
      <c r="AI91" s="14">
        <v>6</v>
      </c>
      <c r="AJ91" s="14">
        <v>448</v>
      </c>
      <c r="AK91" s="14" t="s">
        <v>1407</v>
      </c>
      <c r="AL91" s="14">
        <v>28282</v>
      </c>
      <c r="AM91" s="14" t="s">
        <v>1414</v>
      </c>
      <c r="AN91" s="14" t="s">
        <v>1572</v>
      </c>
      <c r="AO91" s="14">
        <v>28</v>
      </c>
      <c r="AP91" s="14" t="s">
        <v>1416</v>
      </c>
      <c r="AQ91" s="14">
        <v>0</v>
      </c>
      <c r="AR91" s="14" t="s">
        <v>1410</v>
      </c>
      <c r="AT91" s="14" t="s">
        <v>1417</v>
      </c>
      <c r="AU91" s="14" t="s">
        <v>1412</v>
      </c>
    </row>
    <row r="92" spans="1:47" x14ac:dyDescent="0.45">
      <c r="A92" s="42">
        <v>2413150111</v>
      </c>
      <c r="B92" s="14">
        <v>131</v>
      </c>
      <c r="C92" s="14" t="s">
        <v>1462</v>
      </c>
      <c r="D92" s="14">
        <v>130</v>
      </c>
      <c r="E92" s="14" t="s">
        <v>1402</v>
      </c>
      <c r="F92" s="14" t="s">
        <v>1055</v>
      </c>
      <c r="G92" s="14" t="s">
        <v>1056</v>
      </c>
      <c r="H92" s="14">
        <v>1</v>
      </c>
      <c r="I92" s="14" t="s">
        <v>326</v>
      </c>
      <c r="J92" s="14" t="s">
        <v>1403</v>
      </c>
      <c r="K92" s="14">
        <v>2024</v>
      </c>
      <c r="L92" s="42">
        <v>2024</v>
      </c>
      <c r="M92" s="43">
        <v>45209</v>
      </c>
      <c r="N92" s="14" t="s">
        <v>36</v>
      </c>
      <c r="O92" s="14" t="s">
        <v>704</v>
      </c>
      <c r="P92" s="14">
        <v>428</v>
      </c>
      <c r="Q92" s="14" t="s">
        <v>1463</v>
      </c>
      <c r="R92" s="14">
        <v>2</v>
      </c>
      <c r="S92" s="14">
        <v>2</v>
      </c>
      <c r="T92" s="14" t="s">
        <v>1464</v>
      </c>
      <c r="U92" s="14">
        <v>1</v>
      </c>
      <c r="V92" s="42">
        <v>2422575</v>
      </c>
      <c r="W92" s="42">
        <v>0</v>
      </c>
      <c r="X92" s="42" t="s">
        <v>1406</v>
      </c>
      <c r="Y92" s="59"/>
      <c r="Z92" s="14" t="s">
        <v>32</v>
      </c>
      <c r="AA92" s="45">
        <v>45314</v>
      </c>
      <c r="AB92" s="14">
        <v>24</v>
      </c>
      <c r="AC92" s="14">
        <v>22575</v>
      </c>
      <c r="AD92" s="14">
        <v>131</v>
      </c>
      <c r="AE92" s="14" t="s">
        <v>1462</v>
      </c>
      <c r="AF92" s="14">
        <v>130</v>
      </c>
      <c r="AG92" s="14" t="s">
        <v>1402</v>
      </c>
      <c r="AH92" s="14" t="s">
        <v>36</v>
      </c>
      <c r="AI92" s="14" t="s">
        <v>704</v>
      </c>
      <c r="AJ92" s="14">
        <v>428</v>
      </c>
      <c r="AK92" s="14" t="s">
        <v>1473</v>
      </c>
      <c r="AL92" s="14">
        <v>28139</v>
      </c>
      <c r="AM92" s="14" t="s">
        <v>1418</v>
      </c>
      <c r="AN92" s="14" t="s">
        <v>1478</v>
      </c>
      <c r="AO92" s="14">
        <v>28</v>
      </c>
      <c r="AP92" s="14" t="s">
        <v>1416</v>
      </c>
      <c r="AQ92" s="14">
        <v>0</v>
      </c>
      <c r="AR92" s="14" t="s">
        <v>1410</v>
      </c>
      <c r="AT92" s="14" t="s">
        <v>1417</v>
      </c>
      <c r="AU92" s="14" t="s">
        <v>1412</v>
      </c>
    </row>
    <row r="93" spans="1:47" x14ac:dyDescent="0.45">
      <c r="A93" s="42">
        <v>2413150060</v>
      </c>
      <c r="B93" s="14">
        <v>131</v>
      </c>
      <c r="C93" s="14" t="s">
        <v>1462</v>
      </c>
      <c r="D93" s="14">
        <v>130</v>
      </c>
      <c r="E93" s="14" t="s">
        <v>1402</v>
      </c>
      <c r="F93" s="14" t="s">
        <v>906</v>
      </c>
      <c r="G93" s="14" t="s">
        <v>907</v>
      </c>
      <c r="H93" s="14">
        <v>2</v>
      </c>
      <c r="I93" s="14" t="s">
        <v>908</v>
      </c>
      <c r="J93" s="14" t="s">
        <v>1403</v>
      </c>
      <c r="K93" s="14">
        <v>2024</v>
      </c>
      <c r="L93" s="42">
        <v>2024</v>
      </c>
      <c r="M93" s="43">
        <v>45180</v>
      </c>
      <c r="N93" s="14" t="s">
        <v>36</v>
      </c>
      <c r="O93" s="14" t="s">
        <v>704</v>
      </c>
      <c r="P93" s="14">
        <v>427</v>
      </c>
      <c r="Q93" s="14" t="s">
        <v>1479</v>
      </c>
      <c r="R93" s="14">
        <v>2</v>
      </c>
      <c r="S93" s="14">
        <v>2</v>
      </c>
      <c r="T93" s="14" t="s">
        <v>1464</v>
      </c>
      <c r="U93" s="14">
        <v>1</v>
      </c>
      <c r="V93" s="42">
        <v>2422574</v>
      </c>
      <c r="W93" s="42">
        <v>0</v>
      </c>
      <c r="X93" s="42" t="s">
        <v>1406</v>
      </c>
      <c r="Z93" s="14" t="s">
        <v>32</v>
      </c>
      <c r="AA93" s="45">
        <v>45313</v>
      </c>
      <c r="AB93" s="14">
        <v>24</v>
      </c>
      <c r="AC93" s="14">
        <v>22574</v>
      </c>
      <c r="AD93" s="14">
        <v>131</v>
      </c>
      <c r="AE93" s="14" t="s">
        <v>1462</v>
      </c>
      <c r="AF93" s="14">
        <v>130</v>
      </c>
      <c r="AG93" s="14" t="s">
        <v>1402</v>
      </c>
      <c r="AH93" s="14" t="s">
        <v>36</v>
      </c>
      <c r="AI93" s="14" t="s">
        <v>704</v>
      </c>
      <c r="AJ93" s="14">
        <v>427</v>
      </c>
      <c r="AK93" s="14" t="s">
        <v>1407</v>
      </c>
      <c r="AL93" s="14">
        <v>28091</v>
      </c>
      <c r="AM93" s="14" t="s">
        <v>1421</v>
      </c>
      <c r="AN93" s="14" t="s">
        <v>1452</v>
      </c>
      <c r="AO93" s="14">
        <v>28</v>
      </c>
      <c r="AP93" s="14" t="s">
        <v>1416</v>
      </c>
      <c r="AQ93" s="14">
        <v>0</v>
      </c>
      <c r="AR93" s="14" t="s">
        <v>1410</v>
      </c>
      <c r="AT93" s="14" t="s">
        <v>1417</v>
      </c>
      <c r="AU93" s="14" t="s">
        <v>1412</v>
      </c>
    </row>
    <row r="94" spans="1:47" x14ac:dyDescent="0.45">
      <c r="A94" s="42">
        <v>2405750045</v>
      </c>
      <c r="B94" s="14">
        <v>57</v>
      </c>
      <c r="C94" s="14" t="s">
        <v>1551</v>
      </c>
      <c r="D94" s="14">
        <v>57</v>
      </c>
      <c r="E94" s="14" t="s">
        <v>1552</v>
      </c>
      <c r="F94" s="14" t="s">
        <v>222</v>
      </c>
      <c r="G94" s="14" t="s">
        <v>223</v>
      </c>
      <c r="H94" s="14">
        <v>2</v>
      </c>
      <c r="I94" s="14" t="s">
        <v>224</v>
      </c>
      <c r="J94" s="14" t="s">
        <v>1403</v>
      </c>
      <c r="K94" s="14">
        <v>2024</v>
      </c>
      <c r="L94" s="42">
        <v>2024</v>
      </c>
      <c r="M94" s="43">
        <v>45204</v>
      </c>
      <c r="N94" s="14" t="s">
        <v>36</v>
      </c>
      <c r="O94" s="14">
        <v>58</v>
      </c>
      <c r="P94" s="14">
        <v>290</v>
      </c>
      <c r="Q94" s="14" t="s">
        <v>1496</v>
      </c>
      <c r="R94" s="14">
        <v>2</v>
      </c>
      <c r="S94" s="14">
        <v>2</v>
      </c>
      <c r="T94" s="14" t="s">
        <v>1464</v>
      </c>
      <c r="U94" s="14">
        <v>1</v>
      </c>
      <c r="V94" s="42">
        <v>2480037</v>
      </c>
      <c r="W94" s="42">
        <v>0</v>
      </c>
      <c r="X94" s="42" t="s">
        <v>1406</v>
      </c>
      <c r="Y94" s="59"/>
      <c r="Z94" s="14" t="s">
        <v>32</v>
      </c>
      <c r="AA94" s="45">
        <v>45225</v>
      </c>
      <c r="AB94" s="14">
        <v>24</v>
      </c>
      <c r="AC94" s="14">
        <v>80037</v>
      </c>
      <c r="AD94" s="14">
        <v>57</v>
      </c>
      <c r="AE94" s="14" t="s">
        <v>1551</v>
      </c>
      <c r="AF94" s="14">
        <v>57</v>
      </c>
      <c r="AG94" s="14" t="s">
        <v>1552</v>
      </c>
      <c r="AH94" s="14" t="s">
        <v>36</v>
      </c>
      <c r="AI94" s="14">
        <v>58</v>
      </c>
      <c r="AJ94" s="14">
        <v>290</v>
      </c>
      <c r="AK94" s="14" t="s">
        <v>1407</v>
      </c>
      <c r="AL94" s="14">
        <v>28124</v>
      </c>
      <c r="AM94" s="14" t="s">
        <v>1414</v>
      </c>
      <c r="AN94" s="14" t="s">
        <v>1483</v>
      </c>
      <c r="AO94" s="14">
        <v>28</v>
      </c>
      <c r="AP94" s="14" t="s">
        <v>1416</v>
      </c>
      <c r="AQ94" s="14">
        <v>0</v>
      </c>
      <c r="AR94" s="14" t="s">
        <v>1410</v>
      </c>
      <c r="AT94" s="14" t="s">
        <v>1417</v>
      </c>
      <c r="AU94" s="14" t="s">
        <v>1412</v>
      </c>
    </row>
    <row r="95" spans="1:47" x14ac:dyDescent="0.45">
      <c r="A95" s="42">
        <v>2405750032</v>
      </c>
      <c r="B95" s="14">
        <v>57</v>
      </c>
      <c r="C95" s="14" t="s">
        <v>1551</v>
      </c>
      <c r="D95" s="14">
        <v>57</v>
      </c>
      <c r="E95" s="14" t="s">
        <v>1552</v>
      </c>
      <c r="F95" s="14" t="s">
        <v>177</v>
      </c>
      <c r="G95" s="14" t="s">
        <v>178</v>
      </c>
      <c r="H95" s="14">
        <v>1</v>
      </c>
      <c r="I95" s="14" t="s">
        <v>179</v>
      </c>
      <c r="J95" s="14" t="s">
        <v>1403</v>
      </c>
      <c r="K95" s="14">
        <v>2024</v>
      </c>
      <c r="L95" s="42">
        <v>2024</v>
      </c>
      <c r="M95" s="43">
        <v>45205</v>
      </c>
      <c r="N95" s="14" t="s">
        <v>36</v>
      </c>
      <c r="O95" s="14" t="s">
        <v>51</v>
      </c>
      <c r="P95" s="14">
        <v>856</v>
      </c>
      <c r="Q95" s="14" t="s">
        <v>1533</v>
      </c>
      <c r="R95" s="14">
        <v>1</v>
      </c>
      <c r="S95" s="14">
        <v>2</v>
      </c>
      <c r="T95" s="14" t="s">
        <v>1464</v>
      </c>
      <c r="U95" s="14">
        <v>1</v>
      </c>
      <c r="V95" s="42">
        <v>2480153</v>
      </c>
      <c r="W95" s="42">
        <v>0</v>
      </c>
      <c r="X95" s="42" t="s">
        <v>1406</v>
      </c>
      <c r="Z95" s="14" t="s">
        <v>32</v>
      </c>
      <c r="AA95" s="45">
        <v>45349</v>
      </c>
      <c r="AB95" s="14">
        <v>24</v>
      </c>
      <c r="AC95" s="14">
        <v>80153</v>
      </c>
      <c r="AD95" s="14">
        <v>57</v>
      </c>
      <c r="AE95" s="14" t="s">
        <v>1551</v>
      </c>
      <c r="AF95" s="14">
        <v>57</v>
      </c>
      <c r="AG95" s="14" t="s">
        <v>1552</v>
      </c>
      <c r="AH95" s="14" t="s">
        <v>36</v>
      </c>
      <c r="AI95" s="14" t="s">
        <v>51</v>
      </c>
      <c r="AJ95" s="14">
        <v>856</v>
      </c>
      <c r="AK95" s="14" t="s">
        <v>1473</v>
      </c>
      <c r="AL95" s="14">
        <v>28185</v>
      </c>
      <c r="AM95" s="14" t="s">
        <v>1418</v>
      </c>
      <c r="AN95" s="14" t="s">
        <v>1438</v>
      </c>
      <c r="AO95" s="14">
        <v>28</v>
      </c>
      <c r="AP95" s="14" t="s">
        <v>1416</v>
      </c>
      <c r="AQ95" s="14">
        <v>0</v>
      </c>
      <c r="AR95" s="14" t="s">
        <v>1410</v>
      </c>
      <c r="AT95" s="14" t="s">
        <v>1417</v>
      </c>
      <c r="AU95" s="14" t="s">
        <v>1412</v>
      </c>
    </row>
    <row r="96" spans="1:47" x14ac:dyDescent="0.45">
      <c r="A96" s="42">
        <v>2405750062</v>
      </c>
      <c r="B96" s="14">
        <v>57</v>
      </c>
      <c r="C96" s="14" t="s">
        <v>1551</v>
      </c>
      <c r="D96" s="14">
        <v>57</v>
      </c>
      <c r="E96" s="14" t="s">
        <v>1552</v>
      </c>
      <c r="F96" s="14" t="s">
        <v>286</v>
      </c>
      <c r="G96" s="14" t="s">
        <v>287</v>
      </c>
      <c r="H96" s="14">
        <v>2</v>
      </c>
      <c r="I96" s="14" t="s">
        <v>288</v>
      </c>
      <c r="J96" s="14" t="s">
        <v>1403</v>
      </c>
      <c r="K96" s="14">
        <v>2024</v>
      </c>
      <c r="L96" s="42">
        <v>2024</v>
      </c>
      <c r="M96" s="43">
        <v>45205</v>
      </c>
      <c r="N96" s="14" t="s">
        <v>36</v>
      </c>
      <c r="O96" s="14">
        <v>58</v>
      </c>
      <c r="P96" s="14">
        <v>857</v>
      </c>
      <c r="Q96" s="14" t="s">
        <v>1481</v>
      </c>
      <c r="R96" s="14">
        <v>2</v>
      </c>
      <c r="S96" s="14">
        <v>2</v>
      </c>
      <c r="T96" s="14" t="s">
        <v>1464</v>
      </c>
      <c r="U96" s="14">
        <v>1</v>
      </c>
      <c r="V96" s="42">
        <v>2480041</v>
      </c>
      <c r="W96" s="42">
        <v>0</v>
      </c>
      <c r="X96" s="42" t="s">
        <v>1406</v>
      </c>
      <c r="Y96" s="111"/>
      <c r="Z96" s="14" t="s">
        <v>32</v>
      </c>
      <c r="AA96" s="45">
        <v>45230</v>
      </c>
      <c r="AB96" s="14">
        <v>24</v>
      </c>
      <c r="AC96" s="14">
        <v>80041</v>
      </c>
      <c r="AD96" s="14">
        <v>57</v>
      </c>
      <c r="AE96" s="14" t="s">
        <v>1551</v>
      </c>
      <c r="AF96" s="14">
        <v>57</v>
      </c>
      <c r="AG96" s="14" t="s">
        <v>1552</v>
      </c>
      <c r="AH96" s="14" t="s">
        <v>36</v>
      </c>
      <c r="AI96" s="14">
        <v>58</v>
      </c>
      <c r="AJ96" s="14">
        <v>857</v>
      </c>
      <c r="AK96" s="14" t="s">
        <v>1407</v>
      </c>
      <c r="AL96" s="14">
        <v>28124</v>
      </c>
      <c r="AM96" s="14" t="s">
        <v>1414</v>
      </c>
      <c r="AN96" s="14" t="s">
        <v>1483</v>
      </c>
      <c r="AO96" s="14">
        <v>28</v>
      </c>
      <c r="AP96" s="14" t="s">
        <v>1416</v>
      </c>
      <c r="AQ96" s="14">
        <v>0</v>
      </c>
      <c r="AR96" s="14" t="s">
        <v>1410</v>
      </c>
      <c r="AT96" s="14" t="s">
        <v>1417</v>
      </c>
      <c r="AU96" s="14" t="s">
        <v>1412</v>
      </c>
    </row>
    <row r="97" spans="1:47" x14ac:dyDescent="0.45">
      <c r="A97" s="42">
        <v>2405750018</v>
      </c>
      <c r="B97" s="14">
        <v>57</v>
      </c>
      <c r="C97" s="14" t="s">
        <v>1551</v>
      </c>
      <c r="D97" s="14">
        <v>57</v>
      </c>
      <c r="E97" s="14" t="s">
        <v>1552</v>
      </c>
      <c r="F97" s="14" t="s">
        <v>119</v>
      </c>
      <c r="G97" s="14" t="s">
        <v>120</v>
      </c>
      <c r="H97" s="14">
        <v>2</v>
      </c>
      <c r="I97" s="14" t="s">
        <v>121</v>
      </c>
      <c r="J97" s="14" t="s">
        <v>1403</v>
      </c>
      <c r="K97" s="14">
        <v>2024</v>
      </c>
      <c r="L97" s="42">
        <v>2024</v>
      </c>
      <c r="M97" s="43">
        <v>45209</v>
      </c>
      <c r="N97" s="14" t="s">
        <v>36</v>
      </c>
      <c r="O97" s="14">
        <v>57</v>
      </c>
      <c r="P97" s="14">
        <v>1044</v>
      </c>
      <c r="Q97" s="14" t="s">
        <v>1476</v>
      </c>
      <c r="R97" s="14">
        <v>2</v>
      </c>
      <c r="S97" s="14">
        <v>3</v>
      </c>
      <c r="T97" s="14" t="s">
        <v>1477</v>
      </c>
      <c r="U97" s="14">
        <v>4</v>
      </c>
      <c r="V97" s="42">
        <v>2480076</v>
      </c>
      <c r="W97" s="42">
        <v>0</v>
      </c>
      <c r="X97" s="42" t="s">
        <v>1406</v>
      </c>
      <c r="Z97" s="14" t="s">
        <v>32</v>
      </c>
      <c r="AA97" s="45">
        <v>45259</v>
      </c>
      <c r="AB97" s="14">
        <v>24</v>
      </c>
      <c r="AC97" s="14">
        <v>80076</v>
      </c>
      <c r="AD97" s="14">
        <v>57</v>
      </c>
      <c r="AE97" s="14" t="s">
        <v>1551</v>
      </c>
      <c r="AF97" s="14">
        <v>57</v>
      </c>
      <c r="AG97" s="14" t="s">
        <v>1552</v>
      </c>
      <c r="AH97" s="14" t="s">
        <v>36</v>
      </c>
      <c r="AI97" s="14">
        <v>57</v>
      </c>
      <c r="AJ97" s="14">
        <v>1044</v>
      </c>
      <c r="AK97" s="14" t="s">
        <v>1407</v>
      </c>
      <c r="AL97" s="14">
        <v>28120</v>
      </c>
      <c r="AM97" s="14" t="s">
        <v>1418</v>
      </c>
      <c r="AN97" s="14" t="s">
        <v>1593</v>
      </c>
      <c r="AO97" s="14">
        <v>28</v>
      </c>
      <c r="AP97" s="14" t="s">
        <v>1416</v>
      </c>
      <c r="AQ97" s="14">
        <v>0</v>
      </c>
      <c r="AR97" s="14" t="s">
        <v>1410</v>
      </c>
      <c r="AT97" s="14" t="s">
        <v>1417</v>
      </c>
      <c r="AU97" s="14" t="s">
        <v>1412</v>
      </c>
    </row>
    <row r="98" spans="1:47" x14ac:dyDescent="0.45">
      <c r="A98" s="42">
        <v>2413150117</v>
      </c>
      <c r="B98" s="14">
        <v>131</v>
      </c>
      <c r="C98" s="14" t="s">
        <v>1462</v>
      </c>
      <c r="D98" s="14">
        <v>130</v>
      </c>
      <c r="E98" s="14" t="s">
        <v>1402</v>
      </c>
      <c r="F98" s="14" t="s">
        <v>1071</v>
      </c>
      <c r="G98" s="14" t="s">
        <v>1072</v>
      </c>
      <c r="H98" s="14">
        <v>1</v>
      </c>
      <c r="I98" s="14" t="s">
        <v>655</v>
      </c>
      <c r="J98" s="14" t="s">
        <v>1403</v>
      </c>
      <c r="K98" s="14">
        <v>0</v>
      </c>
      <c r="L98" s="42">
        <v>2024</v>
      </c>
      <c r="M98" s="43">
        <v>45226</v>
      </c>
      <c r="N98" s="14" t="s">
        <v>36</v>
      </c>
      <c r="O98" s="14" t="s">
        <v>793</v>
      </c>
      <c r="P98" s="14">
        <v>428</v>
      </c>
      <c r="Q98" s="14" t="s">
        <v>1463</v>
      </c>
      <c r="R98" s="14">
        <v>1</v>
      </c>
      <c r="S98" s="14">
        <v>2</v>
      </c>
      <c r="T98" s="14" t="s">
        <v>1464</v>
      </c>
      <c r="U98" s="14">
        <v>1</v>
      </c>
      <c r="V98" s="42">
        <v>2422572</v>
      </c>
      <c r="W98" s="42">
        <v>0</v>
      </c>
      <c r="X98" s="42" t="s">
        <v>1406</v>
      </c>
      <c r="Y98" s="59"/>
      <c r="Z98" s="14" t="s">
        <v>32</v>
      </c>
      <c r="AA98" s="45">
        <v>45306</v>
      </c>
      <c r="AB98" s="14">
        <v>24</v>
      </c>
      <c r="AC98" s="14">
        <v>22572</v>
      </c>
      <c r="AD98" s="14">
        <v>131</v>
      </c>
      <c r="AE98" s="14" t="s">
        <v>1462</v>
      </c>
      <c r="AF98" s="14">
        <v>130</v>
      </c>
      <c r="AG98" s="14" t="s">
        <v>1402</v>
      </c>
      <c r="AH98" s="14" t="s">
        <v>36</v>
      </c>
      <c r="AI98" s="14" t="s">
        <v>793</v>
      </c>
      <c r="AJ98" s="14">
        <v>428</v>
      </c>
      <c r="AK98" s="14" t="s">
        <v>1407</v>
      </c>
      <c r="AL98" s="14">
        <v>28087</v>
      </c>
      <c r="AM98" s="14" t="s">
        <v>1418</v>
      </c>
      <c r="AN98" s="14" t="s">
        <v>1518</v>
      </c>
      <c r="AO98" s="14">
        <v>28</v>
      </c>
      <c r="AP98" s="14" t="s">
        <v>1416</v>
      </c>
      <c r="AQ98" s="14">
        <v>0</v>
      </c>
      <c r="AR98" s="14" t="s">
        <v>1410</v>
      </c>
      <c r="AT98" s="14" t="s">
        <v>1411</v>
      </c>
      <c r="AU98" s="14" t="s">
        <v>1412</v>
      </c>
    </row>
    <row r="99" spans="1:47" x14ac:dyDescent="0.45">
      <c r="A99" s="42">
        <v>2405750129</v>
      </c>
      <c r="B99" s="14">
        <v>57</v>
      </c>
      <c r="C99" s="14" t="s">
        <v>1551</v>
      </c>
      <c r="D99" s="14">
        <v>57</v>
      </c>
      <c r="E99" s="14" t="s">
        <v>1552</v>
      </c>
      <c r="F99" s="14" t="s">
        <v>1160</v>
      </c>
      <c r="G99" s="14" t="s">
        <v>1161</v>
      </c>
      <c r="H99" s="14">
        <v>1</v>
      </c>
      <c r="I99" s="14" t="s">
        <v>1162</v>
      </c>
      <c r="J99" s="14" t="s">
        <v>1403</v>
      </c>
      <c r="K99" s="14">
        <v>2024</v>
      </c>
      <c r="L99" s="42">
        <v>2024</v>
      </c>
      <c r="M99" s="43">
        <v>45209</v>
      </c>
      <c r="N99" s="14" t="s">
        <v>36</v>
      </c>
      <c r="O99" s="14" t="s">
        <v>51</v>
      </c>
      <c r="P99" s="14">
        <v>428</v>
      </c>
      <c r="Q99" s="14" t="s">
        <v>1463</v>
      </c>
      <c r="R99" s="14">
        <v>1</v>
      </c>
      <c r="S99" s="14">
        <v>2</v>
      </c>
      <c r="T99" s="14" t="s">
        <v>1464</v>
      </c>
      <c r="U99" s="14">
        <v>1</v>
      </c>
      <c r="V99" s="42">
        <v>2480055</v>
      </c>
      <c r="W99" s="42">
        <v>0</v>
      </c>
      <c r="X99" s="42" t="s">
        <v>1406</v>
      </c>
      <c r="Y99" s="59"/>
      <c r="Z99" s="14" t="s">
        <v>32</v>
      </c>
      <c r="AA99" s="45">
        <v>45243</v>
      </c>
      <c r="AB99" s="14">
        <v>24</v>
      </c>
      <c r="AC99" s="14">
        <v>80055</v>
      </c>
      <c r="AD99" s="14">
        <v>57</v>
      </c>
      <c r="AE99" s="14" t="s">
        <v>1551</v>
      </c>
      <c r="AF99" s="14">
        <v>57</v>
      </c>
      <c r="AG99" s="14" t="s">
        <v>1552</v>
      </c>
      <c r="AH99" s="14" t="s">
        <v>36</v>
      </c>
      <c r="AI99" s="14" t="s">
        <v>51</v>
      </c>
      <c r="AJ99" s="14">
        <v>428</v>
      </c>
      <c r="AK99" s="14" t="s">
        <v>1407</v>
      </c>
      <c r="AL99" s="14">
        <v>28233</v>
      </c>
      <c r="AM99" s="14" t="s">
        <v>1414</v>
      </c>
      <c r="AN99" s="14" t="s">
        <v>1493</v>
      </c>
      <c r="AO99" s="14">
        <v>28</v>
      </c>
      <c r="AP99" s="14" t="s">
        <v>1416</v>
      </c>
      <c r="AQ99" s="14">
        <v>0</v>
      </c>
      <c r="AR99" s="14" t="s">
        <v>1410</v>
      </c>
      <c r="AT99" s="14" t="s">
        <v>1417</v>
      </c>
      <c r="AU99" s="14" t="s">
        <v>1412</v>
      </c>
    </row>
    <row r="100" spans="1:47" x14ac:dyDescent="0.45">
      <c r="A100" s="42">
        <v>2413050061</v>
      </c>
      <c r="B100" s="14">
        <v>130</v>
      </c>
      <c r="C100" s="14" t="s">
        <v>1401</v>
      </c>
      <c r="D100" s="14">
        <v>130</v>
      </c>
      <c r="E100" s="14" t="s">
        <v>1402</v>
      </c>
      <c r="F100" s="14" t="s">
        <v>694</v>
      </c>
      <c r="G100" s="14" t="s">
        <v>695</v>
      </c>
      <c r="H100" s="14">
        <v>1</v>
      </c>
      <c r="I100" s="14" t="s">
        <v>696</v>
      </c>
      <c r="J100" s="14" t="s">
        <v>1403</v>
      </c>
      <c r="K100" s="14">
        <v>0</v>
      </c>
      <c r="L100" s="42">
        <v>2024</v>
      </c>
      <c r="M100" s="43">
        <v>45231</v>
      </c>
      <c r="N100" s="14" t="s">
        <v>36</v>
      </c>
      <c r="O100" s="14" t="s">
        <v>485</v>
      </c>
      <c r="P100" s="14">
        <v>1131</v>
      </c>
      <c r="Q100" s="14" t="s">
        <v>1413</v>
      </c>
      <c r="R100" s="14">
        <v>3</v>
      </c>
      <c r="S100" s="14">
        <v>6</v>
      </c>
      <c r="T100" s="14" t="s">
        <v>1405</v>
      </c>
      <c r="U100" s="14">
        <v>5</v>
      </c>
      <c r="V100" s="42">
        <v>2422044</v>
      </c>
      <c r="W100" s="42">
        <v>0</v>
      </c>
      <c r="X100" s="42" t="s">
        <v>1406</v>
      </c>
      <c r="Z100" s="14" t="s">
        <v>32</v>
      </c>
      <c r="AA100" s="45">
        <v>45302</v>
      </c>
      <c r="AB100" s="14">
        <v>24</v>
      </c>
      <c r="AC100" s="14">
        <v>22044</v>
      </c>
      <c r="AD100" s="14">
        <v>130</v>
      </c>
      <c r="AE100" s="14" t="s">
        <v>1401</v>
      </c>
      <c r="AF100" s="14">
        <v>130</v>
      </c>
      <c r="AG100" s="14" t="s">
        <v>1402</v>
      </c>
      <c r="AH100" s="14" t="s">
        <v>36</v>
      </c>
      <c r="AI100" s="14" t="s">
        <v>485</v>
      </c>
      <c r="AJ100" s="14">
        <v>1131</v>
      </c>
      <c r="AK100" s="14" t="s">
        <v>1407</v>
      </c>
      <c r="AL100" s="14">
        <v>33030</v>
      </c>
      <c r="AM100" s="14" t="s">
        <v>1421</v>
      </c>
      <c r="AN100" s="14" t="s">
        <v>1460</v>
      </c>
      <c r="AO100" s="14">
        <v>33</v>
      </c>
      <c r="AP100" s="14" t="s">
        <v>1427</v>
      </c>
      <c r="AQ100" s="14">
        <v>0</v>
      </c>
      <c r="AR100" s="14" t="s">
        <v>1410</v>
      </c>
      <c r="AT100" s="14" t="s">
        <v>1411</v>
      </c>
      <c r="AU100" s="14" t="s">
        <v>1412</v>
      </c>
    </row>
    <row r="101" spans="1:47" x14ac:dyDescent="0.45">
      <c r="A101" s="42">
        <v>2413150050</v>
      </c>
      <c r="B101" s="14">
        <v>131</v>
      </c>
      <c r="C101" s="14" t="s">
        <v>1462</v>
      </c>
      <c r="D101" s="14">
        <v>130</v>
      </c>
      <c r="E101" s="14" t="s">
        <v>1402</v>
      </c>
      <c r="F101" s="14" t="s">
        <v>873</v>
      </c>
      <c r="G101" s="14" t="s">
        <v>874</v>
      </c>
      <c r="H101" s="14">
        <v>2</v>
      </c>
      <c r="I101" s="14" t="s">
        <v>875</v>
      </c>
      <c r="J101" s="14" t="s">
        <v>1403</v>
      </c>
      <c r="K101" s="14">
        <v>2024</v>
      </c>
      <c r="L101" s="42">
        <v>2024</v>
      </c>
      <c r="M101" s="43">
        <v>45201</v>
      </c>
      <c r="N101" s="14" t="s">
        <v>36</v>
      </c>
      <c r="O101" s="14" t="s">
        <v>708</v>
      </c>
      <c r="P101" s="14">
        <v>1044</v>
      </c>
      <c r="Q101" s="14" t="s">
        <v>1476</v>
      </c>
      <c r="R101" s="14">
        <v>2</v>
      </c>
      <c r="S101" s="14">
        <v>3</v>
      </c>
      <c r="T101" s="14" t="s">
        <v>1477</v>
      </c>
      <c r="U101" s="14">
        <v>4</v>
      </c>
      <c r="V101" s="42">
        <v>2422571</v>
      </c>
      <c r="W101" s="42">
        <v>0</v>
      </c>
      <c r="X101" s="42" t="s">
        <v>1406</v>
      </c>
      <c r="Z101" s="14" t="s">
        <v>32</v>
      </c>
      <c r="AA101" s="45">
        <v>45302</v>
      </c>
      <c r="AB101" s="14">
        <v>24</v>
      </c>
      <c r="AC101" s="14">
        <v>22571</v>
      </c>
      <c r="AD101" s="14">
        <v>131</v>
      </c>
      <c r="AE101" s="14" t="s">
        <v>1462</v>
      </c>
      <c r="AF101" s="14">
        <v>130</v>
      </c>
      <c r="AG101" s="14" t="s">
        <v>1402</v>
      </c>
      <c r="AH101" s="14" t="s">
        <v>36</v>
      </c>
      <c r="AI101" s="14" t="s">
        <v>708</v>
      </c>
      <c r="AJ101" s="14">
        <v>1044</v>
      </c>
      <c r="AK101" s="14" t="s">
        <v>1407</v>
      </c>
      <c r="AL101" s="14">
        <v>8158</v>
      </c>
      <c r="AM101" s="14" t="s">
        <v>1421</v>
      </c>
      <c r="AN101" s="14" t="s">
        <v>1528</v>
      </c>
      <c r="AO101" s="14">
        <v>8</v>
      </c>
      <c r="AP101" s="14" t="s">
        <v>1529</v>
      </c>
      <c r="AQ101" s="14">
        <v>0</v>
      </c>
      <c r="AR101" s="14" t="s">
        <v>1410</v>
      </c>
      <c r="AT101" s="14" t="s">
        <v>1417</v>
      </c>
      <c r="AU101" s="14" t="s">
        <v>1412</v>
      </c>
    </row>
    <row r="102" spans="1:47" x14ac:dyDescent="0.45">
      <c r="A102" s="42">
        <v>2413150120</v>
      </c>
      <c r="B102" s="14">
        <v>131</v>
      </c>
      <c r="C102" s="14" t="s">
        <v>1462</v>
      </c>
      <c r="D102" s="14">
        <v>130</v>
      </c>
      <c r="E102" s="14" t="s">
        <v>1402</v>
      </c>
      <c r="F102" s="14" t="s">
        <v>1079</v>
      </c>
      <c r="G102" s="14" t="s">
        <v>1080</v>
      </c>
      <c r="H102" s="14">
        <v>1</v>
      </c>
      <c r="I102" s="14" t="s">
        <v>927</v>
      </c>
      <c r="J102" s="14" t="s">
        <v>1403</v>
      </c>
      <c r="K102" s="14">
        <v>2024</v>
      </c>
      <c r="L102" s="42">
        <v>2024</v>
      </c>
      <c r="M102" s="43">
        <v>45201</v>
      </c>
      <c r="N102" s="14" t="s">
        <v>36</v>
      </c>
      <c r="O102" s="14" t="s">
        <v>698</v>
      </c>
      <c r="P102" s="14">
        <v>112</v>
      </c>
      <c r="Q102" s="14" t="s">
        <v>1522</v>
      </c>
      <c r="R102" s="14">
        <v>2</v>
      </c>
      <c r="S102" s="14">
        <v>5</v>
      </c>
      <c r="T102" s="14" t="s">
        <v>1470</v>
      </c>
      <c r="U102" s="14">
        <v>15</v>
      </c>
      <c r="V102" s="42">
        <v>2422569</v>
      </c>
      <c r="W102" s="42">
        <v>0</v>
      </c>
      <c r="X102" s="42" t="s">
        <v>1406</v>
      </c>
      <c r="Z102" s="14" t="s">
        <v>32</v>
      </c>
      <c r="AA102" s="45">
        <v>45296</v>
      </c>
      <c r="AB102" s="14">
        <v>24</v>
      </c>
      <c r="AC102" s="14">
        <v>22569</v>
      </c>
      <c r="AD102" s="14">
        <v>131</v>
      </c>
      <c r="AE102" s="14" t="s">
        <v>1462</v>
      </c>
      <c r="AF102" s="14">
        <v>130</v>
      </c>
      <c r="AG102" s="14" t="s">
        <v>1402</v>
      </c>
      <c r="AH102" s="14" t="s">
        <v>36</v>
      </c>
      <c r="AI102" s="14" t="s">
        <v>698</v>
      </c>
      <c r="AJ102" s="14">
        <v>112</v>
      </c>
      <c r="AK102" s="14" t="s">
        <v>1407</v>
      </c>
      <c r="AL102" s="14">
        <v>28168</v>
      </c>
      <c r="AM102" s="14" t="s">
        <v>1418</v>
      </c>
      <c r="AN102" s="14" t="s">
        <v>1475</v>
      </c>
      <c r="AO102" s="14">
        <v>28</v>
      </c>
      <c r="AP102" s="14" t="s">
        <v>1416</v>
      </c>
      <c r="AQ102" s="14">
        <v>0</v>
      </c>
      <c r="AR102" s="14" t="s">
        <v>1410</v>
      </c>
      <c r="AT102" s="14" t="s">
        <v>1417</v>
      </c>
      <c r="AU102" s="14" t="s">
        <v>1412</v>
      </c>
    </row>
    <row r="103" spans="1:47" x14ac:dyDescent="0.45">
      <c r="A103" s="42">
        <v>2413150034</v>
      </c>
      <c r="B103" s="14">
        <v>131</v>
      </c>
      <c r="C103" s="14" t="s">
        <v>1462</v>
      </c>
      <c r="D103" s="14">
        <v>130</v>
      </c>
      <c r="E103" s="14" t="s">
        <v>1402</v>
      </c>
      <c r="F103" s="14" t="s">
        <v>820</v>
      </c>
      <c r="G103" s="14" t="s">
        <v>821</v>
      </c>
      <c r="H103" s="14">
        <v>2</v>
      </c>
      <c r="I103" s="14" t="s">
        <v>651</v>
      </c>
      <c r="J103" s="14" t="s">
        <v>1403</v>
      </c>
      <c r="K103" s="14">
        <v>2024</v>
      </c>
      <c r="L103" s="42">
        <v>2024</v>
      </c>
      <c r="M103" s="43">
        <v>45173</v>
      </c>
      <c r="N103" s="14" t="s">
        <v>36</v>
      </c>
      <c r="O103" s="14" t="s">
        <v>708</v>
      </c>
      <c r="P103" s="14">
        <v>121</v>
      </c>
      <c r="Q103" s="14" t="s">
        <v>1502</v>
      </c>
      <c r="R103" s="14">
        <v>2</v>
      </c>
      <c r="S103" s="14">
        <v>8</v>
      </c>
      <c r="T103" s="14" t="s">
        <v>1503</v>
      </c>
      <c r="U103" s="14">
        <v>6</v>
      </c>
      <c r="V103" s="42">
        <v>2422570</v>
      </c>
      <c r="W103" s="42">
        <v>0</v>
      </c>
      <c r="X103" s="42" t="s">
        <v>1406</v>
      </c>
      <c r="Y103" s="59"/>
      <c r="Z103" s="14" t="s">
        <v>32</v>
      </c>
      <c r="AA103" s="45">
        <v>45296</v>
      </c>
      <c r="AB103" s="14">
        <v>24</v>
      </c>
      <c r="AC103" s="14">
        <v>22570</v>
      </c>
      <c r="AD103" s="14">
        <v>131</v>
      </c>
      <c r="AE103" s="14" t="s">
        <v>1462</v>
      </c>
      <c r="AF103" s="14">
        <v>130</v>
      </c>
      <c r="AG103" s="14" t="s">
        <v>1402</v>
      </c>
      <c r="AH103" s="14" t="s">
        <v>36</v>
      </c>
      <c r="AI103" s="14" t="s">
        <v>708</v>
      </c>
      <c r="AJ103" s="14">
        <v>121</v>
      </c>
      <c r="AK103" s="14" t="s">
        <v>1407</v>
      </c>
      <c r="AL103" s="14">
        <v>28103</v>
      </c>
      <c r="AM103" s="14" t="s">
        <v>1418</v>
      </c>
      <c r="AN103" s="14" t="s">
        <v>1505</v>
      </c>
      <c r="AO103" s="14">
        <v>28</v>
      </c>
      <c r="AP103" s="14" t="s">
        <v>1416</v>
      </c>
      <c r="AQ103" s="14">
        <v>0</v>
      </c>
      <c r="AR103" s="14" t="s">
        <v>1410</v>
      </c>
      <c r="AT103" s="14" t="s">
        <v>1417</v>
      </c>
      <c r="AU103" s="14" t="s">
        <v>1412</v>
      </c>
    </row>
    <row r="104" spans="1:47" x14ac:dyDescent="0.45">
      <c r="A104" s="42">
        <v>2405750019</v>
      </c>
      <c r="B104" s="14">
        <v>57</v>
      </c>
      <c r="C104" s="14" t="s">
        <v>1551</v>
      </c>
      <c r="D104" s="14">
        <v>57</v>
      </c>
      <c r="E104" s="14" t="s">
        <v>1552</v>
      </c>
      <c r="F104" s="14" t="s">
        <v>123</v>
      </c>
      <c r="G104" s="14" t="s">
        <v>124</v>
      </c>
      <c r="H104" s="14">
        <v>2</v>
      </c>
      <c r="I104" s="14" t="s">
        <v>125</v>
      </c>
      <c r="J104" s="14" t="s">
        <v>1403</v>
      </c>
      <c r="K104" s="14">
        <v>2024</v>
      </c>
      <c r="L104" s="42">
        <v>2024</v>
      </c>
      <c r="M104" s="43">
        <v>45210</v>
      </c>
      <c r="N104" s="14" t="s">
        <v>36</v>
      </c>
      <c r="O104" s="14">
        <v>6</v>
      </c>
      <c r="P104" s="14">
        <v>448</v>
      </c>
      <c r="Q104" s="14" t="s">
        <v>1557</v>
      </c>
      <c r="R104" s="14">
        <v>2</v>
      </c>
      <c r="S104" s="14">
        <v>1</v>
      </c>
      <c r="T104" s="14" t="s">
        <v>1527</v>
      </c>
      <c r="U104" s="14">
        <v>3</v>
      </c>
      <c r="V104" s="42">
        <v>2480133</v>
      </c>
      <c r="W104" s="42">
        <v>0</v>
      </c>
      <c r="X104" s="42" t="s">
        <v>1406</v>
      </c>
      <c r="Z104" s="14" t="s">
        <v>32</v>
      </c>
      <c r="AA104" s="45">
        <v>45329</v>
      </c>
      <c r="AB104" s="14">
        <v>24</v>
      </c>
      <c r="AC104" s="14">
        <v>80133</v>
      </c>
      <c r="AD104" s="14">
        <v>57</v>
      </c>
      <c r="AE104" s="14" t="s">
        <v>1551</v>
      </c>
      <c r="AF104" s="14">
        <v>57</v>
      </c>
      <c r="AG104" s="14" t="s">
        <v>1552</v>
      </c>
      <c r="AH104" s="14" t="s">
        <v>36</v>
      </c>
      <c r="AI104" s="14">
        <v>6</v>
      </c>
      <c r="AJ104" s="14">
        <v>448</v>
      </c>
      <c r="AK104" s="14" t="s">
        <v>1407</v>
      </c>
      <c r="AL104" s="14">
        <v>28117</v>
      </c>
      <c r="AM104" s="14" t="s">
        <v>1418</v>
      </c>
      <c r="AN104" s="14" t="s">
        <v>1576</v>
      </c>
      <c r="AO104" s="14">
        <v>28</v>
      </c>
      <c r="AP104" s="14" t="s">
        <v>1416</v>
      </c>
      <c r="AQ104" s="14">
        <v>0</v>
      </c>
      <c r="AR104" s="14" t="s">
        <v>1410</v>
      </c>
      <c r="AT104" s="14" t="s">
        <v>1417</v>
      </c>
      <c r="AU104" s="14" t="s">
        <v>1412</v>
      </c>
    </row>
    <row r="105" spans="1:47" x14ac:dyDescent="0.45">
      <c r="A105" s="42">
        <v>2405750168</v>
      </c>
      <c r="B105" s="14">
        <v>57</v>
      </c>
      <c r="C105" s="14" t="s">
        <v>1551</v>
      </c>
      <c r="D105" s="14">
        <v>57</v>
      </c>
      <c r="E105" s="14" t="s">
        <v>1552</v>
      </c>
      <c r="F105" s="14" t="s">
        <v>1284</v>
      </c>
      <c r="G105" s="14" t="s">
        <v>1285</v>
      </c>
      <c r="H105" s="14">
        <v>1</v>
      </c>
      <c r="I105" s="14" t="s">
        <v>1286</v>
      </c>
      <c r="J105" s="14" t="s">
        <v>1403</v>
      </c>
      <c r="K105" s="14">
        <v>2024</v>
      </c>
      <c r="L105" s="42">
        <v>2024</v>
      </c>
      <c r="M105" s="43">
        <v>45211</v>
      </c>
      <c r="N105" s="14" t="s">
        <v>36</v>
      </c>
      <c r="O105" s="14" t="s">
        <v>51</v>
      </c>
      <c r="P105" s="14">
        <v>427</v>
      </c>
      <c r="Q105" s="14" t="s">
        <v>1479</v>
      </c>
      <c r="R105" s="14">
        <v>1</v>
      </c>
      <c r="S105" s="14">
        <v>2</v>
      </c>
      <c r="T105" s="14" t="s">
        <v>1464</v>
      </c>
      <c r="U105" s="14">
        <v>1</v>
      </c>
      <c r="V105" s="42">
        <v>2480193</v>
      </c>
      <c r="W105" s="42">
        <v>0</v>
      </c>
      <c r="X105" s="42" t="s">
        <v>1406</v>
      </c>
      <c r="Y105" s="111"/>
      <c r="Z105" s="14" t="s">
        <v>32</v>
      </c>
      <c r="AA105" s="45">
        <v>45378</v>
      </c>
      <c r="AB105" s="14">
        <v>24</v>
      </c>
      <c r="AC105" s="14">
        <v>80193</v>
      </c>
      <c r="AD105" s="14">
        <v>57</v>
      </c>
      <c r="AE105" s="14" t="s">
        <v>1551</v>
      </c>
      <c r="AF105" s="14">
        <v>57</v>
      </c>
      <c r="AG105" s="14" t="s">
        <v>1552</v>
      </c>
      <c r="AH105" s="14" t="s">
        <v>36</v>
      </c>
      <c r="AI105" s="14" t="s">
        <v>51</v>
      </c>
      <c r="AJ105" s="14">
        <v>427</v>
      </c>
      <c r="AK105" s="14" t="s">
        <v>1473</v>
      </c>
      <c r="AL105" s="14">
        <v>28185</v>
      </c>
      <c r="AM105" s="14" t="s">
        <v>1418</v>
      </c>
      <c r="AN105" s="14" t="s">
        <v>1438</v>
      </c>
      <c r="AO105" s="14">
        <v>28</v>
      </c>
      <c r="AP105" s="14" t="s">
        <v>1416</v>
      </c>
      <c r="AQ105" s="14">
        <v>0</v>
      </c>
      <c r="AR105" s="14" t="s">
        <v>1410</v>
      </c>
      <c r="AT105" s="14" t="s">
        <v>1417</v>
      </c>
      <c r="AU105" s="14" t="s">
        <v>1412</v>
      </c>
    </row>
    <row r="106" spans="1:47" x14ac:dyDescent="0.45">
      <c r="A106" s="42">
        <v>2405750161</v>
      </c>
      <c r="B106" s="14">
        <v>57</v>
      </c>
      <c r="C106" s="14" t="s">
        <v>1551</v>
      </c>
      <c r="D106" s="14">
        <v>57</v>
      </c>
      <c r="E106" s="14" t="s">
        <v>1552</v>
      </c>
      <c r="F106" s="14" t="s">
        <v>1264</v>
      </c>
      <c r="G106" s="14" t="s">
        <v>1265</v>
      </c>
      <c r="H106" s="14">
        <v>2</v>
      </c>
      <c r="I106" s="14" t="s">
        <v>1266</v>
      </c>
      <c r="J106" s="14" t="s">
        <v>1636</v>
      </c>
      <c r="K106" s="14">
        <v>2024</v>
      </c>
      <c r="L106" s="42">
        <v>2024</v>
      </c>
      <c r="M106" s="43">
        <v>45211</v>
      </c>
      <c r="N106" s="14" t="s">
        <v>36</v>
      </c>
      <c r="O106" s="14">
        <v>58</v>
      </c>
      <c r="P106" s="14">
        <v>785</v>
      </c>
      <c r="Q106" s="14" t="s">
        <v>1491</v>
      </c>
      <c r="R106" s="14">
        <v>2</v>
      </c>
      <c r="S106" s="14">
        <v>2</v>
      </c>
      <c r="T106" s="14" t="s">
        <v>1464</v>
      </c>
      <c r="U106" s="14">
        <v>1</v>
      </c>
      <c r="V106" s="42">
        <v>2480042</v>
      </c>
      <c r="W106" s="42">
        <v>0</v>
      </c>
      <c r="X106" s="42" t="s">
        <v>1406</v>
      </c>
      <c r="Y106" s="59"/>
      <c r="Z106" s="14" t="s">
        <v>32</v>
      </c>
      <c r="AA106" s="45">
        <v>45230</v>
      </c>
      <c r="AB106" s="14">
        <v>24</v>
      </c>
      <c r="AC106" s="14">
        <v>80042</v>
      </c>
      <c r="AD106" s="14">
        <v>57</v>
      </c>
      <c r="AE106" s="14" t="s">
        <v>1551</v>
      </c>
      <c r="AF106" s="14">
        <v>57</v>
      </c>
      <c r="AG106" s="14" t="s">
        <v>1552</v>
      </c>
      <c r="AH106" s="14" t="s">
        <v>36</v>
      </c>
      <c r="AI106" s="14">
        <v>58</v>
      </c>
      <c r="AJ106" s="14">
        <v>785</v>
      </c>
      <c r="AK106" s="14" t="s">
        <v>1407</v>
      </c>
      <c r="AL106" s="14">
        <v>4015</v>
      </c>
      <c r="AM106" s="14" t="s">
        <v>1421</v>
      </c>
      <c r="AN106" s="14" t="s">
        <v>1637</v>
      </c>
      <c r="AO106" s="14">
        <v>4</v>
      </c>
      <c r="AP106" s="14" t="s">
        <v>1584</v>
      </c>
      <c r="AQ106" s="14">
        <v>0</v>
      </c>
      <c r="AR106" s="14" t="s">
        <v>1410</v>
      </c>
      <c r="AT106" s="14" t="s">
        <v>1417</v>
      </c>
      <c r="AU106" s="14" t="s">
        <v>1412</v>
      </c>
    </row>
    <row r="107" spans="1:47" x14ac:dyDescent="0.45">
      <c r="A107" s="42">
        <v>2405750017</v>
      </c>
      <c r="B107" s="14">
        <v>57</v>
      </c>
      <c r="C107" s="14" t="s">
        <v>1551</v>
      </c>
      <c r="D107" s="14">
        <v>57</v>
      </c>
      <c r="E107" s="14" t="s">
        <v>1552</v>
      </c>
      <c r="F107" s="14" t="s">
        <v>116</v>
      </c>
      <c r="G107" s="14" t="s">
        <v>117</v>
      </c>
      <c r="H107" s="14">
        <v>1</v>
      </c>
      <c r="I107" s="14" t="s">
        <v>118</v>
      </c>
      <c r="J107" s="14" t="s">
        <v>1403</v>
      </c>
      <c r="K107" s="14">
        <v>2024</v>
      </c>
      <c r="L107" s="42">
        <v>2024</v>
      </c>
      <c r="M107" s="43">
        <v>45212</v>
      </c>
      <c r="N107" s="14" t="s">
        <v>36</v>
      </c>
      <c r="O107" s="14">
        <v>58</v>
      </c>
      <c r="P107" s="14">
        <v>428</v>
      </c>
      <c r="Q107" s="14" t="s">
        <v>1463</v>
      </c>
      <c r="R107" s="14">
        <v>2</v>
      </c>
      <c r="S107" s="14">
        <v>2</v>
      </c>
      <c r="T107" s="14" t="s">
        <v>1464</v>
      </c>
      <c r="U107" s="14">
        <v>1</v>
      </c>
      <c r="V107" s="42">
        <v>2480077</v>
      </c>
      <c r="W107" s="42">
        <v>0</v>
      </c>
      <c r="X107" s="42" t="s">
        <v>1406</v>
      </c>
      <c r="Y107" s="59"/>
      <c r="Z107" s="14" t="s">
        <v>32</v>
      </c>
      <c r="AA107" s="45">
        <v>45259</v>
      </c>
      <c r="AB107" s="14">
        <v>24</v>
      </c>
      <c r="AC107" s="14">
        <v>80077</v>
      </c>
      <c r="AD107" s="14">
        <v>57</v>
      </c>
      <c r="AE107" s="14" t="s">
        <v>1551</v>
      </c>
      <c r="AF107" s="14">
        <v>57</v>
      </c>
      <c r="AG107" s="14" t="s">
        <v>1552</v>
      </c>
      <c r="AH107" s="14" t="s">
        <v>36</v>
      </c>
      <c r="AI107" s="14">
        <v>58</v>
      </c>
      <c r="AJ107" s="14">
        <v>428</v>
      </c>
      <c r="AK107" s="14" t="s">
        <v>1407</v>
      </c>
      <c r="AL107" s="14">
        <v>31006</v>
      </c>
      <c r="AM107" s="14" t="s">
        <v>1421</v>
      </c>
      <c r="AN107" s="14" t="s">
        <v>1486</v>
      </c>
      <c r="AO107" s="14">
        <v>31</v>
      </c>
      <c r="AP107" s="14" t="s">
        <v>1487</v>
      </c>
      <c r="AQ107" s="14">
        <v>0</v>
      </c>
      <c r="AR107" s="14" t="s">
        <v>1410</v>
      </c>
      <c r="AT107" s="14" t="s">
        <v>1417</v>
      </c>
      <c r="AU107" s="14" t="s">
        <v>1412</v>
      </c>
    </row>
    <row r="108" spans="1:47" x14ac:dyDescent="0.45">
      <c r="A108" s="42">
        <v>2405750154</v>
      </c>
      <c r="B108" s="14">
        <v>57</v>
      </c>
      <c r="C108" s="14" t="s">
        <v>1551</v>
      </c>
      <c r="D108" s="14">
        <v>57</v>
      </c>
      <c r="E108" s="14" t="s">
        <v>1552</v>
      </c>
      <c r="F108" s="14" t="s">
        <v>1238</v>
      </c>
      <c r="G108" s="14" t="s">
        <v>1239</v>
      </c>
      <c r="H108" s="14">
        <v>1</v>
      </c>
      <c r="I108" s="14" t="s">
        <v>1240</v>
      </c>
      <c r="J108" s="14" t="s">
        <v>1403</v>
      </c>
      <c r="K108" s="14">
        <v>2024</v>
      </c>
      <c r="L108" s="42">
        <v>2024</v>
      </c>
      <c r="M108" s="43">
        <v>45215</v>
      </c>
      <c r="N108" s="14" t="s">
        <v>36</v>
      </c>
      <c r="O108" s="14">
        <v>58</v>
      </c>
      <c r="P108" s="14">
        <v>428</v>
      </c>
      <c r="Q108" s="14" t="s">
        <v>1463</v>
      </c>
      <c r="R108" s="14">
        <v>2</v>
      </c>
      <c r="S108" s="14">
        <v>2</v>
      </c>
      <c r="T108" s="14" t="s">
        <v>1464</v>
      </c>
      <c r="U108" s="14">
        <v>1</v>
      </c>
      <c r="V108" s="42">
        <v>2480058</v>
      </c>
      <c r="W108" s="42">
        <v>0</v>
      </c>
      <c r="X108" s="42" t="s">
        <v>1406</v>
      </c>
      <c r="Y108" s="59"/>
      <c r="Z108" s="14" t="s">
        <v>32</v>
      </c>
      <c r="AA108" s="45">
        <v>45244</v>
      </c>
      <c r="AB108" s="14">
        <v>24</v>
      </c>
      <c r="AC108" s="14">
        <v>80058</v>
      </c>
      <c r="AD108" s="14">
        <v>57</v>
      </c>
      <c r="AE108" s="14" t="s">
        <v>1551</v>
      </c>
      <c r="AF108" s="14">
        <v>57</v>
      </c>
      <c r="AG108" s="14" t="s">
        <v>1552</v>
      </c>
      <c r="AH108" s="14" t="s">
        <v>36</v>
      </c>
      <c r="AI108" s="14">
        <v>58</v>
      </c>
      <c r="AJ108" s="14">
        <v>428</v>
      </c>
      <c r="AK108" s="14" t="s">
        <v>1407</v>
      </c>
      <c r="AL108" s="14">
        <v>33009</v>
      </c>
      <c r="AM108" s="14" t="s">
        <v>1421</v>
      </c>
      <c r="AN108" s="14" t="s">
        <v>1632</v>
      </c>
      <c r="AO108" s="14">
        <v>33</v>
      </c>
      <c r="AP108" s="14" t="s">
        <v>1427</v>
      </c>
      <c r="AQ108" s="14">
        <v>0</v>
      </c>
      <c r="AR108" s="14" t="s">
        <v>1410</v>
      </c>
      <c r="AT108" s="14" t="s">
        <v>1417</v>
      </c>
      <c r="AU108" s="14" t="s">
        <v>1412</v>
      </c>
    </row>
    <row r="109" spans="1:47" x14ac:dyDescent="0.45">
      <c r="A109" s="42">
        <v>2405750037</v>
      </c>
      <c r="B109" s="14">
        <v>57</v>
      </c>
      <c r="C109" s="14" t="s">
        <v>1551</v>
      </c>
      <c r="D109" s="14">
        <v>57</v>
      </c>
      <c r="E109" s="14" t="s">
        <v>1552</v>
      </c>
      <c r="F109" s="14" t="s">
        <v>195</v>
      </c>
      <c r="G109" s="14" t="s">
        <v>196</v>
      </c>
      <c r="H109" s="14">
        <v>1</v>
      </c>
      <c r="I109" s="14" t="s">
        <v>197</v>
      </c>
      <c r="J109" s="14" t="s">
        <v>1403</v>
      </c>
      <c r="K109" s="14">
        <v>2024</v>
      </c>
      <c r="L109" s="42">
        <v>2024</v>
      </c>
      <c r="M109" s="43">
        <v>45215</v>
      </c>
      <c r="N109" s="14" t="s">
        <v>36</v>
      </c>
      <c r="O109" s="14">
        <v>7</v>
      </c>
      <c r="P109" s="14">
        <v>265</v>
      </c>
      <c r="Q109" s="14" t="s">
        <v>1562</v>
      </c>
      <c r="R109" s="14">
        <v>2</v>
      </c>
      <c r="S109" s="14">
        <v>1</v>
      </c>
      <c r="T109" s="14" t="s">
        <v>1527</v>
      </c>
      <c r="U109" s="14">
        <v>3</v>
      </c>
      <c r="V109" s="42">
        <v>2480038</v>
      </c>
      <c r="W109" s="42">
        <v>0</v>
      </c>
      <c r="X109" s="42" t="s">
        <v>1406</v>
      </c>
      <c r="Y109" s="59"/>
      <c r="Z109" s="14" t="s">
        <v>32</v>
      </c>
      <c r="AA109" s="45">
        <v>45225</v>
      </c>
      <c r="AB109" s="14">
        <v>24</v>
      </c>
      <c r="AC109" s="14">
        <v>80038</v>
      </c>
      <c r="AD109" s="14">
        <v>57</v>
      </c>
      <c r="AE109" s="14" t="s">
        <v>1551</v>
      </c>
      <c r="AF109" s="14">
        <v>57</v>
      </c>
      <c r="AG109" s="14" t="s">
        <v>1552</v>
      </c>
      <c r="AH109" s="14" t="s">
        <v>36</v>
      </c>
      <c r="AI109" s="14">
        <v>7</v>
      </c>
      <c r="AJ109" s="14">
        <v>265</v>
      </c>
      <c r="AK109" s="14" t="s">
        <v>1407</v>
      </c>
      <c r="AL109" s="14">
        <v>28029</v>
      </c>
      <c r="AM109" s="14" t="s">
        <v>1421</v>
      </c>
      <c r="AN109" s="14" t="s">
        <v>1441</v>
      </c>
      <c r="AO109" s="14">
        <v>28</v>
      </c>
      <c r="AP109" s="14" t="s">
        <v>1416</v>
      </c>
      <c r="AQ109" s="14">
        <v>0</v>
      </c>
      <c r="AR109" s="14" t="s">
        <v>1410</v>
      </c>
      <c r="AT109" s="14" t="s">
        <v>1417</v>
      </c>
      <c r="AU109" s="14" t="s">
        <v>1412</v>
      </c>
    </row>
    <row r="110" spans="1:47" x14ac:dyDescent="0.45">
      <c r="A110" s="42">
        <v>2413050044</v>
      </c>
      <c r="B110" s="14">
        <v>130</v>
      </c>
      <c r="C110" s="14" t="s">
        <v>1401</v>
      </c>
      <c r="D110" s="14">
        <v>130</v>
      </c>
      <c r="E110" s="14" t="s">
        <v>1402</v>
      </c>
      <c r="F110" s="14" t="s">
        <v>632</v>
      </c>
      <c r="G110" s="14" t="s">
        <v>633</v>
      </c>
      <c r="H110" s="14">
        <v>1</v>
      </c>
      <c r="I110" s="14" t="s">
        <v>634</v>
      </c>
      <c r="J110" s="14" t="s">
        <v>1403</v>
      </c>
      <c r="K110" s="14">
        <v>2024</v>
      </c>
      <c r="L110" s="42">
        <v>2024</v>
      </c>
      <c r="M110" s="43">
        <v>45183</v>
      </c>
      <c r="N110" s="14" t="s">
        <v>36</v>
      </c>
      <c r="O110" s="14" t="s">
        <v>472</v>
      </c>
      <c r="P110" s="14">
        <v>1043</v>
      </c>
      <c r="Q110" s="14" t="s">
        <v>1404</v>
      </c>
      <c r="R110" s="14">
        <v>2</v>
      </c>
      <c r="S110" s="14">
        <v>6</v>
      </c>
      <c r="T110" s="14" t="s">
        <v>1405</v>
      </c>
      <c r="U110" s="14">
        <v>5</v>
      </c>
      <c r="V110" s="42">
        <v>2422042</v>
      </c>
      <c r="W110" s="42">
        <v>0</v>
      </c>
      <c r="X110" s="42" t="s">
        <v>1406</v>
      </c>
      <c r="Y110" s="59"/>
      <c r="Z110" s="14" t="s">
        <v>32</v>
      </c>
      <c r="AA110" s="45">
        <v>45282</v>
      </c>
      <c r="AB110" s="14">
        <v>24</v>
      </c>
      <c r="AC110" s="14">
        <v>22042</v>
      </c>
      <c r="AD110" s="14">
        <v>130</v>
      </c>
      <c r="AE110" s="14" t="s">
        <v>1401</v>
      </c>
      <c r="AF110" s="14">
        <v>130</v>
      </c>
      <c r="AG110" s="14" t="s">
        <v>1402</v>
      </c>
      <c r="AH110" s="14" t="s">
        <v>36</v>
      </c>
      <c r="AI110" s="14" t="s">
        <v>472</v>
      </c>
      <c r="AJ110" s="14">
        <v>1043</v>
      </c>
      <c r="AK110" s="14" t="s">
        <v>1407</v>
      </c>
      <c r="AL110" s="14">
        <v>28239</v>
      </c>
      <c r="AM110" s="14" t="s">
        <v>1418</v>
      </c>
      <c r="AN110" s="14" t="s">
        <v>1454</v>
      </c>
      <c r="AO110" s="14">
        <v>28</v>
      </c>
      <c r="AP110" s="14" t="s">
        <v>1416</v>
      </c>
      <c r="AQ110" s="14">
        <v>0</v>
      </c>
      <c r="AR110" s="14" t="s">
        <v>1410</v>
      </c>
      <c r="AT110" s="14" t="s">
        <v>1417</v>
      </c>
      <c r="AU110" s="14" t="s">
        <v>1412</v>
      </c>
    </row>
    <row r="111" spans="1:47" x14ac:dyDescent="0.45">
      <c r="A111" s="42">
        <v>2405750160</v>
      </c>
      <c r="B111" s="14">
        <v>57</v>
      </c>
      <c r="C111" s="14" t="s">
        <v>1551</v>
      </c>
      <c r="D111" s="14">
        <v>57</v>
      </c>
      <c r="E111" s="14" t="s">
        <v>1552</v>
      </c>
      <c r="F111" s="14" t="s">
        <v>1260</v>
      </c>
      <c r="G111" s="14" t="s">
        <v>1261</v>
      </c>
      <c r="H111" s="14">
        <v>2</v>
      </c>
      <c r="I111" s="14" t="s">
        <v>1262</v>
      </c>
      <c r="J111" s="14" t="s">
        <v>1403</v>
      </c>
      <c r="K111" s="14">
        <v>0</v>
      </c>
      <c r="L111" s="42">
        <v>2024</v>
      </c>
      <c r="M111" s="43">
        <v>45217</v>
      </c>
      <c r="N111" s="14" t="s">
        <v>36</v>
      </c>
      <c r="O111" s="14">
        <v>58</v>
      </c>
      <c r="P111" s="14">
        <v>859</v>
      </c>
      <c r="Q111" s="14" t="s">
        <v>1494</v>
      </c>
      <c r="R111" s="14">
        <v>2</v>
      </c>
      <c r="S111" s="14">
        <v>2</v>
      </c>
      <c r="T111" s="14" t="s">
        <v>1464</v>
      </c>
      <c r="U111" s="14">
        <v>1</v>
      </c>
      <c r="V111" s="42">
        <v>0</v>
      </c>
      <c r="W111" s="42">
        <v>0</v>
      </c>
      <c r="X111" s="42" t="s">
        <v>1406</v>
      </c>
      <c r="Y111" s="59"/>
      <c r="Z111" s="14" t="s">
        <v>32</v>
      </c>
      <c r="AB111" s="14">
        <v>0</v>
      </c>
      <c r="AC111" s="14">
        <v>0</v>
      </c>
      <c r="AD111" s="14">
        <v>0</v>
      </c>
      <c r="AE111" s="14" t="s">
        <v>1446</v>
      </c>
      <c r="AG111" s="14" t="s">
        <v>1446</v>
      </c>
      <c r="AJ111" s="14">
        <v>0</v>
      </c>
      <c r="AK111" s="14" t="s">
        <v>1407</v>
      </c>
      <c r="AL111" s="14">
        <v>28043</v>
      </c>
      <c r="AM111" s="14" t="s">
        <v>1421</v>
      </c>
      <c r="AN111" s="14" t="s">
        <v>1635</v>
      </c>
      <c r="AO111" s="14">
        <v>28</v>
      </c>
      <c r="AP111" s="14" t="s">
        <v>1416</v>
      </c>
      <c r="AQ111" s="14">
        <v>0</v>
      </c>
      <c r="AT111" s="14" t="s">
        <v>1411</v>
      </c>
      <c r="AU111" s="14" t="s">
        <v>1412</v>
      </c>
    </row>
    <row r="112" spans="1:47" x14ac:dyDescent="0.45">
      <c r="A112" s="42">
        <v>2413150048</v>
      </c>
      <c r="B112" s="14">
        <v>131</v>
      </c>
      <c r="C112" s="14" t="s">
        <v>1462</v>
      </c>
      <c r="D112" s="14">
        <v>130</v>
      </c>
      <c r="E112" s="14" t="s">
        <v>1402</v>
      </c>
      <c r="F112" s="14" t="s">
        <v>866</v>
      </c>
      <c r="G112" s="14" t="s">
        <v>867</v>
      </c>
      <c r="H112" s="14">
        <v>2</v>
      </c>
      <c r="I112" s="14" t="s">
        <v>778</v>
      </c>
      <c r="J112" s="14" t="s">
        <v>1403</v>
      </c>
      <c r="K112" s="14">
        <v>2024</v>
      </c>
      <c r="L112" s="42">
        <v>2024</v>
      </c>
      <c r="M112" s="43">
        <v>45183</v>
      </c>
      <c r="N112" s="14" t="s">
        <v>36</v>
      </c>
      <c r="O112" s="14" t="s">
        <v>708</v>
      </c>
      <c r="P112" s="14">
        <v>266</v>
      </c>
      <c r="Q112" s="14" t="s">
        <v>1526</v>
      </c>
      <c r="R112" s="14">
        <v>2</v>
      </c>
      <c r="S112" s="14">
        <v>1</v>
      </c>
      <c r="T112" s="14" t="s">
        <v>1527</v>
      </c>
      <c r="U112" s="14">
        <v>3</v>
      </c>
      <c r="V112" s="42">
        <v>2422567</v>
      </c>
      <c r="W112" s="42">
        <v>0</v>
      </c>
      <c r="X112" s="42" t="s">
        <v>1406</v>
      </c>
      <c r="Y112" s="59"/>
      <c r="Z112" s="14" t="s">
        <v>32</v>
      </c>
      <c r="AA112" s="45">
        <v>45281</v>
      </c>
      <c r="AB112" s="14">
        <v>24</v>
      </c>
      <c r="AC112" s="14">
        <v>22567</v>
      </c>
      <c r="AD112" s="14">
        <v>131</v>
      </c>
      <c r="AE112" s="14" t="s">
        <v>1462</v>
      </c>
      <c r="AF112" s="14">
        <v>130</v>
      </c>
      <c r="AG112" s="14" t="s">
        <v>1402</v>
      </c>
      <c r="AH112" s="14" t="s">
        <v>36</v>
      </c>
      <c r="AI112" s="14" t="s">
        <v>708</v>
      </c>
      <c r="AJ112" s="14">
        <v>266</v>
      </c>
      <c r="AK112" s="14" t="s">
        <v>1407</v>
      </c>
      <c r="AL112" s="14">
        <v>28157</v>
      </c>
      <c r="AM112" s="14" t="s">
        <v>1414</v>
      </c>
      <c r="AN112" s="14" t="s">
        <v>1415</v>
      </c>
      <c r="AO112" s="14">
        <v>28</v>
      </c>
      <c r="AP112" s="14" t="s">
        <v>1416</v>
      </c>
      <c r="AQ112" s="14">
        <v>0</v>
      </c>
      <c r="AR112" s="14" t="s">
        <v>1410</v>
      </c>
      <c r="AT112" s="14" t="s">
        <v>1417</v>
      </c>
      <c r="AU112" s="14" t="s">
        <v>1412</v>
      </c>
    </row>
    <row r="113" spans="1:47" x14ac:dyDescent="0.45">
      <c r="A113" s="42">
        <v>2413150047</v>
      </c>
      <c r="B113" s="14">
        <v>131</v>
      </c>
      <c r="C113" s="14" t="s">
        <v>1462</v>
      </c>
      <c r="D113" s="14">
        <v>130</v>
      </c>
      <c r="E113" s="14" t="s">
        <v>1402</v>
      </c>
      <c r="F113" s="14" t="s">
        <v>863</v>
      </c>
      <c r="G113" s="14" t="s">
        <v>864</v>
      </c>
      <c r="H113" s="14">
        <v>1</v>
      </c>
      <c r="I113" s="14" t="s">
        <v>865</v>
      </c>
      <c r="J113" s="14" t="s">
        <v>1403</v>
      </c>
      <c r="K113" s="14">
        <v>2024</v>
      </c>
      <c r="L113" s="42">
        <v>2024</v>
      </c>
      <c r="M113" s="43">
        <v>45181</v>
      </c>
      <c r="N113" s="14" t="s">
        <v>36</v>
      </c>
      <c r="O113" s="14" t="s">
        <v>704</v>
      </c>
      <c r="P113" s="14">
        <v>428</v>
      </c>
      <c r="Q113" s="14" t="s">
        <v>1463</v>
      </c>
      <c r="R113" s="14">
        <v>2</v>
      </c>
      <c r="S113" s="14">
        <v>2</v>
      </c>
      <c r="T113" s="14" t="s">
        <v>1464</v>
      </c>
      <c r="U113" s="14">
        <v>1</v>
      </c>
      <c r="V113" s="42">
        <v>2422566</v>
      </c>
      <c r="W113" s="42">
        <v>0</v>
      </c>
      <c r="X113" s="42" t="s">
        <v>1406</v>
      </c>
      <c r="Y113" s="59"/>
      <c r="Z113" s="14" t="s">
        <v>32</v>
      </c>
      <c r="AA113" s="45">
        <v>45280</v>
      </c>
      <c r="AB113" s="14">
        <v>24</v>
      </c>
      <c r="AC113" s="14">
        <v>22566</v>
      </c>
      <c r="AD113" s="14">
        <v>131</v>
      </c>
      <c r="AE113" s="14" t="s">
        <v>1462</v>
      </c>
      <c r="AF113" s="14">
        <v>130</v>
      </c>
      <c r="AG113" s="14" t="s">
        <v>1402</v>
      </c>
      <c r="AH113" s="14" t="s">
        <v>36</v>
      </c>
      <c r="AI113" s="14" t="s">
        <v>704</v>
      </c>
      <c r="AJ113" s="14">
        <v>428</v>
      </c>
      <c r="AK113" s="14" t="s">
        <v>1407</v>
      </c>
      <c r="AL113" s="14">
        <v>28015</v>
      </c>
      <c r="AM113" s="14" t="s">
        <v>1421</v>
      </c>
      <c r="AN113" s="14" t="s">
        <v>1525</v>
      </c>
      <c r="AO113" s="14">
        <v>28</v>
      </c>
      <c r="AP113" s="14" t="s">
        <v>1416</v>
      </c>
      <c r="AQ113" s="14">
        <v>0</v>
      </c>
      <c r="AR113" s="14" t="s">
        <v>1410</v>
      </c>
      <c r="AT113" s="14" t="s">
        <v>1417</v>
      </c>
      <c r="AU113" s="14" t="s">
        <v>1412</v>
      </c>
    </row>
    <row r="114" spans="1:47" x14ac:dyDescent="0.45">
      <c r="A114" s="42">
        <v>2413150127</v>
      </c>
      <c r="B114" s="14">
        <v>131</v>
      </c>
      <c r="C114" s="14" t="s">
        <v>1462</v>
      </c>
      <c r="D114" s="14">
        <v>130</v>
      </c>
      <c r="E114" s="14" t="s">
        <v>1402</v>
      </c>
      <c r="F114" s="14" t="s">
        <v>1097</v>
      </c>
      <c r="G114" s="14" t="s">
        <v>1098</v>
      </c>
      <c r="H114" s="14">
        <v>1</v>
      </c>
      <c r="I114" s="14" t="s">
        <v>1099</v>
      </c>
      <c r="J114" s="14" t="s">
        <v>1485</v>
      </c>
      <c r="K114" s="14">
        <v>2024</v>
      </c>
      <c r="L114" s="42">
        <v>2024</v>
      </c>
      <c r="M114" s="43">
        <v>45225</v>
      </c>
      <c r="N114" s="14" t="s">
        <v>36</v>
      </c>
      <c r="O114" s="14" t="s">
        <v>704</v>
      </c>
      <c r="P114" s="14">
        <v>428</v>
      </c>
      <c r="Q114" s="14" t="s">
        <v>1463</v>
      </c>
      <c r="R114" s="14">
        <v>2</v>
      </c>
      <c r="S114" s="14">
        <v>2</v>
      </c>
      <c r="T114" s="14" t="s">
        <v>1464</v>
      </c>
      <c r="U114" s="14">
        <v>1</v>
      </c>
      <c r="V114" s="42">
        <v>2422561</v>
      </c>
      <c r="W114" s="42">
        <v>0</v>
      </c>
      <c r="X114" s="42" t="s">
        <v>1406</v>
      </c>
      <c r="Z114" s="14" t="s">
        <v>32</v>
      </c>
      <c r="AA114" s="45">
        <v>45278</v>
      </c>
      <c r="AB114" s="14">
        <v>24</v>
      </c>
      <c r="AC114" s="14">
        <v>22561</v>
      </c>
      <c r="AD114" s="14">
        <v>131</v>
      </c>
      <c r="AE114" s="14" t="s">
        <v>1462</v>
      </c>
      <c r="AF114" s="14">
        <v>130</v>
      </c>
      <c r="AG114" s="14" t="s">
        <v>1402</v>
      </c>
      <c r="AH114" s="14" t="s">
        <v>36</v>
      </c>
      <c r="AI114" s="14" t="s">
        <v>704</v>
      </c>
      <c r="AJ114" s="14">
        <v>428</v>
      </c>
      <c r="AK114" s="14" t="s">
        <v>1410</v>
      </c>
      <c r="AL114" s="14">
        <v>31006</v>
      </c>
      <c r="AM114" s="14" t="s">
        <v>1421</v>
      </c>
      <c r="AN114" s="14" t="s">
        <v>1486</v>
      </c>
      <c r="AO114" s="14">
        <v>31</v>
      </c>
      <c r="AP114" s="14" t="s">
        <v>1487</v>
      </c>
      <c r="AQ114" s="14">
        <v>0</v>
      </c>
      <c r="AR114" s="14" t="s">
        <v>1410</v>
      </c>
      <c r="AT114" s="14" t="s">
        <v>1417</v>
      </c>
      <c r="AU114" s="14" t="s">
        <v>1412</v>
      </c>
    </row>
    <row r="115" spans="1:47" x14ac:dyDescent="0.45">
      <c r="A115" s="42">
        <v>2413050009</v>
      </c>
      <c r="B115" s="14">
        <v>130</v>
      </c>
      <c r="C115" s="14" t="s">
        <v>1401</v>
      </c>
      <c r="D115" s="14">
        <v>130</v>
      </c>
      <c r="E115" s="14" t="s">
        <v>1402</v>
      </c>
      <c r="F115" s="14" t="s">
        <v>511</v>
      </c>
      <c r="G115" s="14" t="s">
        <v>512</v>
      </c>
      <c r="H115" s="14">
        <v>2</v>
      </c>
      <c r="I115" s="14" t="s">
        <v>513</v>
      </c>
      <c r="J115" s="14" t="s">
        <v>1403</v>
      </c>
      <c r="K115" s="14">
        <v>2024</v>
      </c>
      <c r="L115" s="42">
        <v>2024</v>
      </c>
      <c r="M115" s="43">
        <v>45181</v>
      </c>
      <c r="N115" s="14" t="s">
        <v>36</v>
      </c>
      <c r="O115" s="14" t="s">
        <v>501</v>
      </c>
      <c r="P115" s="14">
        <v>1726</v>
      </c>
      <c r="Q115" s="14" t="s">
        <v>1430</v>
      </c>
      <c r="R115" s="14">
        <v>2</v>
      </c>
      <c r="S115" s="14">
        <v>34</v>
      </c>
      <c r="T115" s="14" t="s">
        <v>1431</v>
      </c>
      <c r="U115" s="14">
        <v>12</v>
      </c>
      <c r="V115" s="42">
        <v>2422040</v>
      </c>
      <c r="W115" s="42">
        <v>0</v>
      </c>
      <c r="X115" s="42" t="s">
        <v>1406</v>
      </c>
      <c r="Z115" s="14" t="s">
        <v>32</v>
      </c>
      <c r="AA115" s="45">
        <v>45278</v>
      </c>
      <c r="AB115" s="14">
        <v>24</v>
      </c>
      <c r="AC115" s="14">
        <v>22040</v>
      </c>
      <c r="AD115" s="14">
        <v>130</v>
      </c>
      <c r="AE115" s="14" t="s">
        <v>1401</v>
      </c>
      <c r="AF115" s="14">
        <v>130</v>
      </c>
      <c r="AG115" s="14" t="s">
        <v>1402</v>
      </c>
      <c r="AH115" s="14" t="s">
        <v>36</v>
      </c>
      <c r="AI115" s="14" t="s">
        <v>501</v>
      </c>
      <c r="AJ115" s="14">
        <v>1726</v>
      </c>
      <c r="AK115" s="14" t="s">
        <v>1407</v>
      </c>
      <c r="AL115" s="14">
        <v>28205</v>
      </c>
      <c r="AM115" s="14" t="s">
        <v>1418</v>
      </c>
      <c r="AN115" s="14" t="s">
        <v>1436</v>
      </c>
      <c r="AO115" s="14">
        <v>28</v>
      </c>
      <c r="AP115" s="14" t="s">
        <v>1416</v>
      </c>
      <c r="AQ115" s="14">
        <v>0</v>
      </c>
      <c r="AR115" s="14" t="s">
        <v>1410</v>
      </c>
      <c r="AT115" s="14" t="s">
        <v>1417</v>
      </c>
      <c r="AU115" s="14" t="s">
        <v>1412</v>
      </c>
    </row>
    <row r="116" spans="1:47" x14ac:dyDescent="0.45">
      <c r="A116" s="42">
        <v>2413150109</v>
      </c>
      <c r="B116" s="14">
        <v>131</v>
      </c>
      <c r="C116" s="14" t="s">
        <v>1462</v>
      </c>
      <c r="D116" s="14">
        <v>130</v>
      </c>
      <c r="E116" s="14" t="s">
        <v>1402</v>
      </c>
      <c r="F116" s="14" t="s">
        <v>1050</v>
      </c>
      <c r="G116" s="14" t="s">
        <v>1051</v>
      </c>
      <c r="H116" s="14">
        <v>2</v>
      </c>
      <c r="I116" s="14" t="s">
        <v>840</v>
      </c>
      <c r="J116" s="14" t="s">
        <v>1403</v>
      </c>
      <c r="K116" s="14">
        <v>2024</v>
      </c>
      <c r="L116" s="42">
        <v>2024</v>
      </c>
      <c r="M116" s="43">
        <v>45173</v>
      </c>
      <c r="N116" s="14" t="s">
        <v>36</v>
      </c>
      <c r="O116" s="14" t="s">
        <v>704</v>
      </c>
      <c r="P116" s="14">
        <v>785</v>
      </c>
      <c r="Q116" s="14" t="s">
        <v>1491</v>
      </c>
      <c r="R116" s="14">
        <v>2</v>
      </c>
      <c r="S116" s="14">
        <v>2</v>
      </c>
      <c r="T116" s="14" t="s">
        <v>1464</v>
      </c>
      <c r="U116" s="14">
        <v>1</v>
      </c>
      <c r="V116" s="42">
        <v>2422562</v>
      </c>
      <c r="W116" s="42">
        <v>0</v>
      </c>
      <c r="X116" s="42" t="s">
        <v>1406</v>
      </c>
      <c r="Z116" s="14" t="s">
        <v>32</v>
      </c>
      <c r="AA116" s="45">
        <v>45278</v>
      </c>
      <c r="AB116" s="14">
        <v>24</v>
      </c>
      <c r="AC116" s="14">
        <v>22562</v>
      </c>
      <c r="AD116" s="14">
        <v>131</v>
      </c>
      <c r="AE116" s="14" t="s">
        <v>1462</v>
      </c>
      <c r="AF116" s="14">
        <v>130</v>
      </c>
      <c r="AG116" s="14" t="s">
        <v>1402</v>
      </c>
      <c r="AH116" s="14" t="s">
        <v>36</v>
      </c>
      <c r="AI116" s="14" t="s">
        <v>704</v>
      </c>
      <c r="AJ116" s="14">
        <v>785</v>
      </c>
      <c r="AK116" s="14" t="s">
        <v>1407</v>
      </c>
      <c r="AL116" s="14">
        <v>28174</v>
      </c>
      <c r="AM116" s="14" t="s">
        <v>1418</v>
      </c>
      <c r="AN116" s="14" t="s">
        <v>1543</v>
      </c>
      <c r="AO116" s="14">
        <v>28</v>
      </c>
      <c r="AP116" s="14" t="s">
        <v>1416</v>
      </c>
      <c r="AQ116" s="14">
        <v>0</v>
      </c>
      <c r="AR116" s="14" t="s">
        <v>1410</v>
      </c>
      <c r="AT116" s="14" t="s">
        <v>1417</v>
      </c>
      <c r="AU116" s="14" t="s">
        <v>1412</v>
      </c>
    </row>
    <row r="117" spans="1:47" x14ac:dyDescent="0.45">
      <c r="A117" s="42">
        <v>2405750029</v>
      </c>
      <c r="B117" s="14">
        <v>57</v>
      </c>
      <c r="C117" s="14" t="s">
        <v>1551</v>
      </c>
      <c r="D117" s="14">
        <v>57</v>
      </c>
      <c r="E117" s="14" t="s">
        <v>1552</v>
      </c>
      <c r="F117" s="14" t="s">
        <v>165</v>
      </c>
      <c r="G117" s="14" t="s">
        <v>166</v>
      </c>
      <c r="H117" s="14">
        <v>1</v>
      </c>
      <c r="I117" s="14" t="s">
        <v>167</v>
      </c>
      <c r="J117" s="14" t="s">
        <v>1403</v>
      </c>
      <c r="K117" s="14">
        <v>2024</v>
      </c>
      <c r="L117" s="42">
        <v>2024</v>
      </c>
      <c r="M117" s="43">
        <v>45217</v>
      </c>
      <c r="N117" s="14" t="s">
        <v>36</v>
      </c>
      <c r="O117" s="14">
        <v>58</v>
      </c>
      <c r="P117" s="14">
        <v>428</v>
      </c>
      <c r="Q117" s="14" t="s">
        <v>1463</v>
      </c>
      <c r="R117" s="14">
        <v>2</v>
      </c>
      <c r="S117" s="14">
        <v>2</v>
      </c>
      <c r="T117" s="14" t="s">
        <v>1464</v>
      </c>
      <c r="U117" s="14">
        <v>1</v>
      </c>
      <c r="V117" s="42">
        <v>2480045</v>
      </c>
      <c r="W117" s="42">
        <v>0</v>
      </c>
      <c r="X117" s="42" t="s">
        <v>1406</v>
      </c>
      <c r="Z117" s="14" t="s">
        <v>32</v>
      </c>
      <c r="AA117" s="45">
        <v>45236</v>
      </c>
      <c r="AB117" s="14">
        <v>24</v>
      </c>
      <c r="AC117" s="14">
        <v>80045</v>
      </c>
      <c r="AD117" s="14">
        <v>57</v>
      </c>
      <c r="AE117" s="14" t="s">
        <v>1551</v>
      </c>
      <c r="AF117" s="14">
        <v>57</v>
      </c>
      <c r="AG117" s="14" t="s">
        <v>1552</v>
      </c>
      <c r="AH117" s="14" t="s">
        <v>36</v>
      </c>
      <c r="AI117" s="14">
        <v>58</v>
      </c>
      <c r="AJ117" s="14">
        <v>428</v>
      </c>
      <c r="AK117" s="14" t="s">
        <v>1407</v>
      </c>
      <c r="AL117" s="14">
        <v>28009</v>
      </c>
      <c r="AM117" s="14" t="s">
        <v>1418</v>
      </c>
      <c r="AN117" s="14" t="s">
        <v>1607</v>
      </c>
      <c r="AO117" s="14">
        <v>28</v>
      </c>
      <c r="AP117" s="14" t="s">
        <v>1416</v>
      </c>
      <c r="AQ117" s="14">
        <v>0</v>
      </c>
      <c r="AR117" s="14" t="s">
        <v>1410</v>
      </c>
      <c r="AT117" s="14" t="s">
        <v>1417</v>
      </c>
      <c r="AU117" s="14" t="s">
        <v>1412</v>
      </c>
    </row>
    <row r="118" spans="1:47" x14ac:dyDescent="0.45">
      <c r="A118" s="42">
        <v>2405750020</v>
      </c>
      <c r="B118" s="14">
        <v>57</v>
      </c>
      <c r="C118" s="14" t="s">
        <v>1551</v>
      </c>
      <c r="D118" s="14">
        <v>57</v>
      </c>
      <c r="E118" s="14" t="s">
        <v>1552</v>
      </c>
      <c r="F118" s="14" t="s">
        <v>126</v>
      </c>
      <c r="G118" s="14" t="s">
        <v>127</v>
      </c>
      <c r="H118" s="14">
        <v>1</v>
      </c>
      <c r="I118" s="14" t="s">
        <v>128</v>
      </c>
      <c r="J118" s="14" t="s">
        <v>1485</v>
      </c>
      <c r="K118" s="14">
        <v>2024</v>
      </c>
      <c r="L118" s="42">
        <v>2024</v>
      </c>
      <c r="M118" s="43">
        <v>45218</v>
      </c>
      <c r="N118" s="14" t="s">
        <v>36</v>
      </c>
      <c r="O118" s="14">
        <v>58</v>
      </c>
      <c r="P118" s="14">
        <v>428</v>
      </c>
      <c r="Q118" s="14" t="s">
        <v>1463</v>
      </c>
      <c r="R118" s="14">
        <v>2</v>
      </c>
      <c r="S118" s="14">
        <v>2</v>
      </c>
      <c r="T118" s="14" t="s">
        <v>1464</v>
      </c>
      <c r="U118" s="14">
        <v>1</v>
      </c>
      <c r="V118" s="42">
        <v>2480049</v>
      </c>
      <c r="W118" s="42">
        <v>0</v>
      </c>
      <c r="X118" s="42" t="s">
        <v>1406</v>
      </c>
      <c r="Y118" s="59"/>
      <c r="Z118" s="14" t="s">
        <v>32</v>
      </c>
      <c r="AA118" s="45">
        <v>45238</v>
      </c>
      <c r="AB118" s="14">
        <v>24</v>
      </c>
      <c r="AC118" s="14">
        <v>80049</v>
      </c>
      <c r="AD118" s="14">
        <v>57</v>
      </c>
      <c r="AE118" s="14" t="s">
        <v>1551</v>
      </c>
      <c r="AF118" s="14">
        <v>57</v>
      </c>
      <c r="AG118" s="14" t="s">
        <v>1552</v>
      </c>
      <c r="AH118" s="14" t="s">
        <v>36</v>
      </c>
      <c r="AI118" s="14">
        <v>58</v>
      </c>
      <c r="AJ118" s="14">
        <v>428</v>
      </c>
      <c r="AK118" s="14" t="s">
        <v>1407</v>
      </c>
      <c r="AL118" s="14">
        <v>31006</v>
      </c>
      <c r="AM118" s="14" t="s">
        <v>1421</v>
      </c>
      <c r="AN118" s="14" t="s">
        <v>1486</v>
      </c>
      <c r="AO118" s="14">
        <v>31</v>
      </c>
      <c r="AP118" s="14" t="s">
        <v>1487</v>
      </c>
      <c r="AQ118" s="14">
        <v>0</v>
      </c>
      <c r="AR118" s="14" t="s">
        <v>1410</v>
      </c>
      <c r="AT118" s="14" t="s">
        <v>1417</v>
      </c>
      <c r="AU118" s="14" t="s">
        <v>1412</v>
      </c>
    </row>
    <row r="119" spans="1:47" x14ac:dyDescent="0.45">
      <c r="A119" s="42">
        <v>2413150083</v>
      </c>
      <c r="B119" s="14">
        <v>131</v>
      </c>
      <c r="C119" s="14" t="s">
        <v>1462</v>
      </c>
      <c r="D119" s="14">
        <v>130</v>
      </c>
      <c r="E119" s="14" t="s">
        <v>1402</v>
      </c>
      <c r="F119" s="14" t="s">
        <v>970</v>
      </c>
      <c r="G119" s="14" t="s">
        <v>971</v>
      </c>
      <c r="H119" s="14">
        <v>1</v>
      </c>
      <c r="I119" s="14" t="s">
        <v>972</v>
      </c>
      <c r="J119" s="14" t="s">
        <v>1403</v>
      </c>
      <c r="K119" s="14">
        <v>2024</v>
      </c>
      <c r="L119" s="42">
        <v>2024</v>
      </c>
      <c r="M119" s="43">
        <v>45229</v>
      </c>
      <c r="N119" s="14" t="s">
        <v>36</v>
      </c>
      <c r="O119" s="14" t="s">
        <v>704</v>
      </c>
      <c r="P119" s="14">
        <v>856</v>
      </c>
      <c r="Q119" s="14" t="s">
        <v>1533</v>
      </c>
      <c r="R119" s="14">
        <v>2</v>
      </c>
      <c r="S119" s="14">
        <v>2</v>
      </c>
      <c r="T119" s="14" t="s">
        <v>1464</v>
      </c>
      <c r="U119" s="14">
        <v>1</v>
      </c>
      <c r="V119" s="42">
        <v>2422560</v>
      </c>
      <c r="W119" s="42">
        <v>0</v>
      </c>
      <c r="X119" s="42" t="s">
        <v>1406</v>
      </c>
      <c r="Y119" s="59"/>
      <c r="Z119" s="14" t="s">
        <v>32</v>
      </c>
      <c r="AA119" s="45">
        <v>45274</v>
      </c>
      <c r="AB119" s="14">
        <v>24</v>
      </c>
      <c r="AC119" s="14">
        <v>22560</v>
      </c>
      <c r="AD119" s="14">
        <v>131</v>
      </c>
      <c r="AE119" s="14" t="s">
        <v>1462</v>
      </c>
      <c r="AF119" s="14">
        <v>130</v>
      </c>
      <c r="AG119" s="14" t="s">
        <v>1402</v>
      </c>
      <c r="AH119" s="14" t="s">
        <v>36</v>
      </c>
      <c r="AI119" s="14" t="s">
        <v>793</v>
      </c>
      <c r="AJ119" s="14">
        <v>856</v>
      </c>
      <c r="AK119" s="14" t="s">
        <v>1473</v>
      </c>
      <c r="AL119" s="14">
        <v>28099</v>
      </c>
      <c r="AM119" s="14" t="s">
        <v>1418</v>
      </c>
      <c r="AN119" s="14" t="s">
        <v>1447</v>
      </c>
      <c r="AO119" s="14">
        <v>28</v>
      </c>
      <c r="AP119" s="14" t="s">
        <v>1416</v>
      </c>
      <c r="AQ119" s="14">
        <v>0</v>
      </c>
      <c r="AR119" s="14" t="s">
        <v>1410</v>
      </c>
      <c r="AT119" s="14" t="s">
        <v>1417</v>
      </c>
      <c r="AU119" s="14" t="s">
        <v>1412</v>
      </c>
    </row>
    <row r="120" spans="1:47" x14ac:dyDescent="0.45">
      <c r="A120" s="42">
        <v>2405750057</v>
      </c>
      <c r="B120" s="14">
        <v>57</v>
      </c>
      <c r="C120" s="14" t="s">
        <v>1551</v>
      </c>
      <c r="D120" s="14">
        <v>57</v>
      </c>
      <c r="E120" s="14" t="s">
        <v>1552</v>
      </c>
      <c r="F120" s="14" t="s">
        <v>269</v>
      </c>
      <c r="G120" s="14" t="s">
        <v>270</v>
      </c>
      <c r="H120" s="14">
        <v>1</v>
      </c>
      <c r="I120" s="14" t="s">
        <v>271</v>
      </c>
      <c r="J120" s="14" t="s">
        <v>1403</v>
      </c>
      <c r="K120" s="14">
        <v>2024</v>
      </c>
      <c r="L120" s="42">
        <v>2024</v>
      </c>
      <c r="M120" s="43">
        <v>45219</v>
      </c>
      <c r="N120" s="14" t="s">
        <v>36</v>
      </c>
      <c r="O120" s="14">
        <v>7</v>
      </c>
      <c r="P120" s="14">
        <v>266</v>
      </c>
      <c r="Q120" s="14" t="s">
        <v>1526</v>
      </c>
      <c r="R120" s="14">
        <v>2</v>
      </c>
      <c r="S120" s="14">
        <v>1</v>
      </c>
      <c r="T120" s="14" t="s">
        <v>1527</v>
      </c>
      <c r="U120" s="14">
        <v>3</v>
      </c>
      <c r="V120" s="42">
        <v>2480046</v>
      </c>
      <c r="W120" s="42">
        <v>0</v>
      </c>
      <c r="X120" s="42" t="s">
        <v>1406</v>
      </c>
      <c r="Y120" s="59"/>
      <c r="Z120" s="14" t="s">
        <v>32</v>
      </c>
      <c r="AA120" s="45">
        <v>45236</v>
      </c>
      <c r="AB120" s="14">
        <v>24</v>
      </c>
      <c r="AC120" s="14">
        <v>80046</v>
      </c>
      <c r="AD120" s="14">
        <v>57</v>
      </c>
      <c r="AE120" s="14" t="s">
        <v>1551</v>
      </c>
      <c r="AF120" s="14">
        <v>57</v>
      </c>
      <c r="AG120" s="14" t="s">
        <v>1552</v>
      </c>
      <c r="AH120" s="14" t="s">
        <v>36</v>
      </c>
      <c r="AI120" s="14">
        <v>7</v>
      </c>
      <c r="AJ120" s="14">
        <v>266</v>
      </c>
      <c r="AK120" s="14" t="s">
        <v>1407</v>
      </c>
      <c r="AL120" s="14">
        <v>28099</v>
      </c>
      <c r="AM120" s="14" t="s">
        <v>1418</v>
      </c>
      <c r="AN120" s="14" t="s">
        <v>1447</v>
      </c>
      <c r="AO120" s="14">
        <v>28</v>
      </c>
      <c r="AP120" s="14" t="s">
        <v>1416</v>
      </c>
      <c r="AQ120" s="14">
        <v>0</v>
      </c>
      <c r="AR120" s="14" t="s">
        <v>1410</v>
      </c>
      <c r="AT120" s="14" t="s">
        <v>1417</v>
      </c>
      <c r="AU120" s="14" t="s">
        <v>1412</v>
      </c>
    </row>
    <row r="121" spans="1:47" x14ac:dyDescent="0.45">
      <c r="A121" s="42">
        <v>2405750134</v>
      </c>
      <c r="B121" s="14">
        <v>57</v>
      </c>
      <c r="C121" s="14" t="s">
        <v>1551</v>
      </c>
      <c r="D121" s="14">
        <v>57</v>
      </c>
      <c r="E121" s="14" t="s">
        <v>1552</v>
      </c>
      <c r="F121" s="14" t="s">
        <v>1174</v>
      </c>
      <c r="G121" s="14" t="s">
        <v>1175</v>
      </c>
      <c r="H121" s="14">
        <v>1</v>
      </c>
      <c r="I121" s="14" t="s">
        <v>1176</v>
      </c>
      <c r="J121" s="14" t="s">
        <v>1403</v>
      </c>
      <c r="K121" s="14">
        <v>2024</v>
      </c>
      <c r="L121" s="42">
        <v>2024</v>
      </c>
      <c r="M121" s="43">
        <v>45222</v>
      </c>
      <c r="N121" s="14" t="s">
        <v>36</v>
      </c>
      <c r="O121" s="14">
        <v>58</v>
      </c>
      <c r="P121" s="14">
        <v>428</v>
      </c>
      <c r="Q121" s="14" t="s">
        <v>1463</v>
      </c>
      <c r="R121" s="14">
        <v>2</v>
      </c>
      <c r="S121" s="14">
        <v>2</v>
      </c>
      <c r="T121" s="14" t="s">
        <v>1464</v>
      </c>
      <c r="U121" s="14">
        <v>1</v>
      </c>
      <c r="V121" s="42">
        <v>2480134</v>
      </c>
      <c r="W121" s="42">
        <v>0</v>
      </c>
      <c r="X121" s="42" t="s">
        <v>1406</v>
      </c>
      <c r="Y121" s="111"/>
      <c r="Z121" s="14" t="s">
        <v>32</v>
      </c>
      <c r="AA121" s="45">
        <v>45329</v>
      </c>
      <c r="AB121" s="14">
        <v>24</v>
      </c>
      <c r="AC121" s="14">
        <v>80134</v>
      </c>
      <c r="AD121" s="14">
        <v>57</v>
      </c>
      <c r="AE121" s="14" t="s">
        <v>1551</v>
      </c>
      <c r="AF121" s="14">
        <v>57</v>
      </c>
      <c r="AG121" s="14" t="s">
        <v>1552</v>
      </c>
      <c r="AH121" s="14" t="s">
        <v>36</v>
      </c>
      <c r="AI121" s="14">
        <v>58</v>
      </c>
      <c r="AJ121" s="14">
        <v>428</v>
      </c>
      <c r="AK121" s="14" t="s">
        <v>1407</v>
      </c>
      <c r="AL121" s="14">
        <v>28095</v>
      </c>
      <c r="AM121" s="14" t="s">
        <v>1421</v>
      </c>
      <c r="AN121" s="14" t="s">
        <v>1435</v>
      </c>
      <c r="AO121" s="14">
        <v>28</v>
      </c>
      <c r="AP121" s="14" t="s">
        <v>1416</v>
      </c>
      <c r="AQ121" s="14">
        <v>0</v>
      </c>
      <c r="AR121" s="14" t="s">
        <v>1410</v>
      </c>
      <c r="AT121" s="14" t="s">
        <v>1417</v>
      </c>
      <c r="AU121" s="14" t="s">
        <v>1412</v>
      </c>
    </row>
    <row r="122" spans="1:47" x14ac:dyDescent="0.45">
      <c r="A122" s="42">
        <v>2413150072</v>
      </c>
      <c r="B122" s="14">
        <v>131</v>
      </c>
      <c r="C122" s="14" t="s">
        <v>1462</v>
      </c>
      <c r="D122" s="14">
        <v>130</v>
      </c>
      <c r="E122" s="14" t="s">
        <v>1402</v>
      </c>
      <c r="F122" s="14" t="s">
        <v>940</v>
      </c>
      <c r="G122" s="14" t="s">
        <v>941</v>
      </c>
      <c r="H122" s="14">
        <v>1</v>
      </c>
      <c r="I122" s="14" t="s">
        <v>942</v>
      </c>
      <c r="J122" s="14" t="s">
        <v>1403</v>
      </c>
      <c r="K122" s="14">
        <v>2024</v>
      </c>
      <c r="L122" s="42">
        <v>2024</v>
      </c>
      <c r="M122" s="43">
        <v>45212</v>
      </c>
      <c r="N122" s="14" t="s">
        <v>36</v>
      </c>
      <c r="O122" s="14" t="s">
        <v>704</v>
      </c>
      <c r="P122" s="14">
        <v>428</v>
      </c>
      <c r="Q122" s="14" t="s">
        <v>1463</v>
      </c>
      <c r="R122" s="14">
        <v>2</v>
      </c>
      <c r="S122" s="14">
        <v>2</v>
      </c>
      <c r="T122" s="14" t="s">
        <v>1464</v>
      </c>
      <c r="U122" s="14">
        <v>1</v>
      </c>
      <c r="V122" s="42">
        <v>2422558</v>
      </c>
      <c r="W122" s="42">
        <v>0</v>
      </c>
      <c r="X122" s="42" t="s">
        <v>1406</v>
      </c>
      <c r="Z122" s="14" t="s">
        <v>32</v>
      </c>
      <c r="AA122" s="45">
        <v>45273</v>
      </c>
      <c r="AB122" s="14">
        <v>24</v>
      </c>
      <c r="AC122" s="14">
        <v>22558</v>
      </c>
      <c r="AD122" s="14">
        <v>131</v>
      </c>
      <c r="AE122" s="14" t="s">
        <v>1462</v>
      </c>
      <c r="AF122" s="14">
        <v>130</v>
      </c>
      <c r="AG122" s="14" t="s">
        <v>1402</v>
      </c>
      <c r="AH122" s="14" t="s">
        <v>36</v>
      </c>
      <c r="AI122" s="14" t="s">
        <v>704</v>
      </c>
      <c r="AJ122" s="14">
        <v>428</v>
      </c>
      <c r="AK122" s="14" t="s">
        <v>1473</v>
      </c>
      <c r="AL122" s="14">
        <v>28175</v>
      </c>
      <c r="AM122" s="14" t="s">
        <v>1418</v>
      </c>
      <c r="AN122" s="14" t="s">
        <v>1459</v>
      </c>
      <c r="AO122" s="14">
        <v>28</v>
      </c>
      <c r="AP122" s="14" t="s">
        <v>1416</v>
      </c>
      <c r="AQ122" s="14">
        <v>0</v>
      </c>
      <c r="AR122" s="14" t="s">
        <v>1410</v>
      </c>
      <c r="AT122" s="14" t="s">
        <v>1417</v>
      </c>
      <c r="AU122" s="14" t="s">
        <v>1412</v>
      </c>
    </row>
    <row r="123" spans="1:47" x14ac:dyDescent="0.45">
      <c r="A123" s="42">
        <v>2413150037</v>
      </c>
      <c r="B123" s="14">
        <v>131</v>
      </c>
      <c r="C123" s="14" t="s">
        <v>1462</v>
      </c>
      <c r="D123" s="14">
        <v>130</v>
      </c>
      <c r="E123" s="14" t="s">
        <v>1402</v>
      </c>
      <c r="F123" s="14" t="s">
        <v>829</v>
      </c>
      <c r="G123" s="14" t="s">
        <v>830</v>
      </c>
      <c r="H123" s="14">
        <v>1</v>
      </c>
      <c r="I123" s="14" t="s">
        <v>831</v>
      </c>
      <c r="J123" s="14" t="s">
        <v>1403</v>
      </c>
      <c r="K123" s="14">
        <v>2024</v>
      </c>
      <c r="L123" s="42">
        <v>2024</v>
      </c>
      <c r="M123" s="43">
        <v>45180</v>
      </c>
      <c r="N123" s="14" t="s">
        <v>36</v>
      </c>
      <c r="O123" s="14" t="s">
        <v>698</v>
      </c>
      <c r="P123" s="14">
        <v>112</v>
      </c>
      <c r="Q123" s="14" t="s">
        <v>1522</v>
      </c>
      <c r="R123" s="14">
        <v>2</v>
      </c>
      <c r="S123" s="14">
        <v>5</v>
      </c>
      <c r="T123" s="14" t="s">
        <v>1470</v>
      </c>
      <c r="U123" s="14">
        <v>15</v>
      </c>
      <c r="V123" s="42">
        <v>2422559</v>
      </c>
      <c r="W123" s="42">
        <v>0</v>
      </c>
      <c r="X123" s="42" t="s">
        <v>1406</v>
      </c>
      <c r="Z123" s="14" t="s">
        <v>32</v>
      </c>
      <c r="AA123" s="45">
        <v>45273</v>
      </c>
      <c r="AB123" s="14">
        <v>24</v>
      </c>
      <c r="AC123" s="14">
        <v>22559</v>
      </c>
      <c r="AD123" s="14">
        <v>131</v>
      </c>
      <c r="AE123" s="14" t="s">
        <v>1462</v>
      </c>
      <c r="AF123" s="14">
        <v>130</v>
      </c>
      <c r="AG123" s="14" t="s">
        <v>1402</v>
      </c>
      <c r="AH123" s="14" t="s">
        <v>36</v>
      </c>
      <c r="AI123" s="14" t="s">
        <v>698</v>
      </c>
      <c r="AJ123" s="14">
        <v>112</v>
      </c>
      <c r="AK123" s="14" t="s">
        <v>1407</v>
      </c>
      <c r="AL123" s="14">
        <v>28103</v>
      </c>
      <c r="AM123" s="14" t="s">
        <v>1418</v>
      </c>
      <c r="AN123" s="14" t="s">
        <v>1505</v>
      </c>
      <c r="AO123" s="14">
        <v>28</v>
      </c>
      <c r="AP123" s="14" t="s">
        <v>1416</v>
      </c>
      <c r="AQ123" s="14">
        <v>0</v>
      </c>
      <c r="AR123" s="14" t="s">
        <v>1410</v>
      </c>
      <c r="AT123" s="14" t="s">
        <v>1417</v>
      </c>
      <c r="AU123" s="14" t="s">
        <v>1412</v>
      </c>
    </row>
    <row r="124" spans="1:47" x14ac:dyDescent="0.45">
      <c r="A124" s="42">
        <v>2413150018</v>
      </c>
      <c r="B124" s="14">
        <v>131</v>
      </c>
      <c r="C124" s="14" t="s">
        <v>1462</v>
      </c>
      <c r="D124" s="14">
        <v>130</v>
      </c>
      <c r="E124" s="14" t="s">
        <v>1402</v>
      </c>
      <c r="F124" s="14" t="s">
        <v>770</v>
      </c>
      <c r="G124" s="14" t="s">
        <v>771</v>
      </c>
      <c r="H124" s="14">
        <v>1</v>
      </c>
      <c r="I124" s="14" t="s">
        <v>772</v>
      </c>
      <c r="J124" s="14" t="s">
        <v>1403</v>
      </c>
      <c r="K124" s="14">
        <v>2024</v>
      </c>
      <c r="L124" s="42">
        <v>2024</v>
      </c>
      <c r="M124" s="43">
        <v>45215</v>
      </c>
      <c r="N124" s="14" t="s">
        <v>36</v>
      </c>
      <c r="O124" s="14" t="s">
        <v>704</v>
      </c>
      <c r="P124" s="14">
        <v>427</v>
      </c>
      <c r="Q124" s="14" t="s">
        <v>1479</v>
      </c>
      <c r="R124" s="14">
        <v>2</v>
      </c>
      <c r="S124" s="14">
        <v>2</v>
      </c>
      <c r="T124" s="14" t="s">
        <v>1464</v>
      </c>
      <c r="U124" s="14">
        <v>1</v>
      </c>
      <c r="V124" s="42">
        <v>2422555</v>
      </c>
      <c r="W124" s="42">
        <v>0</v>
      </c>
      <c r="X124" s="42" t="s">
        <v>1406</v>
      </c>
      <c r="Y124" s="59"/>
      <c r="Z124" s="14" t="s">
        <v>32</v>
      </c>
      <c r="AA124" s="45">
        <v>45271</v>
      </c>
      <c r="AB124" s="14">
        <v>24</v>
      </c>
      <c r="AC124" s="14">
        <v>22555</v>
      </c>
      <c r="AD124" s="14">
        <v>131</v>
      </c>
      <c r="AE124" s="14" t="s">
        <v>1462</v>
      </c>
      <c r="AF124" s="14">
        <v>130</v>
      </c>
      <c r="AG124" s="14" t="s">
        <v>1402</v>
      </c>
      <c r="AH124" s="14" t="s">
        <v>36</v>
      </c>
      <c r="AI124" s="14" t="s">
        <v>704</v>
      </c>
      <c r="AJ124" s="14">
        <v>427</v>
      </c>
      <c r="AK124" s="14" t="s">
        <v>1407</v>
      </c>
      <c r="AL124" s="14">
        <v>28087</v>
      </c>
      <c r="AM124" s="14" t="s">
        <v>1418</v>
      </c>
      <c r="AN124" s="14" t="s">
        <v>1518</v>
      </c>
      <c r="AO124" s="14">
        <v>28</v>
      </c>
      <c r="AP124" s="14" t="s">
        <v>1416</v>
      </c>
      <c r="AQ124" s="14">
        <v>0</v>
      </c>
      <c r="AR124" s="14" t="s">
        <v>1410</v>
      </c>
      <c r="AT124" s="14" t="s">
        <v>1417</v>
      </c>
      <c r="AU124" s="14" t="s">
        <v>1412</v>
      </c>
    </row>
    <row r="125" spans="1:47" x14ac:dyDescent="0.45">
      <c r="A125" s="42">
        <v>2413150036</v>
      </c>
      <c r="B125" s="14">
        <v>131</v>
      </c>
      <c r="C125" s="14" t="s">
        <v>1462</v>
      </c>
      <c r="D125" s="14">
        <v>130</v>
      </c>
      <c r="E125" s="14" t="s">
        <v>1402</v>
      </c>
      <c r="F125" s="14" t="s">
        <v>826</v>
      </c>
      <c r="G125" s="14" t="s">
        <v>827</v>
      </c>
      <c r="H125" s="14">
        <v>1</v>
      </c>
      <c r="I125" s="14" t="s">
        <v>828</v>
      </c>
      <c r="J125" s="14" t="s">
        <v>1403</v>
      </c>
      <c r="K125" s="14">
        <v>2024</v>
      </c>
      <c r="L125" s="42">
        <v>2024</v>
      </c>
      <c r="M125" s="43">
        <v>45201</v>
      </c>
      <c r="N125" s="14" t="s">
        <v>36</v>
      </c>
      <c r="O125" s="14" t="s">
        <v>698</v>
      </c>
      <c r="P125" s="14">
        <v>112</v>
      </c>
      <c r="Q125" s="14" t="s">
        <v>1522</v>
      </c>
      <c r="R125" s="14">
        <v>2</v>
      </c>
      <c r="S125" s="14">
        <v>5</v>
      </c>
      <c r="T125" s="14" t="s">
        <v>1470</v>
      </c>
      <c r="U125" s="14">
        <v>15</v>
      </c>
      <c r="V125" s="42">
        <v>2422557</v>
      </c>
      <c r="W125" s="42">
        <v>0</v>
      </c>
      <c r="X125" s="42" t="s">
        <v>1406</v>
      </c>
      <c r="Z125" s="14" t="s">
        <v>32</v>
      </c>
      <c r="AA125" s="45">
        <v>45271</v>
      </c>
      <c r="AB125" s="14">
        <v>24</v>
      </c>
      <c r="AC125" s="14">
        <v>22557</v>
      </c>
      <c r="AD125" s="14">
        <v>131</v>
      </c>
      <c r="AE125" s="14" t="s">
        <v>1462</v>
      </c>
      <c r="AF125" s="14">
        <v>130</v>
      </c>
      <c r="AG125" s="14" t="s">
        <v>1402</v>
      </c>
      <c r="AH125" s="14" t="s">
        <v>36</v>
      </c>
      <c r="AI125" s="14" t="s">
        <v>698</v>
      </c>
      <c r="AJ125" s="14">
        <v>112</v>
      </c>
      <c r="AK125" s="14" t="s">
        <v>1407</v>
      </c>
      <c r="AL125" s="14">
        <v>28103</v>
      </c>
      <c r="AM125" s="14" t="s">
        <v>1418</v>
      </c>
      <c r="AN125" s="14" t="s">
        <v>1505</v>
      </c>
      <c r="AO125" s="14">
        <v>28</v>
      </c>
      <c r="AP125" s="14" t="s">
        <v>1416</v>
      </c>
      <c r="AQ125" s="14">
        <v>0</v>
      </c>
      <c r="AR125" s="14" t="s">
        <v>1410</v>
      </c>
      <c r="AT125" s="14" t="s">
        <v>1417</v>
      </c>
      <c r="AU125" s="14" t="s">
        <v>1412</v>
      </c>
    </row>
    <row r="126" spans="1:47" x14ac:dyDescent="0.45">
      <c r="A126" s="42">
        <v>2413150091</v>
      </c>
      <c r="B126" s="14">
        <v>131</v>
      </c>
      <c r="C126" s="14" t="s">
        <v>1462</v>
      </c>
      <c r="D126" s="14">
        <v>130</v>
      </c>
      <c r="E126" s="14" t="s">
        <v>1402</v>
      </c>
      <c r="F126" s="14" t="s">
        <v>994</v>
      </c>
      <c r="G126" s="14" t="s">
        <v>995</v>
      </c>
      <c r="H126" s="14">
        <v>2</v>
      </c>
      <c r="I126" s="14" t="s">
        <v>840</v>
      </c>
      <c r="J126" s="14" t="s">
        <v>1403</v>
      </c>
      <c r="K126" s="14">
        <v>2024</v>
      </c>
      <c r="L126" s="42">
        <v>2024</v>
      </c>
      <c r="M126" s="43">
        <v>45175</v>
      </c>
      <c r="N126" s="14" t="s">
        <v>36</v>
      </c>
      <c r="O126" s="14" t="s">
        <v>741</v>
      </c>
      <c r="P126" s="14">
        <v>581</v>
      </c>
      <c r="Q126" s="14" t="s">
        <v>1489</v>
      </c>
      <c r="R126" s="14">
        <v>2</v>
      </c>
      <c r="S126" s="14">
        <v>10</v>
      </c>
      <c r="T126" s="14" t="s">
        <v>1490</v>
      </c>
      <c r="U126" s="14">
        <v>9</v>
      </c>
      <c r="V126" s="42">
        <v>2422554</v>
      </c>
      <c r="W126" s="42">
        <v>0</v>
      </c>
      <c r="X126" s="42" t="s">
        <v>1406</v>
      </c>
      <c r="Z126" s="14" t="s">
        <v>32</v>
      </c>
      <c r="AA126" s="45">
        <v>45271</v>
      </c>
      <c r="AB126" s="14">
        <v>24</v>
      </c>
      <c r="AC126" s="14">
        <v>22554</v>
      </c>
      <c r="AD126" s="14">
        <v>131</v>
      </c>
      <c r="AE126" s="14" t="s">
        <v>1462</v>
      </c>
      <c r="AF126" s="14">
        <v>130</v>
      </c>
      <c r="AG126" s="14" t="s">
        <v>1402</v>
      </c>
      <c r="AH126" s="14" t="s">
        <v>36</v>
      </c>
      <c r="AI126" s="14" t="s">
        <v>741</v>
      </c>
      <c r="AJ126" s="14">
        <v>581</v>
      </c>
      <c r="AK126" s="14" t="s">
        <v>1407</v>
      </c>
      <c r="AL126" s="14">
        <v>28187</v>
      </c>
      <c r="AM126" s="14" t="s">
        <v>1418</v>
      </c>
      <c r="AN126" s="14" t="s">
        <v>1425</v>
      </c>
      <c r="AO126" s="14">
        <v>28</v>
      </c>
      <c r="AP126" s="14" t="s">
        <v>1416</v>
      </c>
      <c r="AQ126" s="14">
        <v>0</v>
      </c>
      <c r="AR126" s="14" t="s">
        <v>1410</v>
      </c>
      <c r="AT126" s="14" t="s">
        <v>1417</v>
      </c>
      <c r="AU126" s="14" t="s">
        <v>1412</v>
      </c>
    </row>
    <row r="127" spans="1:47" x14ac:dyDescent="0.45">
      <c r="A127" s="42">
        <v>2405750145</v>
      </c>
      <c r="B127" s="14">
        <v>57</v>
      </c>
      <c r="C127" s="14" t="s">
        <v>1551</v>
      </c>
      <c r="D127" s="14">
        <v>57</v>
      </c>
      <c r="E127" s="14" t="s">
        <v>1552</v>
      </c>
      <c r="F127" s="14" t="s">
        <v>1209</v>
      </c>
      <c r="G127" s="14" t="s">
        <v>1210</v>
      </c>
      <c r="H127" s="14">
        <v>1</v>
      </c>
      <c r="I127" s="14" t="s">
        <v>182</v>
      </c>
      <c r="J127" s="14" t="s">
        <v>1403</v>
      </c>
      <c r="K127" s="14">
        <v>2024</v>
      </c>
      <c r="L127" s="42">
        <v>2024</v>
      </c>
      <c r="M127" s="43">
        <v>45222</v>
      </c>
      <c r="N127" s="14" t="s">
        <v>36</v>
      </c>
      <c r="O127" s="14">
        <v>58</v>
      </c>
      <c r="P127" s="14">
        <v>428</v>
      </c>
      <c r="Q127" s="14" t="s">
        <v>1463</v>
      </c>
      <c r="R127" s="14">
        <v>2</v>
      </c>
      <c r="S127" s="14">
        <v>2</v>
      </c>
      <c r="T127" s="14" t="s">
        <v>1464</v>
      </c>
      <c r="U127" s="14">
        <v>1</v>
      </c>
      <c r="V127" s="42">
        <v>2480082</v>
      </c>
      <c r="W127" s="42">
        <v>0</v>
      </c>
      <c r="X127" s="42" t="s">
        <v>1406</v>
      </c>
      <c r="Z127" s="14" t="s">
        <v>32</v>
      </c>
      <c r="AA127" s="45">
        <v>45268</v>
      </c>
      <c r="AB127" s="14">
        <v>24</v>
      </c>
      <c r="AC127" s="14">
        <v>80082</v>
      </c>
      <c r="AD127" s="14">
        <v>57</v>
      </c>
      <c r="AE127" s="14" t="s">
        <v>1551</v>
      </c>
      <c r="AF127" s="14">
        <v>57</v>
      </c>
      <c r="AG127" s="14" t="s">
        <v>1552</v>
      </c>
      <c r="AH127" s="14" t="s">
        <v>36</v>
      </c>
      <c r="AI127" s="14">
        <v>58</v>
      </c>
      <c r="AJ127" s="14">
        <v>428</v>
      </c>
      <c r="AK127" s="14" t="s">
        <v>1407</v>
      </c>
      <c r="AL127" s="14">
        <v>28197</v>
      </c>
      <c r="AM127" s="14" t="s">
        <v>1421</v>
      </c>
      <c r="AN127" s="14" t="s">
        <v>1616</v>
      </c>
      <c r="AO127" s="14">
        <v>28</v>
      </c>
      <c r="AP127" s="14" t="s">
        <v>1416</v>
      </c>
      <c r="AQ127" s="14">
        <v>0</v>
      </c>
      <c r="AR127" s="14" t="s">
        <v>1410</v>
      </c>
      <c r="AT127" s="14" t="s">
        <v>1417</v>
      </c>
      <c r="AU127" s="14" t="s">
        <v>1412</v>
      </c>
    </row>
    <row r="128" spans="1:47" x14ac:dyDescent="0.45">
      <c r="A128" s="42">
        <v>2405750143</v>
      </c>
      <c r="B128" s="14">
        <v>57</v>
      </c>
      <c r="C128" s="14" t="s">
        <v>1551</v>
      </c>
      <c r="D128" s="14">
        <v>57</v>
      </c>
      <c r="E128" s="14" t="s">
        <v>1552</v>
      </c>
      <c r="F128" s="14" t="s">
        <v>1202</v>
      </c>
      <c r="G128" s="14" t="s">
        <v>1203</v>
      </c>
      <c r="H128" s="14">
        <v>1</v>
      </c>
      <c r="I128" s="14" t="s">
        <v>1204</v>
      </c>
      <c r="J128" s="14" t="s">
        <v>1403</v>
      </c>
      <c r="K128" s="14">
        <v>2024</v>
      </c>
      <c r="L128" s="42">
        <v>2024</v>
      </c>
      <c r="M128" s="43">
        <v>45222</v>
      </c>
      <c r="N128" s="14" t="s">
        <v>36</v>
      </c>
      <c r="O128" s="14" t="s">
        <v>51</v>
      </c>
      <c r="P128" s="14">
        <v>428</v>
      </c>
      <c r="Q128" s="14" t="s">
        <v>1463</v>
      </c>
      <c r="R128" s="14">
        <v>1</v>
      </c>
      <c r="S128" s="14">
        <v>2</v>
      </c>
      <c r="T128" s="14" t="s">
        <v>1464</v>
      </c>
      <c r="U128" s="14">
        <v>1</v>
      </c>
      <c r="V128" s="42">
        <v>2480050</v>
      </c>
      <c r="W128" s="42">
        <v>0</v>
      </c>
      <c r="X128" s="42" t="s">
        <v>1406</v>
      </c>
      <c r="Z128" s="14" t="s">
        <v>32</v>
      </c>
      <c r="AA128" s="45">
        <v>45238</v>
      </c>
      <c r="AB128" s="14">
        <v>24</v>
      </c>
      <c r="AC128" s="14">
        <v>80050</v>
      </c>
      <c r="AD128" s="14">
        <v>57</v>
      </c>
      <c r="AE128" s="14" t="s">
        <v>1551</v>
      </c>
      <c r="AF128" s="14">
        <v>57</v>
      </c>
      <c r="AG128" s="14" t="s">
        <v>1552</v>
      </c>
      <c r="AH128" s="14" t="s">
        <v>36</v>
      </c>
      <c r="AI128" s="14" t="s">
        <v>51</v>
      </c>
      <c r="AJ128" s="14">
        <v>428</v>
      </c>
      <c r="AK128" s="14" t="s">
        <v>1407</v>
      </c>
      <c r="AL128" s="14">
        <v>28124</v>
      </c>
      <c r="AM128" s="14" t="s">
        <v>1414</v>
      </c>
      <c r="AN128" s="14" t="s">
        <v>1483</v>
      </c>
      <c r="AO128" s="14">
        <v>28</v>
      </c>
      <c r="AP128" s="14" t="s">
        <v>1416</v>
      </c>
      <c r="AQ128" s="14">
        <v>0</v>
      </c>
      <c r="AR128" s="14" t="s">
        <v>1410</v>
      </c>
      <c r="AT128" s="14" t="s">
        <v>1417</v>
      </c>
      <c r="AU128" s="14" t="s">
        <v>1412</v>
      </c>
    </row>
    <row r="129" spans="1:47" x14ac:dyDescent="0.45">
      <c r="A129" s="42">
        <v>2405750151</v>
      </c>
      <c r="B129" s="14">
        <v>57</v>
      </c>
      <c r="C129" s="14" t="s">
        <v>1551</v>
      </c>
      <c r="D129" s="14">
        <v>57</v>
      </c>
      <c r="E129" s="14" t="s">
        <v>1552</v>
      </c>
      <c r="F129" s="14" t="s">
        <v>1225</v>
      </c>
      <c r="G129" s="14" t="s">
        <v>1226</v>
      </c>
      <c r="H129" s="14">
        <v>2</v>
      </c>
      <c r="I129" s="14" t="s">
        <v>1227</v>
      </c>
      <c r="J129" s="14" t="s">
        <v>1403</v>
      </c>
      <c r="K129" s="14">
        <v>2024</v>
      </c>
      <c r="L129" s="42">
        <v>2024</v>
      </c>
      <c r="M129" s="43">
        <v>45223</v>
      </c>
      <c r="N129" s="14" t="s">
        <v>36</v>
      </c>
      <c r="O129" s="14">
        <v>7</v>
      </c>
      <c r="P129" s="14">
        <v>265</v>
      </c>
      <c r="Q129" s="14" t="s">
        <v>1562</v>
      </c>
      <c r="R129" s="14">
        <v>2</v>
      </c>
      <c r="S129" s="14">
        <v>1</v>
      </c>
      <c r="T129" s="14" t="s">
        <v>1527</v>
      </c>
      <c r="U129" s="14">
        <v>3</v>
      </c>
      <c r="V129" s="42">
        <v>2480069</v>
      </c>
      <c r="W129" s="42">
        <v>0</v>
      </c>
      <c r="X129" s="42" t="s">
        <v>1406</v>
      </c>
      <c r="Y129" s="59"/>
      <c r="Z129" s="14" t="s">
        <v>32</v>
      </c>
      <c r="AA129" s="45">
        <v>45255</v>
      </c>
      <c r="AB129" s="14">
        <v>24</v>
      </c>
      <c r="AC129" s="14">
        <v>80069</v>
      </c>
      <c r="AD129" s="14">
        <v>57</v>
      </c>
      <c r="AE129" s="14" t="s">
        <v>1551</v>
      </c>
      <c r="AF129" s="14">
        <v>57</v>
      </c>
      <c r="AG129" s="14" t="s">
        <v>1552</v>
      </c>
      <c r="AH129" s="14" t="s">
        <v>36</v>
      </c>
      <c r="AI129" s="14">
        <v>7</v>
      </c>
      <c r="AJ129" s="14">
        <v>265</v>
      </c>
      <c r="AK129" s="14" t="s">
        <v>1407</v>
      </c>
      <c r="AL129" s="14">
        <v>28032</v>
      </c>
      <c r="AM129" s="14" t="s">
        <v>1421</v>
      </c>
      <c r="AN129" s="14" t="s">
        <v>1545</v>
      </c>
      <c r="AO129" s="14">
        <v>28</v>
      </c>
      <c r="AP129" s="14" t="s">
        <v>1416</v>
      </c>
      <c r="AQ129" s="14">
        <v>0</v>
      </c>
      <c r="AR129" s="14" t="s">
        <v>1410</v>
      </c>
      <c r="AT129" s="14" t="s">
        <v>1417</v>
      </c>
      <c r="AU129" s="14" t="s">
        <v>1412</v>
      </c>
    </row>
    <row r="130" spans="1:47" x14ac:dyDescent="0.45">
      <c r="A130" s="42">
        <v>2413050030</v>
      </c>
      <c r="B130" s="14">
        <v>130</v>
      </c>
      <c r="C130" s="14" t="s">
        <v>1401</v>
      </c>
      <c r="D130" s="14">
        <v>130</v>
      </c>
      <c r="E130" s="14" t="s">
        <v>1402</v>
      </c>
      <c r="F130" s="14" t="s">
        <v>587</v>
      </c>
      <c r="G130" s="14" t="s">
        <v>588</v>
      </c>
      <c r="H130" s="14">
        <v>1</v>
      </c>
      <c r="I130" s="14" t="s">
        <v>589</v>
      </c>
      <c r="J130" s="14" t="s">
        <v>1403</v>
      </c>
      <c r="K130" s="14">
        <v>2024</v>
      </c>
      <c r="L130" s="42">
        <v>2024</v>
      </c>
      <c r="M130" s="43">
        <v>45229</v>
      </c>
      <c r="N130" s="14" t="s">
        <v>36</v>
      </c>
      <c r="O130" s="14" t="s">
        <v>501</v>
      </c>
      <c r="P130" s="14">
        <v>1726</v>
      </c>
      <c r="Q130" s="14" t="s">
        <v>1430</v>
      </c>
      <c r="R130" s="14">
        <v>2</v>
      </c>
      <c r="S130" s="14">
        <v>34</v>
      </c>
      <c r="T130" s="14" t="s">
        <v>1431</v>
      </c>
      <c r="U130" s="14">
        <v>12</v>
      </c>
      <c r="V130" s="42">
        <v>2422039</v>
      </c>
      <c r="W130" s="42">
        <v>0</v>
      </c>
      <c r="X130" s="42" t="s">
        <v>1406</v>
      </c>
      <c r="Z130" s="14" t="s">
        <v>32</v>
      </c>
      <c r="AA130" s="45">
        <v>45266</v>
      </c>
      <c r="AB130" s="14">
        <v>24</v>
      </c>
      <c r="AC130" s="14">
        <v>22039</v>
      </c>
      <c r="AD130" s="14">
        <v>130</v>
      </c>
      <c r="AE130" s="14" t="s">
        <v>1401</v>
      </c>
      <c r="AF130" s="14">
        <v>130</v>
      </c>
      <c r="AG130" s="14" t="s">
        <v>1402</v>
      </c>
      <c r="AH130" s="14" t="s">
        <v>36</v>
      </c>
      <c r="AI130" s="14" t="s">
        <v>501</v>
      </c>
      <c r="AJ130" s="14">
        <v>1726</v>
      </c>
      <c r="AK130" s="14" t="s">
        <v>1407</v>
      </c>
      <c r="AL130" s="14">
        <v>28264</v>
      </c>
      <c r="AM130" s="14" t="s">
        <v>1418</v>
      </c>
      <c r="AN130" s="14" t="s">
        <v>1449</v>
      </c>
      <c r="AO130" s="14">
        <v>28</v>
      </c>
      <c r="AP130" s="14" t="s">
        <v>1416</v>
      </c>
      <c r="AQ130" s="14">
        <v>0</v>
      </c>
      <c r="AR130" s="14" t="s">
        <v>1410</v>
      </c>
      <c r="AT130" s="14" t="s">
        <v>1417</v>
      </c>
      <c r="AU130" s="14" t="s">
        <v>1412</v>
      </c>
    </row>
    <row r="131" spans="1:47" x14ac:dyDescent="0.45">
      <c r="A131" s="42">
        <v>2413150093</v>
      </c>
      <c r="B131" s="14">
        <v>131</v>
      </c>
      <c r="C131" s="14" t="s">
        <v>1462</v>
      </c>
      <c r="D131" s="14">
        <v>130</v>
      </c>
      <c r="E131" s="14" t="s">
        <v>1402</v>
      </c>
      <c r="F131" s="14" t="s">
        <v>1000</v>
      </c>
      <c r="G131" s="14" t="s">
        <v>1001</v>
      </c>
      <c r="H131" s="14">
        <v>2</v>
      </c>
      <c r="I131" s="14" t="s">
        <v>516</v>
      </c>
      <c r="J131" s="14" t="s">
        <v>1403</v>
      </c>
      <c r="K131" s="14">
        <v>2024</v>
      </c>
      <c r="L131" s="42">
        <v>2024</v>
      </c>
      <c r="M131" s="43">
        <v>45180</v>
      </c>
      <c r="N131" s="14" t="s">
        <v>36</v>
      </c>
      <c r="O131" s="14" t="s">
        <v>704</v>
      </c>
      <c r="P131" s="14">
        <v>857</v>
      </c>
      <c r="Q131" s="14" t="s">
        <v>1481</v>
      </c>
      <c r="R131" s="14">
        <v>2</v>
      </c>
      <c r="S131" s="14">
        <v>2</v>
      </c>
      <c r="T131" s="14" t="s">
        <v>1464</v>
      </c>
      <c r="U131" s="14">
        <v>1</v>
      </c>
      <c r="V131" s="42">
        <v>2422553</v>
      </c>
      <c r="W131" s="42">
        <v>0</v>
      </c>
      <c r="X131" s="42" t="s">
        <v>1406</v>
      </c>
      <c r="Y131" s="59"/>
      <c r="Z131" s="14" t="s">
        <v>32</v>
      </c>
      <c r="AA131" s="45">
        <v>45266</v>
      </c>
      <c r="AB131" s="14">
        <v>24</v>
      </c>
      <c r="AC131" s="14">
        <v>22553</v>
      </c>
      <c r="AD131" s="14">
        <v>131</v>
      </c>
      <c r="AE131" s="14" t="s">
        <v>1462</v>
      </c>
      <c r="AF131" s="14">
        <v>130</v>
      </c>
      <c r="AG131" s="14" t="s">
        <v>1402</v>
      </c>
      <c r="AH131" s="14" t="s">
        <v>36</v>
      </c>
      <c r="AI131" s="14" t="s">
        <v>793</v>
      </c>
      <c r="AJ131" s="14">
        <v>857</v>
      </c>
      <c r="AK131" s="14" t="s">
        <v>1473</v>
      </c>
      <c r="AL131" s="14">
        <v>28091</v>
      </c>
      <c r="AM131" s="14" t="s">
        <v>1421</v>
      </c>
      <c r="AN131" s="14" t="s">
        <v>1452</v>
      </c>
      <c r="AO131" s="14">
        <v>28</v>
      </c>
      <c r="AP131" s="14" t="s">
        <v>1416</v>
      </c>
      <c r="AQ131" s="14">
        <v>0</v>
      </c>
      <c r="AR131" s="14" t="s">
        <v>1410</v>
      </c>
      <c r="AT131" s="14" t="s">
        <v>1417</v>
      </c>
      <c r="AU131" s="14" t="s">
        <v>1412</v>
      </c>
    </row>
    <row r="132" spans="1:47" x14ac:dyDescent="0.45">
      <c r="A132" s="42">
        <v>2413150019</v>
      </c>
      <c r="B132" s="14">
        <v>131</v>
      </c>
      <c r="C132" s="14" t="s">
        <v>1462</v>
      </c>
      <c r="D132" s="14">
        <v>130</v>
      </c>
      <c r="E132" s="14" t="s">
        <v>1402</v>
      </c>
      <c r="F132" s="14" t="s">
        <v>773</v>
      </c>
      <c r="G132" s="14" t="s">
        <v>774</v>
      </c>
      <c r="H132" s="14">
        <v>1</v>
      </c>
      <c r="I132" s="14" t="s">
        <v>775</v>
      </c>
      <c r="J132" s="14" t="s">
        <v>1403</v>
      </c>
      <c r="K132" s="14">
        <v>2024</v>
      </c>
      <c r="L132" s="42">
        <v>2024</v>
      </c>
      <c r="M132" s="43">
        <v>45212</v>
      </c>
      <c r="N132" s="14" t="s">
        <v>36</v>
      </c>
      <c r="O132" s="14" t="s">
        <v>704</v>
      </c>
      <c r="P132" s="14">
        <v>427</v>
      </c>
      <c r="Q132" s="14" t="s">
        <v>1479</v>
      </c>
      <c r="R132" s="14">
        <v>2</v>
      </c>
      <c r="S132" s="14">
        <v>2</v>
      </c>
      <c r="T132" s="14" t="s">
        <v>1464</v>
      </c>
      <c r="U132" s="14">
        <v>1</v>
      </c>
      <c r="V132" s="42">
        <v>2422550</v>
      </c>
      <c r="W132" s="42">
        <v>0</v>
      </c>
      <c r="X132" s="42" t="s">
        <v>1406</v>
      </c>
      <c r="Z132" s="14" t="s">
        <v>32</v>
      </c>
      <c r="AA132" s="45">
        <v>45264</v>
      </c>
      <c r="AB132" s="14">
        <v>24</v>
      </c>
      <c r="AC132" s="14">
        <v>22550</v>
      </c>
      <c r="AD132" s="14">
        <v>131</v>
      </c>
      <c r="AE132" s="14" t="s">
        <v>1462</v>
      </c>
      <c r="AF132" s="14">
        <v>130</v>
      </c>
      <c r="AG132" s="14" t="s">
        <v>1402</v>
      </c>
      <c r="AH132" s="14" t="s">
        <v>36</v>
      </c>
      <c r="AI132" s="14" t="s">
        <v>704</v>
      </c>
      <c r="AJ132" s="14">
        <v>427</v>
      </c>
      <c r="AK132" s="14" t="s">
        <v>1407</v>
      </c>
      <c r="AL132" s="14">
        <v>28087</v>
      </c>
      <c r="AM132" s="14" t="s">
        <v>1418</v>
      </c>
      <c r="AN132" s="14" t="s">
        <v>1518</v>
      </c>
      <c r="AO132" s="14">
        <v>28</v>
      </c>
      <c r="AP132" s="14" t="s">
        <v>1416</v>
      </c>
      <c r="AQ132" s="14">
        <v>0</v>
      </c>
      <c r="AR132" s="14" t="s">
        <v>1410</v>
      </c>
      <c r="AT132" s="14" t="s">
        <v>1417</v>
      </c>
      <c r="AU132" s="14" t="s">
        <v>1412</v>
      </c>
    </row>
    <row r="133" spans="1:47" x14ac:dyDescent="0.45">
      <c r="A133" s="42">
        <v>2413150039</v>
      </c>
      <c r="B133" s="14">
        <v>131</v>
      </c>
      <c r="C133" s="14" t="s">
        <v>1462</v>
      </c>
      <c r="D133" s="14">
        <v>130</v>
      </c>
      <c r="E133" s="14" t="s">
        <v>1402</v>
      </c>
      <c r="F133" s="14" t="s">
        <v>834</v>
      </c>
      <c r="G133" s="14" t="s">
        <v>835</v>
      </c>
      <c r="H133" s="14">
        <v>2</v>
      </c>
      <c r="I133" s="14" t="s">
        <v>836</v>
      </c>
      <c r="J133" s="14" t="s">
        <v>1403</v>
      </c>
      <c r="K133" s="14">
        <v>2024</v>
      </c>
      <c r="L133" s="42">
        <v>2024</v>
      </c>
      <c r="M133" s="43">
        <v>45188</v>
      </c>
      <c r="N133" s="14" t="s">
        <v>36</v>
      </c>
      <c r="O133" s="14" t="s">
        <v>741</v>
      </c>
      <c r="P133" s="14">
        <v>581</v>
      </c>
      <c r="Q133" s="14" t="s">
        <v>1489</v>
      </c>
      <c r="R133" s="14">
        <v>2</v>
      </c>
      <c r="S133" s="14">
        <v>10</v>
      </c>
      <c r="T133" s="14" t="s">
        <v>1490</v>
      </c>
      <c r="U133" s="14">
        <v>9</v>
      </c>
      <c r="V133" s="42">
        <v>2422552</v>
      </c>
      <c r="W133" s="42">
        <v>0</v>
      </c>
      <c r="X133" s="42" t="s">
        <v>1406</v>
      </c>
      <c r="Z133" s="14" t="s">
        <v>32</v>
      </c>
      <c r="AA133" s="45">
        <v>45264</v>
      </c>
      <c r="AB133" s="14">
        <v>24</v>
      </c>
      <c r="AC133" s="14">
        <v>22552</v>
      </c>
      <c r="AD133" s="14">
        <v>131</v>
      </c>
      <c r="AE133" s="14" t="s">
        <v>1462</v>
      </c>
      <c r="AF133" s="14">
        <v>130</v>
      </c>
      <c r="AG133" s="14" t="s">
        <v>1402</v>
      </c>
      <c r="AH133" s="14" t="s">
        <v>36</v>
      </c>
      <c r="AI133" s="14" t="s">
        <v>741</v>
      </c>
      <c r="AJ133" s="14">
        <v>581</v>
      </c>
      <c r="AK133" s="14" t="s">
        <v>1407</v>
      </c>
      <c r="AL133" s="14">
        <v>28087</v>
      </c>
      <c r="AM133" s="14" t="s">
        <v>1418</v>
      </c>
      <c r="AN133" s="14" t="s">
        <v>1518</v>
      </c>
      <c r="AO133" s="14">
        <v>28</v>
      </c>
      <c r="AP133" s="14" t="s">
        <v>1416</v>
      </c>
      <c r="AQ133" s="14">
        <v>0</v>
      </c>
      <c r="AR133" s="14" t="s">
        <v>1410</v>
      </c>
      <c r="AT133" s="14" t="s">
        <v>1417</v>
      </c>
      <c r="AU133" s="14" t="s">
        <v>1412</v>
      </c>
    </row>
    <row r="134" spans="1:47" x14ac:dyDescent="0.45">
      <c r="A134" s="42">
        <v>2413150108</v>
      </c>
      <c r="B134" s="14">
        <v>131</v>
      </c>
      <c r="C134" s="14" t="s">
        <v>1462</v>
      </c>
      <c r="D134" s="14">
        <v>130</v>
      </c>
      <c r="E134" s="14" t="s">
        <v>1402</v>
      </c>
      <c r="F134" s="14" t="s">
        <v>1046</v>
      </c>
      <c r="G134" s="14" t="s">
        <v>1047</v>
      </c>
      <c r="H134" s="14">
        <v>2</v>
      </c>
      <c r="I134" s="14" t="s">
        <v>1048</v>
      </c>
      <c r="J134" s="14" t="s">
        <v>1403</v>
      </c>
      <c r="K134" s="14">
        <v>2024</v>
      </c>
      <c r="L134" s="42">
        <v>2024</v>
      </c>
      <c r="M134" s="43">
        <v>45180</v>
      </c>
      <c r="N134" s="14" t="s">
        <v>36</v>
      </c>
      <c r="O134" s="14" t="s">
        <v>708</v>
      </c>
      <c r="P134" s="14">
        <v>273</v>
      </c>
      <c r="Q134" s="14" t="s">
        <v>1506</v>
      </c>
      <c r="R134" s="14">
        <v>2</v>
      </c>
      <c r="S134" s="14">
        <v>8</v>
      </c>
      <c r="T134" s="14" t="s">
        <v>1503</v>
      </c>
      <c r="U134" s="14">
        <v>6</v>
      </c>
      <c r="V134" s="42">
        <v>2422551</v>
      </c>
      <c r="W134" s="42">
        <v>0</v>
      </c>
      <c r="X134" s="42" t="s">
        <v>1406</v>
      </c>
      <c r="Z134" s="14" t="s">
        <v>32</v>
      </c>
      <c r="AA134" s="45">
        <v>45264</v>
      </c>
      <c r="AB134" s="14">
        <v>24</v>
      </c>
      <c r="AC134" s="14">
        <v>22551</v>
      </c>
      <c r="AD134" s="14">
        <v>131</v>
      </c>
      <c r="AE134" s="14" t="s">
        <v>1462</v>
      </c>
      <c r="AF134" s="14">
        <v>130</v>
      </c>
      <c r="AG134" s="14" t="s">
        <v>1402</v>
      </c>
      <c r="AH134" s="14" t="s">
        <v>36</v>
      </c>
      <c r="AI134" s="14" t="s">
        <v>708</v>
      </c>
      <c r="AJ134" s="14">
        <v>273</v>
      </c>
      <c r="AK134" s="14" t="s">
        <v>1410</v>
      </c>
      <c r="AL134" s="14">
        <v>28139</v>
      </c>
      <c r="AM134" s="14" t="s">
        <v>1418</v>
      </c>
      <c r="AN134" s="14" t="s">
        <v>1478</v>
      </c>
      <c r="AO134" s="14">
        <v>28</v>
      </c>
      <c r="AP134" s="14" t="s">
        <v>1416</v>
      </c>
      <c r="AQ134" s="14">
        <v>0</v>
      </c>
      <c r="AR134" s="14" t="s">
        <v>1410</v>
      </c>
      <c r="AT134" s="14" t="s">
        <v>1417</v>
      </c>
      <c r="AU134" s="14" t="s">
        <v>1412</v>
      </c>
    </row>
    <row r="135" spans="1:47" x14ac:dyDescent="0.45">
      <c r="A135" s="42">
        <v>2413050018</v>
      </c>
      <c r="B135" s="14">
        <v>130</v>
      </c>
      <c r="C135" s="14" t="s">
        <v>1401</v>
      </c>
      <c r="D135" s="14">
        <v>130</v>
      </c>
      <c r="E135" s="14" t="s">
        <v>1402</v>
      </c>
      <c r="F135" s="14" t="s">
        <v>545</v>
      </c>
      <c r="G135" s="14" t="s">
        <v>546</v>
      </c>
      <c r="H135" s="14">
        <v>1</v>
      </c>
      <c r="I135" s="14" t="s">
        <v>547</v>
      </c>
      <c r="J135" s="14" t="s">
        <v>1403</v>
      </c>
      <c r="K135" s="14">
        <v>2024</v>
      </c>
      <c r="L135" s="42">
        <v>2024</v>
      </c>
      <c r="M135" s="43">
        <v>45225</v>
      </c>
      <c r="N135" s="14" t="s">
        <v>36</v>
      </c>
      <c r="O135" s="14" t="s">
        <v>472</v>
      </c>
      <c r="P135" s="14">
        <v>1043</v>
      </c>
      <c r="Q135" s="14" t="s">
        <v>1404</v>
      </c>
      <c r="R135" s="14">
        <v>2</v>
      </c>
      <c r="S135" s="14">
        <v>6</v>
      </c>
      <c r="T135" s="14" t="s">
        <v>1405</v>
      </c>
      <c r="U135" s="14">
        <v>5</v>
      </c>
      <c r="V135" s="42">
        <v>2422038</v>
      </c>
      <c r="W135" s="42">
        <v>0</v>
      </c>
      <c r="X135" s="42" t="s">
        <v>1406</v>
      </c>
      <c r="Y135" s="59"/>
      <c r="Z135" s="14" t="s">
        <v>32</v>
      </c>
      <c r="AA135" s="45">
        <v>45260</v>
      </c>
      <c r="AB135" s="14">
        <v>24</v>
      </c>
      <c r="AC135" s="14">
        <v>22038</v>
      </c>
      <c r="AD135" s="14">
        <v>130</v>
      </c>
      <c r="AE135" s="14" t="s">
        <v>1401</v>
      </c>
      <c r="AF135" s="14">
        <v>130</v>
      </c>
      <c r="AG135" s="14" t="s">
        <v>1402</v>
      </c>
      <c r="AH135" s="14" t="s">
        <v>36</v>
      </c>
      <c r="AI135" s="14" t="s">
        <v>472</v>
      </c>
      <c r="AJ135" s="14">
        <v>1043</v>
      </c>
      <c r="AK135" s="14" t="s">
        <v>1407</v>
      </c>
      <c r="AL135" s="14">
        <v>1347</v>
      </c>
      <c r="AM135" s="14" t="s">
        <v>1421</v>
      </c>
      <c r="AN135" s="14" t="s">
        <v>1445</v>
      </c>
      <c r="AO135" s="14">
        <v>1</v>
      </c>
      <c r="AP135" s="14" t="s">
        <v>1443</v>
      </c>
      <c r="AQ135" s="14">
        <v>0</v>
      </c>
      <c r="AR135" s="14" t="s">
        <v>1410</v>
      </c>
      <c r="AT135" s="14" t="s">
        <v>1417</v>
      </c>
      <c r="AU135" s="14" t="s">
        <v>1412</v>
      </c>
    </row>
    <row r="136" spans="1:47" x14ac:dyDescent="0.45">
      <c r="A136" s="42">
        <v>2413050052</v>
      </c>
      <c r="B136" s="14">
        <v>130</v>
      </c>
      <c r="C136" s="14" t="s">
        <v>1401</v>
      </c>
      <c r="D136" s="14">
        <v>130</v>
      </c>
      <c r="E136" s="14" t="s">
        <v>1402</v>
      </c>
      <c r="F136" s="14" t="s">
        <v>665</v>
      </c>
      <c r="G136" s="14" t="s">
        <v>666</v>
      </c>
      <c r="H136" s="14">
        <v>1</v>
      </c>
      <c r="I136" s="14" t="s">
        <v>467</v>
      </c>
      <c r="J136" s="14" t="s">
        <v>1403</v>
      </c>
      <c r="K136" s="14">
        <v>2024</v>
      </c>
      <c r="L136" s="42">
        <v>2024</v>
      </c>
      <c r="M136" s="43">
        <v>45225</v>
      </c>
      <c r="N136" s="14" t="s">
        <v>36</v>
      </c>
      <c r="O136" s="14" t="s">
        <v>501</v>
      </c>
      <c r="P136" s="14">
        <v>1726</v>
      </c>
      <c r="Q136" s="14" t="s">
        <v>1430</v>
      </c>
      <c r="R136" s="14">
        <v>2</v>
      </c>
      <c r="S136" s="14">
        <v>34</v>
      </c>
      <c r="T136" s="14" t="s">
        <v>1431</v>
      </c>
      <c r="U136" s="14">
        <v>12</v>
      </c>
      <c r="V136" s="42">
        <v>2422037</v>
      </c>
      <c r="W136" s="42">
        <v>0</v>
      </c>
      <c r="X136" s="42" t="s">
        <v>1406</v>
      </c>
      <c r="Y136" s="59"/>
      <c r="Z136" s="14" t="s">
        <v>32</v>
      </c>
      <c r="AA136" s="45">
        <v>45260</v>
      </c>
      <c r="AB136" s="14">
        <v>24</v>
      </c>
      <c r="AC136" s="14">
        <v>22037</v>
      </c>
      <c r="AD136" s="14">
        <v>130</v>
      </c>
      <c r="AE136" s="14" t="s">
        <v>1401</v>
      </c>
      <c r="AF136" s="14">
        <v>130</v>
      </c>
      <c r="AG136" s="14" t="s">
        <v>1402</v>
      </c>
      <c r="AH136" s="14" t="s">
        <v>36</v>
      </c>
      <c r="AI136" s="14" t="s">
        <v>501</v>
      </c>
      <c r="AJ136" s="14">
        <v>1726</v>
      </c>
      <c r="AK136" s="14" t="s">
        <v>1407</v>
      </c>
      <c r="AL136" s="14">
        <v>47076</v>
      </c>
      <c r="AM136" s="14" t="s">
        <v>1421</v>
      </c>
      <c r="AN136" s="14" t="s">
        <v>1422</v>
      </c>
      <c r="AO136" s="14">
        <v>47</v>
      </c>
      <c r="AP136" s="14" t="s">
        <v>1423</v>
      </c>
      <c r="AQ136" s="14">
        <v>0</v>
      </c>
      <c r="AR136" s="14" t="s">
        <v>1410</v>
      </c>
      <c r="AT136" s="14" t="s">
        <v>1417</v>
      </c>
      <c r="AU136" s="14" t="s">
        <v>1412</v>
      </c>
    </row>
    <row r="137" spans="1:47" x14ac:dyDescent="0.45">
      <c r="A137" s="42">
        <v>2413150013</v>
      </c>
      <c r="B137" s="14">
        <v>131</v>
      </c>
      <c r="C137" s="14" t="s">
        <v>1462</v>
      </c>
      <c r="D137" s="14">
        <v>130</v>
      </c>
      <c r="E137" s="14" t="s">
        <v>1402</v>
      </c>
      <c r="F137" s="14" t="s">
        <v>750</v>
      </c>
      <c r="G137" s="14" t="s">
        <v>751</v>
      </c>
      <c r="H137" s="14">
        <v>2</v>
      </c>
      <c r="I137" s="14" t="s">
        <v>752</v>
      </c>
      <c r="J137" s="14" t="s">
        <v>1511</v>
      </c>
      <c r="K137" s="14">
        <v>2024</v>
      </c>
      <c r="L137" s="42">
        <v>2024</v>
      </c>
      <c r="M137" s="43">
        <v>45201</v>
      </c>
      <c r="N137" s="14" t="s">
        <v>36</v>
      </c>
      <c r="O137" s="14" t="s">
        <v>741</v>
      </c>
      <c r="P137" s="14">
        <v>581</v>
      </c>
      <c r="Q137" s="14" t="s">
        <v>1489</v>
      </c>
      <c r="R137" s="14">
        <v>2</v>
      </c>
      <c r="S137" s="14">
        <v>10</v>
      </c>
      <c r="T137" s="14" t="s">
        <v>1490</v>
      </c>
      <c r="U137" s="14">
        <v>9</v>
      </c>
      <c r="V137" s="42">
        <v>2422548</v>
      </c>
      <c r="W137" s="42">
        <v>0</v>
      </c>
      <c r="X137" s="42" t="s">
        <v>1406</v>
      </c>
      <c r="Z137" s="14" t="s">
        <v>32</v>
      </c>
      <c r="AA137" s="45">
        <v>45260</v>
      </c>
      <c r="AB137" s="14">
        <v>24</v>
      </c>
      <c r="AC137" s="14">
        <v>22548</v>
      </c>
      <c r="AD137" s="14">
        <v>131</v>
      </c>
      <c r="AE137" s="14" t="s">
        <v>1462</v>
      </c>
      <c r="AF137" s="14">
        <v>130</v>
      </c>
      <c r="AG137" s="14" t="s">
        <v>1402</v>
      </c>
      <c r="AH137" s="14" t="s">
        <v>36</v>
      </c>
      <c r="AI137" s="14" t="s">
        <v>741</v>
      </c>
      <c r="AJ137" s="14">
        <v>581</v>
      </c>
      <c r="AK137" s="14" t="s">
        <v>1407</v>
      </c>
      <c r="AL137" s="14">
        <v>26068</v>
      </c>
      <c r="AM137" s="14" t="s">
        <v>1512</v>
      </c>
      <c r="AN137" s="14" t="s">
        <v>1513</v>
      </c>
      <c r="AO137" s="14">
        <v>26</v>
      </c>
      <c r="AP137" s="14" t="s">
        <v>1514</v>
      </c>
      <c r="AQ137" s="14">
        <v>0</v>
      </c>
      <c r="AR137" s="14" t="s">
        <v>1410</v>
      </c>
      <c r="AT137" s="14" t="s">
        <v>1417</v>
      </c>
      <c r="AU137" s="14" t="s">
        <v>1412</v>
      </c>
    </row>
    <row r="138" spans="1:47" x14ac:dyDescent="0.45">
      <c r="A138" s="42">
        <v>2413150082</v>
      </c>
      <c r="B138" s="14">
        <v>131</v>
      </c>
      <c r="C138" s="14" t="s">
        <v>1462</v>
      </c>
      <c r="D138" s="14">
        <v>130</v>
      </c>
      <c r="E138" s="14" t="s">
        <v>1402</v>
      </c>
      <c r="F138" s="14" t="s">
        <v>967</v>
      </c>
      <c r="G138" s="14" t="s">
        <v>968</v>
      </c>
      <c r="H138" s="14">
        <v>1</v>
      </c>
      <c r="I138" s="14" t="s">
        <v>969</v>
      </c>
      <c r="J138" s="14" t="s">
        <v>1403</v>
      </c>
      <c r="K138" s="14">
        <v>2024</v>
      </c>
      <c r="L138" s="42">
        <v>2024</v>
      </c>
      <c r="M138" s="43">
        <v>45201</v>
      </c>
      <c r="N138" s="14" t="s">
        <v>36</v>
      </c>
      <c r="O138" s="14" t="s">
        <v>704</v>
      </c>
      <c r="P138" s="14">
        <v>785</v>
      </c>
      <c r="Q138" s="14" t="s">
        <v>1491</v>
      </c>
      <c r="R138" s="14">
        <v>2</v>
      </c>
      <c r="S138" s="14">
        <v>2</v>
      </c>
      <c r="T138" s="14" t="s">
        <v>1464</v>
      </c>
      <c r="U138" s="14">
        <v>1</v>
      </c>
      <c r="V138" s="42">
        <v>2422549</v>
      </c>
      <c r="W138" s="42">
        <v>0</v>
      </c>
      <c r="X138" s="42" t="s">
        <v>1406</v>
      </c>
      <c r="Z138" s="14" t="s">
        <v>32</v>
      </c>
      <c r="AA138" s="45">
        <v>45260</v>
      </c>
      <c r="AB138" s="14">
        <v>24</v>
      </c>
      <c r="AC138" s="14">
        <v>22549</v>
      </c>
      <c r="AD138" s="14">
        <v>131</v>
      </c>
      <c r="AE138" s="14" t="s">
        <v>1462</v>
      </c>
      <c r="AF138" s="14">
        <v>130</v>
      </c>
      <c r="AG138" s="14" t="s">
        <v>1402</v>
      </c>
      <c r="AH138" s="14" t="s">
        <v>36</v>
      </c>
      <c r="AI138" s="14" t="s">
        <v>704</v>
      </c>
      <c r="AJ138" s="14">
        <v>785</v>
      </c>
      <c r="AK138" s="14" t="s">
        <v>1473</v>
      </c>
      <c r="AL138" s="14">
        <v>28173</v>
      </c>
      <c r="AM138" s="14" t="s">
        <v>1418</v>
      </c>
      <c r="AN138" s="14" t="s">
        <v>1456</v>
      </c>
      <c r="AO138" s="14">
        <v>28</v>
      </c>
      <c r="AP138" s="14" t="s">
        <v>1416</v>
      </c>
      <c r="AQ138" s="14">
        <v>0</v>
      </c>
      <c r="AR138" s="14" t="s">
        <v>1410</v>
      </c>
      <c r="AT138" s="14" t="s">
        <v>1417</v>
      </c>
      <c r="AU138" s="14" t="s">
        <v>1412</v>
      </c>
    </row>
    <row r="139" spans="1:47" x14ac:dyDescent="0.45">
      <c r="A139" s="42">
        <v>2405750153</v>
      </c>
      <c r="B139" s="14">
        <v>57</v>
      </c>
      <c r="C139" s="14" t="s">
        <v>1551</v>
      </c>
      <c r="D139" s="14">
        <v>57</v>
      </c>
      <c r="E139" s="14" t="s">
        <v>1552</v>
      </c>
      <c r="F139" s="14" t="s">
        <v>1233</v>
      </c>
      <c r="G139" s="14" t="s">
        <v>1234</v>
      </c>
      <c r="H139" s="14">
        <v>1</v>
      </c>
      <c r="I139" s="14" t="s">
        <v>1235</v>
      </c>
      <c r="J139" s="14" t="s">
        <v>1629</v>
      </c>
      <c r="K139" s="14">
        <v>2024</v>
      </c>
      <c r="L139" s="42">
        <v>2024</v>
      </c>
      <c r="M139" s="43">
        <v>45223</v>
      </c>
      <c r="N139" s="14" t="s">
        <v>36</v>
      </c>
      <c r="O139" s="14">
        <v>58</v>
      </c>
      <c r="P139" s="14">
        <v>428</v>
      </c>
      <c r="Q139" s="14" t="s">
        <v>1463</v>
      </c>
      <c r="R139" s="14">
        <v>2</v>
      </c>
      <c r="S139" s="14">
        <v>2</v>
      </c>
      <c r="T139" s="14" t="s">
        <v>1464</v>
      </c>
      <c r="U139" s="14">
        <v>1</v>
      </c>
      <c r="V139" s="42">
        <v>2480059</v>
      </c>
      <c r="W139" s="42">
        <v>0</v>
      </c>
      <c r="X139" s="42" t="s">
        <v>1406</v>
      </c>
      <c r="Y139" s="111"/>
      <c r="Z139" s="14" t="s">
        <v>32</v>
      </c>
      <c r="AA139" s="45">
        <v>45244</v>
      </c>
      <c r="AB139" s="14">
        <v>24</v>
      </c>
      <c r="AC139" s="14">
        <v>80059</v>
      </c>
      <c r="AD139" s="14">
        <v>57</v>
      </c>
      <c r="AE139" s="14" t="s">
        <v>1551</v>
      </c>
      <c r="AF139" s="14">
        <v>57</v>
      </c>
      <c r="AG139" s="14" t="s">
        <v>1552</v>
      </c>
      <c r="AH139" s="14" t="s">
        <v>36</v>
      </c>
      <c r="AI139" s="14">
        <v>58</v>
      </c>
      <c r="AJ139" s="14">
        <v>428</v>
      </c>
      <c r="AK139" s="14" t="s">
        <v>1407</v>
      </c>
      <c r="AL139" s="14">
        <v>39048</v>
      </c>
      <c r="AM139" s="14" t="s">
        <v>1418</v>
      </c>
      <c r="AN139" s="14" t="s">
        <v>1630</v>
      </c>
      <c r="AO139" s="14">
        <v>39</v>
      </c>
      <c r="AP139" s="14" t="s">
        <v>1631</v>
      </c>
      <c r="AQ139" s="14">
        <v>0</v>
      </c>
      <c r="AR139" s="14" t="s">
        <v>1410</v>
      </c>
      <c r="AT139" s="14" t="s">
        <v>1417</v>
      </c>
      <c r="AU139" s="14" t="s">
        <v>1412</v>
      </c>
    </row>
    <row r="140" spans="1:47" x14ac:dyDescent="0.45">
      <c r="A140" s="42">
        <v>2405750074</v>
      </c>
      <c r="B140" s="14">
        <v>57</v>
      </c>
      <c r="C140" s="14" t="s">
        <v>1551</v>
      </c>
      <c r="D140" s="14">
        <v>57</v>
      </c>
      <c r="E140" s="14" t="s">
        <v>1552</v>
      </c>
      <c r="F140" s="14" t="s">
        <v>332</v>
      </c>
      <c r="G140" s="14" t="s">
        <v>333</v>
      </c>
      <c r="H140" s="14">
        <v>1</v>
      </c>
      <c r="I140" s="14" t="s">
        <v>334</v>
      </c>
      <c r="J140" s="14" t="s">
        <v>1403</v>
      </c>
      <c r="K140" s="14">
        <v>2024</v>
      </c>
      <c r="L140" s="42">
        <v>2024</v>
      </c>
      <c r="M140" s="43">
        <v>45223</v>
      </c>
      <c r="N140" s="14" t="s">
        <v>36</v>
      </c>
      <c r="O140" s="14">
        <v>58</v>
      </c>
      <c r="P140" s="14">
        <v>428</v>
      </c>
      <c r="Q140" s="14" t="s">
        <v>1463</v>
      </c>
      <c r="R140" s="14">
        <v>2</v>
      </c>
      <c r="S140" s="14">
        <v>2</v>
      </c>
      <c r="T140" s="14" t="s">
        <v>1464</v>
      </c>
      <c r="U140" s="14">
        <v>1</v>
      </c>
      <c r="V140" s="42">
        <v>2480056</v>
      </c>
      <c r="W140" s="42">
        <v>0</v>
      </c>
      <c r="X140" s="42" t="s">
        <v>1406</v>
      </c>
      <c r="Z140" s="14" t="s">
        <v>32</v>
      </c>
      <c r="AA140" s="45">
        <v>45243</v>
      </c>
      <c r="AB140" s="14">
        <v>24</v>
      </c>
      <c r="AC140" s="14">
        <v>80056</v>
      </c>
      <c r="AD140" s="14">
        <v>57</v>
      </c>
      <c r="AE140" s="14" t="s">
        <v>1551</v>
      </c>
      <c r="AF140" s="14">
        <v>57</v>
      </c>
      <c r="AG140" s="14" t="s">
        <v>1552</v>
      </c>
      <c r="AH140" s="14" t="s">
        <v>36</v>
      </c>
      <c r="AI140" s="14">
        <v>58</v>
      </c>
      <c r="AJ140" s="14">
        <v>428</v>
      </c>
      <c r="AK140" s="14" t="s">
        <v>1407</v>
      </c>
      <c r="AL140" s="14">
        <v>28282</v>
      </c>
      <c r="AM140" s="14" t="s">
        <v>1414</v>
      </c>
      <c r="AN140" s="14" t="s">
        <v>1572</v>
      </c>
      <c r="AO140" s="14">
        <v>28</v>
      </c>
      <c r="AP140" s="14" t="s">
        <v>1416</v>
      </c>
      <c r="AQ140" s="14">
        <v>0</v>
      </c>
      <c r="AR140" s="14" t="s">
        <v>1410</v>
      </c>
      <c r="AT140" s="14" t="s">
        <v>1417</v>
      </c>
      <c r="AU140" s="14" t="s">
        <v>1412</v>
      </c>
    </row>
    <row r="141" spans="1:47" x14ac:dyDescent="0.45">
      <c r="A141" s="42">
        <v>2405750081</v>
      </c>
      <c r="B141" s="14">
        <v>57</v>
      </c>
      <c r="C141" s="14" t="s">
        <v>1551</v>
      </c>
      <c r="D141" s="14">
        <v>57</v>
      </c>
      <c r="E141" s="14" t="s">
        <v>1552</v>
      </c>
      <c r="F141" s="14" t="s">
        <v>358</v>
      </c>
      <c r="G141" s="14" t="s">
        <v>359</v>
      </c>
      <c r="H141" s="14">
        <v>2</v>
      </c>
      <c r="I141" s="14" t="s">
        <v>360</v>
      </c>
      <c r="J141" s="14" t="s">
        <v>1403</v>
      </c>
      <c r="K141" s="14">
        <v>2024</v>
      </c>
      <c r="L141" s="42">
        <v>2024</v>
      </c>
      <c r="M141" s="43">
        <v>45223</v>
      </c>
      <c r="N141" s="14" t="s">
        <v>36</v>
      </c>
      <c r="O141" s="14">
        <v>58</v>
      </c>
      <c r="P141" s="14">
        <v>290</v>
      </c>
      <c r="Q141" s="14" t="s">
        <v>1496</v>
      </c>
      <c r="R141" s="14">
        <v>2</v>
      </c>
      <c r="S141" s="14">
        <v>2</v>
      </c>
      <c r="T141" s="14" t="s">
        <v>1464</v>
      </c>
      <c r="U141" s="14">
        <v>1</v>
      </c>
      <c r="V141" s="42">
        <v>2480051</v>
      </c>
      <c r="W141" s="42">
        <v>0</v>
      </c>
      <c r="X141" s="42" t="s">
        <v>1406</v>
      </c>
      <c r="Y141" s="59"/>
      <c r="Z141" s="14" t="s">
        <v>32</v>
      </c>
      <c r="AA141" s="45">
        <v>45238</v>
      </c>
      <c r="AB141" s="14">
        <v>24</v>
      </c>
      <c r="AC141" s="14">
        <v>80051</v>
      </c>
      <c r="AD141" s="14">
        <v>57</v>
      </c>
      <c r="AE141" s="14" t="s">
        <v>1551</v>
      </c>
      <c r="AF141" s="14">
        <v>57</v>
      </c>
      <c r="AG141" s="14" t="s">
        <v>1552</v>
      </c>
      <c r="AH141" s="14" t="s">
        <v>36</v>
      </c>
      <c r="AI141" s="14">
        <v>58</v>
      </c>
      <c r="AJ141" s="14">
        <v>290</v>
      </c>
      <c r="AK141" s="14" t="s">
        <v>1407</v>
      </c>
      <c r="AL141" s="14">
        <v>28120</v>
      </c>
      <c r="AM141" s="14" t="s">
        <v>1418</v>
      </c>
      <c r="AN141" s="14" t="s">
        <v>1593</v>
      </c>
      <c r="AO141" s="14">
        <v>28</v>
      </c>
      <c r="AP141" s="14" t="s">
        <v>1416</v>
      </c>
      <c r="AQ141" s="14">
        <v>0</v>
      </c>
      <c r="AR141" s="14" t="s">
        <v>1410</v>
      </c>
      <c r="AT141" s="14" t="s">
        <v>1417</v>
      </c>
      <c r="AU141" s="14" t="s">
        <v>1412</v>
      </c>
    </row>
    <row r="142" spans="1:47" x14ac:dyDescent="0.45">
      <c r="A142" s="42">
        <v>2405750146</v>
      </c>
      <c r="B142" s="14">
        <v>57</v>
      </c>
      <c r="C142" s="14" t="s">
        <v>1551</v>
      </c>
      <c r="D142" s="14">
        <v>57</v>
      </c>
      <c r="E142" s="14" t="s">
        <v>1552</v>
      </c>
      <c r="F142" s="14" t="s">
        <v>1211</v>
      </c>
      <c r="G142" s="14" t="s">
        <v>1212</v>
      </c>
      <c r="H142" s="14">
        <v>1</v>
      </c>
      <c r="I142" s="14" t="s">
        <v>1134</v>
      </c>
      <c r="J142" s="14" t="s">
        <v>1403</v>
      </c>
      <c r="K142" s="14">
        <v>2024</v>
      </c>
      <c r="L142" s="42">
        <v>2024</v>
      </c>
      <c r="M142" s="43">
        <v>45223</v>
      </c>
      <c r="N142" s="14" t="s">
        <v>36</v>
      </c>
      <c r="O142" s="14">
        <v>58</v>
      </c>
      <c r="P142" s="14">
        <v>428</v>
      </c>
      <c r="Q142" s="14" t="s">
        <v>1463</v>
      </c>
      <c r="R142" s="14">
        <v>2</v>
      </c>
      <c r="S142" s="14">
        <v>2</v>
      </c>
      <c r="T142" s="14" t="s">
        <v>1464</v>
      </c>
      <c r="U142" s="14">
        <v>1</v>
      </c>
      <c r="V142" s="42">
        <v>2480052</v>
      </c>
      <c r="W142" s="42">
        <v>0</v>
      </c>
      <c r="X142" s="42" t="s">
        <v>1406</v>
      </c>
      <c r="Y142" s="59"/>
      <c r="Z142" s="14" t="s">
        <v>32</v>
      </c>
      <c r="AA142" s="45">
        <v>45238</v>
      </c>
      <c r="AB142" s="14">
        <v>24</v>
      </c>
      <c r="AC142" s="14">
        <v>80052</v>
      </c>
      <c r="AD142" s="14">
        <v>57</v>
      </c>
      <c r="AE142" s="14" t="s">
        <v>1551</v>
      </c>
      <c r="AF142" s="14">
        <v>57</v>
      </c>
      <c r="AG142" s="14" t="s">
        <v>1552</v>
      </c>
      <c r="AH142" s="14" t="s">
        <v>36</v>
      </c>
      <c r="AI142" s="14">
        <v>58</v>
      </c>
      <c r="AJ142" s="14">
        <v>428</v>
      </c>
      <c r="AK142" s="14" t="s">
        <v>1407</v>
      </c>
      <c r="AL142" s="14">
        <v>28015</v>
      </c>
      <c r="AM142" s="14" t="s">
        <v>1421</v>
      </c>
      <c r="AN142" s="14" t="s">
        <v>1525</v>
      </c>
      <c r="AO142" s="14">
        <v>28</v>
      </c>
      <c r="AP142" s="14" t="s">
        <v>1416</v>
      </c>
      <c r="AQ142" s="14">
        <v>0</v>
      </c>
      <c r="AR142" s="14" t="s">
        <v>1410</v>
      </c>
      <c r="AT142" s="14" t="s">
        <v>1417</v>
      </c>
      <c r="AU142" s="14" t="s">
        <v>1412</v>
      </c>
    </row>
    <row r="143" spans="1:47" x14ac:dyDescent="0.45">
      <c r="A143" s="42">
        <v>2413050050</v>
      </c>
      <c r="B143" s="14">
        <v>130</v>
      </c>
      <c r="C143" s="14" t="s">
        <v>1401</v>
      </c>
      <c r="D143" s="14">
        <v>130</v>
      </c>
      <c r="E143" s="14" t="s">
        <v>1402</v>
      </c>
      <c r="F143" s="14" t="s">
        <v>657</v>
      </c>
      <c r="G143" s="14" t="s">
        <v>658</v>
      </c>
      <c r="H143" s="14">
        <v>2</v>
      </c>
      <c r="I143" s="14" t="s">
        <v>659</v>
      </c>
      <c r="J143" s="14" t="s">
        <v>1403</v>
      </c>
      <c r="K143" s="14">
        <v>2024</v>
      </c>
      <c r="L143" s="42">
        <v>2024</v>
      </c>
      <c r="M143" s="43">
        <v>45216</v>
      </c>
      <c r="N143" s="14" t="s">
        <v>36</v>
      </c>
      <c r="O143" s="14" t="s">
        <v>472</v>
      </c>
      <c r="P143" s="14">
        <v>1043</v>
      </c>
      <c r="Q143" s="14" t="s">
        <v>1404</v>
      </c>
      <c r="R143" s="14">
        <v>2</v>
      </c>
      <c r="S143" s="14">
        <v>6</v>
      </c>
      <c r="T143" s="14" t="s">
        <v>1405</v>
      </c>
      <c r="U143" s="14">
        <v>5</v>
      </c>
      <c r="V143" s="42">
        <v>2422035</v>
      </c>
      <c r="W143" s="42">
        <v>0</v>
      </c>
      <c r="X143" s="42" t="s">
        <v>1406</v>
      </c>
      <c r="Y143" s="59"/>
      <c r="Z143" s="14" t="s">
        <v>32</v>
      </c>
      <c r="AA143" s="45">
        <v>45258</v>
      </c>
      <c r="AB143" s="14">
        <v>24</v>
      </c>
      <c r="AC143" s="14">
        <v>22035</v>
      </c>
      <c r="AD143" s="14">
        <v>130</v>
      </c>
      <c r="AE143" s="14" t="s">
        <v>1401</v>
      </c>
      <c r="AF143" s="14">
        <v>130</v>
      </c>
      <c r="AG143" s="14" t="s">
        <v>1402</v>
      </c>
      <c r="AH143" s="14" t="s">
        <v>36</v>
      </c>
      <c r="AI143" s="14" t="s">
        <v>472</v>
      </c>
      <c r="AJ143" s="14">
        <v>1043</v>
      </c>
      <c r="AK143" s="14" t="s">
        <v>1407</v>
      </c>
      <c r="AL143" s="14">
        <v>28126</v>
      </c>
      <c r="AM143" s="14" t="s">
        <v>1418</v>
      </c>
      <c r="AN143" s="14" t="s">
        <v>1458</v>
      </c>
      <c r="AO143" s="14">
        <v>28</v>
      </c>
      <c r="AP143" s="14" t="s">
        <v>1416</v>
      </c>
      <c r="AQ143" s="14">
        <v>0</v>
      </c>
      <c r="AR143" s="14" t="s">
        <v>1410</v>
      </c>
      <c r="AT143" s="14" t="s">
        <v>1417</v>
      </c>
      <c r="AU143" s="14" t="s">
        <v>1412</v>
      </c>
    </row>
    <row r="144" spans="1:47" x14ac:dyDescent="0.45">
      <c r="A144" s="42">
        <v>2405750141</v>
      </c>
      <c r="B144" s="14">
        <v>57</v>
      </c>
      <c r="C144" s="14" t="s">
        <v>1551</v>
      </c>
      <c r="D144" s="14">
        <v>57</v>
      </c>
      <c r="E144" s="14" t="s">
        <v>1552</v>
      </c>
      <c r="F144" s="14" t="s">
        <v>1196</v>
      </c>
      <c r="G144" s="14" t="s">
        <v>1197</v>
      </c>
      <c r="H144" s="14">
        <v>1</v>
      </c>
      <c r="I144" s="14" t="s">
        <v>1198</v>
      </c>
      <c r="J144" s="14" t="s">
        <v>1403</v>
      </c>
      <c r="K144" s="14">
        <v>2024</v>
      </c>
      <c r="L144" s="42">
        <v>2024</v>
      </c>
      <c r="M144" s="43">
        <v>45224</v>
      </c>
      <c r="N144" s="14" t="s">
        <v>36</v>
      </c>
      <c r="O144" s="14">
        <v>58</v>
      </c>
      <c r="P144" s="14">
        <v>427</v>
      </c>
      <c r="Q144" s="14" t="s">
        <v>1479</v>
      </c>
      <c r="R144" s="14">
        <v>2</v>
      </c>
      <c r="S144" s="14">
        <v>2</v>
      </c>
      <c r="T144" s="14" t="s">
        <v>1464</v>
      </c>
      <c r="U144" s="14">
        <v>1</v>
      </c>
      <c r="V144" s="42">
        <v>2480190</v>
      </c>
      <c r="W144" s="42">
        <v>0</v>
      </c>
      <c r="X144" s="42" t="s">
        <v>1406</v>
      </c>
      <c r="Y144" s="59"/>
      <c r="Z144" s="14" t="s">
        <v>32</v>
      </c>
      <c r="AA144" s="45">
        <v>45377</v>
      </c>
      <c r="AB144" s="14">
        <v>24</v>
      </c>
      <c r="AC144" s="14">
        <v>80190</v>
      </c>
      <c r="AD144" s="14">
        <v>57</v>
      </c>
      <c r="AE144" s="14" t="s">
        <v>1551</v>
      </c>
      <c r="AF144" s="14">
        <v>57</v>
      </c>
      <c r="AG144" s="14" t="s">
        <v>1552</v>
      </c>
      <c r="AH144" s="14" t="s">
        <v>36</v>
      </c>
      <c r="AI144" s="14">
        <v>58</v>
      </c>
      <c r="AJ144" s="14">
        <v>427</v>
      </c>
      <c r="AK144" s="14" t="s">
        <v>1473</v>
      </c>
      <c r="AL144" s="14">
        <v>28206</v>
      </c>
      <c r="AM144" s="14" t="s">
        <v>1421</v>
      </c>
      <c r="AN144" s="14" t="s">
        <v>1488</v>
      </c>
      <c r="AO144" s="14">
        <v>28</v>
      </c>
      <c r="AP144" s="14" t="s">
        <v>1416</v>
      </c>
      <c r="AQ144" s="14">
        <v>0</v>
      </c>
      <c r="AR144" s="14" t="s">
        <v>1410</v>
      </c>
      <c r="AT144" s="14" t="s">
        <v>1417</v>
      </c>
      <c r="AU144" s="14" t="s">
        <v>1412</v>
      </c>
    </row>
    <row r="145" spans="1:47" x14ac:dyDescent="0.45">
      <c r="A145" s="42">
        <v>2413050048</v>
      </c>
      <c r="B145" s="14">
        <v>130</v>
      </c>
      <c r="C145" s="14" t="s">
        <v>1401</v>
      </c>
      <c r="D145" s="14">
        <v>130</v>
      </c>
      <c r="E145" s="14" t="s">
        <v>1402</v>
      </c>
      <c r="F145" s="14" t="s">
        <v>649</v>
      </c>
      <c r="G145" s="14" t="s">
        <v>650</v>
      </c>
      <c r="H145" s="14">
        <v>1</v>
      </c>
      <c r="I145" s="14" t="s">
        <v>651</v>
      </c>
      <c r="J145" s="14" t="s">
        <v>1403</v>
      </c>
      <c r="K145" s="14">
        <v>2024</v>
      </c>
      <c r="L145" s="42">
        <v>2024</v>
      </c>
      <c r="M145" s="43">
        <v>45182</v>
      </c>
      <c r="N145" s="14" t="s">
        <v>36</v>
      </c>
      <c r="O145" s="14" t="s">
        <v>501</v>
      </c>
      <c r="P145" s="14">
        <v>1726</v>
      </c>
      <c r="Q145" s="14" t="s">
        <v>1430</v>
      </c>
      <c r="R145" s="14">
        <v>2</v>
      </c>
      <c r="S145" s="14">
        <v>34</v>
      </c>
      <c r="T145" s="14" t="s">
        <v>1431</v>
      </c>
      <c r="U145" s="14">
        <v>12</v>
      </c>
      <c r="V145" s="42">
        <v>2422036</v>
      </c>
      <c r="W145" s="42">
        <v>0</v>
      </c>
      <c r="X145" s="42" t="s">
        <v>1406</v>
      </c>
      <c r="Y145" s="59"/>
      <c r="Z145" s="14" t="s">
        <v>32</v>
      </c>
      <c r="AA145" s="45">
        <v>45258</v>
      </c>
      <c r="AB145" s="14">
        <v>24</v>
      </c>
      <c r="AC145" s="14">
        <v>22036</v>
      </c>
      <c r="AD145" s="14">
        <v>130</v>
      </c>
      <c r="AE145" s="14" t="s">
        <v>1401</v>
      </c>
      <c r="AF145" s="14">
        <v>130</v>
      </c>
      <c r="AG145" s="14" t="s">
        <v>1402</v>
      </c>
      <c r="AH145" s="14" t="s">
        <v>36</v>
      </c>
      <c r="AI145" s="14" t="s">
        <v>501</v>
      </c>
      <c r="AJ145" s="14">
        <v>1726</v>
      </c>
      <c r="AK145" s="14" t="s">
        <v>1407</v>
      </c>
      <c r="AL145" s="14">
        <v>28193</v>
      </c>
      <c r="AM145" s="14" t="s">
        <v>1418</v>
      </c>
      <c r="AN145" s="14" t="s">
        <v>1439</v>
      </c>
      <c r="AO145" s="14">
        <v>28</v>
      </c>
      <c r="AP145" s="14" t="s">
        <v>1416</v>
      </c>
      <c r="AQ145" s="14">
        <v>0</v>
      </c>
      <c r="AR145" s="14" t="s">
        <v>1410</v>
      </c>
      <c r="AT145" s="14" t="s">
        <v>1417</v>
      </c>
      <c r="AU145" s="14" t="s">
        <v>1412</v>
      </c>
    </row>
    <row r="146" spans="1:47" x14ac:dyDescent="0.45">
      <c r="A146" s="42">
        <v>2413050060</v>
      </c>
      <c r="B146" s="14">
        <v>130</v>
      </c>
      <c r="C146" s="14" t="s">
        <v>1401</v>
      </c>
      <c r="D146" s="14">
        <v>130</v>
      </c>
      <c r="E146" s="14" t="s">
        <v>1402</v>
      </c>
      <c r="F146" s="14" t="s">
        <v>690</v>
      </c>
      <c r="G146" s="14" t="s">
        <v>691</v>
      </c>
      <c r="H146" s="14">
        <v>1</v>
      </c>
      <c r="I146" s="14" t="s">
        <v>692</v>
      </c>
      <c r="J146" s="14" t="s">
        <v>1403</v>
      </c>
      <c r="K146" s="14">
        <v>2024</v>
      </c>
      <c r="L146" s="42">
        <v>2024</v>
      </c>
      <c r="M146" s="43">
        <v>45230</v>
      </c>
      <c r="N146" s="14" t="s">
        <v>36</v>
      </c>
      <c r="O146" s="14" t="s">
        <v>472</v>
      </c>
      <c r="P146" s="14">
        <v>1043</v>
      </c>
      <c r="Q146" s="14" t="s">
        <v>1404</v>
      </c>
      <c r="R146" s="14">
        <v>2</v>
      </c>
      <c r="S146" s="14">
        <v>6</v>
      </c>
      <c r="T146" s="14" t="s">
        <v>1405</v>
      </c>
      <c r="U146" s="14">
        <v>5</v>
      </c>
      <c r="V146" s="42">
        <v>2422033</v>
      </c>
      <c r="W146" s="42">
        <v>0</v>
      </c>
      <c r="X146" s="42" t="s">
        <v>1406</v>
      </c>
      <c r="Y146" s="59"/>
      <c r="Z146" s="14" t="s">
        <v>32</v>
      </c>
      <c r="AA146" s="45">
        <v>45257</v>
      </c>
      <c r="AB146" s="14">
        <v>24</v>
      </c>
      <c r="AC146" s="14">
        <v>22033</v>
      </c>
      <c r="AD146" s="14">
        <v>130</v>
      </c>
      <c r="AE146" s="14" t="s">
        <v>1401</v>
      </c>
      <c r="AF146" s="14">
        <v>130</v>
      </c>
      <c r="AG146" s="14" t="s">
        <v>1402</v>
      </c>
      <c r="AH146" s="14" t="s">
        <v>36</v>
      </c>
      <c r="AI146" s="14" t="s">
        <v>472</v>
      </c>
      <c r="AJ146" s="14">
        <v>1043</v>
      </c>
      <c r="AK146" s="14" t="s">
        <v>1407</v>
      </c>
      <c r="AL146" s="14">
        <v>28175</v>
      </c>
      <c r="AM146" s="14" t="s">
        <v>1418</v>
      </c>
      <c r="AN146" s="14" t="s">
        <v>1459</v>
      </c>
      <c r="AO146" s="14">
        <v>28</v>
      </c>
      <c r="AP146" s="14" t="s">
        <v>1416</v>
      </c>
      <c r="AQ146" s="14">
        <v>0</v>
      </c>
      <c r="AR146" s="14" t="s">
        <v>1410</v>
      </c>
      <c r="AT146" s="14" t="s">
        <v>1417</v>
      </c>
      <c r="AU146" s="14" t="s">
        <v>1412</v>
      </c>
    </row>
    <row r="147" spans="1:47" x14ac:dyDescent="0.45">
      <c r="A147" s="42">
        <v>2413150112</v>
      </c>
      <c r="B147" s="14">
        <v>131</v>
      </c>
      <c r="C147" s="14" t="s">
        <v>1462</v>
      </c>
      <c r="D147" s="14">
        <v>130</v>
      </c>
      <c r="E147" s="14" t="s">
        <v>1402</v>
      </c>
      <c r="F147" s="14" t="s">
        <v>1057</v>
      </c>
      <c r="G147" s="14" t="s">
        <v>1058</v>
      </c>
      <c r="H147" s="14">
        <v>1</v>
      </c>
      <c r="I147" s="14" t="s">
        <v>1059</v>
      </c>
      <c r="J147" s="14" t="s">
        <v>1403</v>
      </c>
      <c r="K147" s="14">
        <v>2024</v>
      </c>
      <c r="L147" s="42">
        <v>2024</v>
      </c>
      <c r="M147" s="43">
        <v>45222</v>
      </c>
      <c r="N147" s="14" t="s">
        <v>36</v>
      </c>
      <c r="O147" s="14" t="s">
        <v>793</v>
      </c>
      <c r="P147" s="14">
        <v>857</v>
      </c>
      <c r="Q147" s="14" t="s">
        <v>1481</v>
      </c>
      <c r="R147" s="14">
        <v>1</v>
      </c>
      <c r="S147" s="14">
        <v>2</v>
      </c>
      <c r="T147" s="14" t="s">
        <v>1464</v>
      </c>
      <c r="U147" s="14">
        <v>1</v>
      </c>
      <c r="V147" s="42">
        <v>2422547</v>
      </c>
      <c r="W147" s="42">
        <v>0</v>
      </c>
      <c r="X147" s="42" t="s">
        <v>1406</v>
      </c>
      <c r="Y147" s="59"/>
      <c r="Z147" s="14" t="s">
        <v>32</v>
      </c>
      <c r="AA147" s="45">
        <v>45257</v>
      </c>
      <c r="AB147" s="14">
        <v>24</v>
      </c>
      <c r="AC147" s="14">
        <v>22547</v>
      </c>
      <c r="AD147" s="14">
        <v>131</v>
      </c>
      <c r="AE147" s="14" t="s">
        <v>1462</v>
      </c>
      <c r="AF147" s="14">
        <v>130</v>
      </c>
      <c r="AG147" s="14" t="s">
        <v>1402</v>
      </c>
      <c r="AH147" s="14" t="s">
        <v>36</v>
      </c>
      <c r="AI147" s="14" t="s">
        <v>793</v>
      </c>
      <c r="AJ147" s="14">
        <v>857</v>
      </c>
      <c r="AK147" s="14" t="s">
        <v>1473</v>
      </c>
      <c r="AL147" s="14">
        <v>28099</v>
      </c>
      <c r="AM147" s="14" t="s">
        <v>1418</v>
      </c>
      <c r="AN147" s="14" t="s">
        <v>1447</v>
      </c>
      <c r="AO147" s="14">
        <v>28</v>
      </c>
      <c r="AP147" s="14" t="s">
        <v>1416</v>
      </c>
      <c r="AQ147" s="14">
        <v>0</v>
      </c>
      <c r="AR147" s="14" t="s">
        <v>1410</v>
      </c>
      <c r="AT147" s="14" t="s">
        <v>1417</v>
      </c>
      <c r="AU147" s="14" t="s">
        <v>1412</v>
      </c>
    </row>
    <row r="148" spans="1:47" x14ac:dyDescent="0.45">
      <c r="A148" s="42">
        <v>2413050013</v>
      </c>
      <c r="B148" s="14">
        <v>130</v>
      </c>
      <c r="C148" s="14" t="s">
        <v>1401</v>
      </c>
      <c r="D148" s="14">
        <v>130</v>
      </c>
      <c r="E148" s="14" t="s">
        <v>1402</v>
      </c>
      <c r="F148" s="14" t="s">
        <v>525</v>
      </c>
      <c r="G148" s="14" t="s">
        <v>526</v>
      </c>
      <c r="H148" s="14">
        <v>1</v>
      </c>
      <c r="I148" s="14" t="s">
        <v>527</v>
      </c>
      <c r="J148" s="14" t="s">
        <v>1403</v>
      </c>
      <c r="K148" s="14">
        <v>2024</v>
      </c>
      <c r="L148" s="42">
        <v>2024</v>
      </c>
      <c r="M148" s="43">
        <v>45180</v>
      </c>
      <c r="N148" s="14" t="s">
        <v>36</v>
      </c>
      <c r="O148" s="14" t="s">
        <v>485</v>
      </c>
      <c r="P148" s="14">
        <v>1131</v>
      </c>
      <c r="Q148" s="14" t="s">
        <v>1413</v>
      </c>
      <c r="R148" s="14">
        <v>3</v>
      </c>
      <c r="S148" s="14">
        <v>6</v>
      </c>
      <c r="T148" s="14" t="s">
        <v>1405</v>
      </c>
      <c r="U148" s="14">
        <v>5</v>
      </c>
      <c r="V148" s="42">
        <v>2422034</v>
      </c>
      <c r="W148" s="42">
        <v>0</v>
      </c>
      <c r="X148" s="42" t="s">
        <v>1406</v>
      </c>
      <c r="Y148" s="59"/>
      <c r="Z148" s="14" t="s">
        <v>32</v>
      </c>
      <c r="AA148" s="45">
        <v>45257</v>
      </c>
      <c r="AB148" s="14">
        <v>24</v>
      </c>
      <c r="AC148" s="14">
        <v>22034</v>
      </c>
      <c r="AD148" s="14">
        <v>130</v>
      </c>
      <c r="AE148" s="14" t="s">
        <v>1401</v>
      </c>
      <c r="AF148" s="14">
        <v>130</v>
      </c>
      <c r="AG148" s="14" t="s">
        <v>1402</v>
      </c>
      <c r="AH148" s="14" t="s">
        <v>36</v>
      </c>
      <c r="AI148" s="14" t="s">
        <v>485</v>
      </c>
      <c r="AJ148" s="14">
        <v>1131</v>
      </c>
      <c r="AK148" s="14" t="s">
        <v>1407</v>
      </c>
      <c r="AL148" s="14">
        <v>28219</v>
      </c>
      <c r="AM148" s="14" t="s">
        <v>1418</v>
      </c>
      <c r="AN148" s="14" t="s">
        <v>1440</v>
      </c>
      <c r="AO148" s="14">
        <v>28</v>
      </c>
      <c r="AP148" s="14" t="s">
        <v>1416</v>
      </c>
      <c r="AQ148" s="14">
        <v>0</v>
      </c>
      <c r="AR148" s="14" t="s">
        <v>1410</v>
      </c>
      <c r="AT148" s="14" t="s">
        <v>1417</v>
      </c>
      <c r="AU148" s="14" t="s">
        <v>1412</v>
      </c>
    </row>
    <row r="149" spans="1:47" x14ac:dyDescent="0.45">
      <c r="A149" s="42">
        <v>2405750142</v>
      </c>
      <c r="B149" s="14">
        <v>57</v>
      </c>
      <c r="C149" s="14" t="s">
        <v>1551</v>
      </c>
      <c r="D149" s="14">
        <v>57</v>
      </c>
      <c r="E149" s="14" t="s">
        <v>1552</v>
      </c>
      <c r="F149" s="14" t="s">
        <v>1199</v>
      </c>
      <c r="G149" s="14" t="s">
        <v>1200</v>
      </c>
      <c r="H149" s="14">
        <v>1</v>
      </c>
      <c r="I149" s="14" t="s">
        <v>1201</v>
      </c>
      <c r="J149" s="14" t="s">
        <v>1403</v>
      </c>
      <c r="K149" s="14">
        <v>0</v>
      </c>
      <c r="L149" s="42">
        <v>2024</v>
      </c>
      <c r="M149" s="43">
        <v>45224</v>
      </c>
      <c r="N149" s="14" t="s">
        <v>36</v>
      </c>
      <c r="O149" s="14">
        <v>6</v>
      </c>
      <c r="P149" s="14">
        <v>448</v>
      </c>
      <c r="Q149" s="14" t="s">
        <v>1557</v>
      </c>
      <c r="R149" s="14">
        <v>2</v>
      </c>
      <c r="S149" s="14">
        <v>1</v>
      </c>
      <c r="T149" s="14" t="s">
        <v>1527</v>
      </c>
      <c r="U149" s="14">
        <v>3</v>
      </c>
      <c r="V149" s="42">
        <v>2480125</v>
      </c>
      <c r="W149" s="42">
        <v>0</v>
      </c>
      <c r="X149" s="42" t="s">
        <v>1406</v>
      </c>
      <c r="Z149" s="14" t="s">
        <v>32</v>
      </c>
      <c r="AA149" s="45">
        <v>45317</v>
      </c>
      <c r="AB149" s="14">
        <v>24</v>
      </c>
      <c r="AC149" s="14">
        <v>80125</v>
      </c>
      <c r="AD149" s="14">
        <v>57</v>
      </c>
      <c r="AE149" s="14" t="s">
        <v>1551</v>
      </c>
      <c r="AF149" s="14">
        <v>57</v>
      </c>
      <c r="AG149" s="14" t="s">
        <v>1552</v>
      </c>
      <c r="AH149" s="14" t="s">
        <v>36</v>
      </c>
      <c r="AI149" s="14">
        <v>6</v>
      </c>
      <c r="AJ149" s="14">
        <v>448</v>
      </c>
      <c r="AK149" s="14" t="s">
        <v>1407</v>
      </c>
      <c r="AL149" s="14">
        <v>28224</v>
      </c>
      <c r="AM149" s="14" t="s">
        <v>1414</v>
      </c>
      <c r="AN149" s="14" t="s">
        <v>1621</v>
      </c>
      <c r="AO149" s="14">
        <v>28</v>
      </c>
      <c r="AP149" s="14" t="s">
        <v>1416</v>
      </c>
      <c r="AQ149" s="14">
        <v>0</v>
      </c>
      <c r="AR149" s="14" t="s">
        <v>1410</v>
      </c>
      <c r="AT149" s="14" t="s">
        <v>1411</v>
      </c>
      <c r="AU149" s="14" t="s">
        <v>1412</v>
      </c>
    </row>
    <row r="150" spans="1:47" x14ac:dyDescent="0.45">
      <c r="A150" s="42">
        <v>2405750159</v>
      </c>
      <c r="B150" s="14">
        <v>57</v>
      </c>
      <c r="C150" s="14" t="s">
        <v>1551</v>
      </c>
      <c r="D150" s="14">
        <v>57</v>
      </c>
      <c r="E150" s="14" t="s">
        <v>1552</v>
      </c>
      <c r="F150" s="14" t="s">
        <v>1255</v>
      </c>
      <c r="G150" s="14" t="s">
        <v>1256</v>
      </c>
      <c r="H150" s="14">
        <v>2</v>
      </c>
      <c r="I150" s="14" t="s">
        <v>1257</v>
      </c>
      <c r="J150" s="14" t="s">
        <v>1403</v>
      </c>
      <c r="K150" s="14">
        <v>2024</v>
      </c>
      <c r="L150" s="42">
        <v>2024</v>
      </c>
      <c r="M150" s="43">
        <v>45224</v>
      </c>
      <c r="N150" s="14" t="s">
        <v>36</v>
      </c>
      <c r="O150" s="14">
        <v>58</v>
      </c>
      <c r="P150" s="14">
        <v>857</v>
      </c>
      <c r="Q150" s="14" t="s">
        <v>1481</v>
      </c>
      <c r="R150" s="14">
        <v>2</v>
      </c>
      <c r="S150" s="14">
        <v>2</v>
      </c>
      <c r="T150" s="14" t="s">
        <v>1464</v>
      </c>
      <c r="U150" s="14">
        <v>1</v>
      </c>
      <c r="V150" s="42">
        <v>2480060</v>
      </c>
      <c r="W150" s="42">
        <v>0</v>
      </c>
      <c r="X150" s="42" t="s">
        <v>1406</v>
      </c>
      <c r="Z150" s="14" t="s">
        <v>32</v>
      </c>
      <c r="AA150" s="45">
        <v>45244</v>
      </c>
      <c r="AB150" s="14">
        <v>24</v>
      </c>
      <c r="AC150" s="14">
        <v>80060</v>
      </c>
      <c r="AD150" s="14">
        <v>57</v>
      </c>
      <c r="AE150" s="14" t="s">
        <v>1551</v>
      </c>
      <c r="AF150" s="14">
        <v>57</v>
      </c>
      <c r="AG150" s="14" t="s">
        <v>1552</v>
      </c>
      <c r="AH150" s="14" t="s">
        <v>36</v>
      </c>
      <c r="AI150" s="14">
        <v>58</v>
      </c>
      <c r="AJ150" s="14">
        <v>857</v>
      </c>
      <c r="AK150" s="14" t="s">
        <v>1407</v>
      </c>
      <c r="AL150" s="14">
        <v>28118</v>
      </c>
      <c r="AM150" s="14" t="s">
        <v>1418</v>
      </c>
      <c r="AN150" s="14" t="s">
        <v>1634</v>
      </c>
      <c r="AO150" s="14">
        <v>28</v>
      </c>
      <c r="AP150" s="14" t="s">
        <v>1416</v>
      </c>
      <c r="AQ150" s="14">
        <v>0</v>
      </c>
      <c r="AR150" s="14" t="s">
        <v>1410</v>
      </c>
      <c r="AT150" s="14" t="s">
        <v>1417</v>
      </c>
      <c r="AU150" s="14" t="s">
        <v>1412</v>
      </c>
    </row>
    <row r="151" spans="1:47" x14ac:dyDescent="0.45">
      <c r="A151" s="42">
        <v>2405750107</v>
      </c>
      <c r="B151" s="14">
        <v>57</v>
      </c>
      <c r="C151" s="14" t="s">
        <v>1551</v>
      </c>
      <c r="D151" s="14">
        <v>57</v>
      </c>
      <c r="E151" s="14" t="s">
        <v>1552</v>
      </c>
      <c r="F151" s="14" t="s">
        <v>446</v>
      </c>
      <c r="G151" s="14" t="s">
        <v>447</v>
      </c>
      <c r="H151" s="14">
        <v>2</v>
      </c>
      <c r="I151" s="14" t="s">
        <v>448</v>
      </c>
      <c r="J151" s="14" t="s">
        <v>1403</v>
      </c>
      <c r="K151" s="14">
        <v>2024</v>
      </c>
      <c r="L151" s="42">
        <v>2024</v>
      </c>
      <c r="M151" s="43">
        <v>45225</v>
      </c>
      <c r="N151" s="14" t="s">
        <v>36</v>
      </c>
      <c r="O151" s="14">
        <v>58</v>
      </c>
      <c r="P151" s="14">
        <v>427</v>
      </c>
      <c r="Q151" s="14" t="s">
        <v>1479</v>
      </c>
      <c r="R151" s="14">
        <v>2</v>
      </c>
      <c r="S151" s="14">
        <v>2</v>
      </c>
      <c r="T151" s="14" t="s">
        <v>1464</v>
      </c>
      <c r="U151" s="14">
        <v>1</v>
      </c>
      <c r="V151" s="42">
        <v>2480196</v>
      </c>
      <c r="W151" s="42">
        <v>0</v>
      </c>
      <c r="X151" s="42" t="s">
        <v>1406</v>
      </c>
      <c r="Z151" s="14" t="s">
        <v>32</v>
      </c>
      <c r="AA151" s="45">
        <v>45379</v>
      </c>
      <c r="AB151" s="14">
        <v>24</v>
      </c>
      <c r="AC151" s="14">
        <v>80196</v>
      </c>
      <c r="AD151" s="14">
        <v>57</v>
      </c>
      <c r="AE151" s="14" t="s">
        <v>1551</v>
      </c>
      <c r="AF151" s="14">
        <v>57</v>
      </c>
      <c r="AG151" s="14" t="s">
        <v>1552</v>
      </c>
      <c r="AH151" s="14" t="s">
        <v>36</v>
      </c>
      <c r="AI151" s="14">
        <v>58</v>
      </c>
      <c r="AJ151" s="14">
        <v>427</v>
      </c>
      <c r="AK151" s="14" t="s">
        <v>1473</v>
      </c>
      <c r="AL151" s="14">
        <v>28082</v>
      </c>
      <c r="AM151" s="14" t="s">
        <v>1421</v>
      </c>
      <c r="AN151" s="14" t="s">
        <v>1623</v>
      </c>
      <c r="AO151" s="14">
        <v>28</v>
      </c>
      <c r="AP151" s="14" t="s">
        <v>1416</v>
      </c>
      <c r="AQ151" s="14">
        <v>0</v>
      </c>
      <c r="AR151" s="14" t="s">
        <v>1410</v>
      </c>
      <c r="AT151" s="14" t="s">
        <v>1417</v>
      </c>
      <c r="AU151" s="14" t="s">
        <v>1412</v>
      </c>
    </row>
    <row r="152" spans="1:47" x14ac:dyDescent="0.45">
      <c r="A152" s="42">
        <v>2413150125</v>
      </c>
      <c r="B152" s="14">
        <v>131</v>
      </c>
      <c r="C152" s="14" t="s">
        <v>1462</v>
      </c>
      <c r="D152" s="14">
        <v>130</v>
      </c>
      <c r="E152" s="14" t="s">
        <v>1402</v>
      </c>
      <c r="F152" s="14" t="s">
        <v>1092</v>
      </c>
      <c r="G152" s="14" t="s">
        <v>1093</v>
      </c>
      <c r="H152" s="14">
        <v>1</v>
      </c>
      <c r="I152" s="14" t="s">
        <v>1094</v>
      </c>
      <c r="J152" s="14" t="s">
        <v>1403</v>
      </c>
      <c r="K152" s="14">
        <v>2024</v>
      </c>
      <c r="L152" s="42">
        <v>2024</v>
      </c>
      <c r="M152" s="43">
        <v>45219</v>
      </c>
      <c r="N152" s="14" t="s">
        <v>36</v>
      </c>
      <c r="O152" s="14" t="s">
        <v>704</v>
      </c>
      <c r="P152" s="14">
        <v>428</v>
      </c>
      <c r="Q152" s="14" t="s">
        <v>1463</v>
      </c>
      <c r="R152" s="14">
        <v>2</v>
      </c>
      <c r="S152" s="14">
        <v>2</v>
      </c>
      <c r="T152" s="14" t="s">
        <v>1464</v>
      </c>
      <c r="U152" s="14">
        <v>1</v>
      </c>
      <c r="V152" s="42">
        <v>2422545</v>
      </c>
      <c r="W152" s="42">
        <v>0</v>
      </c>
      <c r="X152" s="42" t="s">
        <v>1406</v>
      </c>
      <c r="Z152" s="14" t="s">
        <v>32</v>
      </c>
      <c r="AA152" s="45">
        <v>45254</v>
      </c>
      <c r="AB152" s="14">
        <v>24</v>
      </c>
      <c r="AC152" s="14">
        <v>22545</v>
      </c>
      <c r="AD152" s="14">
        <v>131</v>
      </c>
      <c r="AE152" s="14" t="s">
        <v>1462</v>
      </c>
      <c r="AF152" s="14">
        <v>130</v>
      </c>
      <c r="AG152" s="14" t="s">
        <v>1402</v>
      </c>
      <c r="AH152" s="14" t="s">
        <v>36</v>
      </c>
      <c r="AI152" s="14" t="s">
        <v>704</v>
      </c>
      <c r="AJ152" s="14">
        <v>428</v>
      </c>
      <c r="AK152" s="14" t="s">
        <v>1407</v>
      </c>
      <c r="AL152" s="14">
        <v>28168</v>
      </c>
      <c r="AM152" s="14" t="s">
        <v>1418</v>
      </c>
      <c r="AN152" s="14" t="s">
        <v>1475</v>
      </c>
      <c r="AO152" s="14">
        <v>28</v>
      </c>
      <c r="AP152" s="14" t="s">
        <v>1416</v>
      </c>
      <c r="AQ152" s="14">
        <v>0</v>
      </c>
      <c r="AR152" s="14" t="s">
        <v>1410</v>
      </c>
      <c r="AT152" s="14" t="s">
        <v>1417</v>
      </c>
      <c r="AU152" s="14" t="s">
        <v>1412</v>
      </c>
    </row>
    <row r="153" spans="1:47" x14ac:dyDescent="0.45">
      <c r="A153" s="42">
        <v>2413150010</v>
      </c>
      <c r="B153" s="14">
        <v>131</v>
      </c>
      <c r="C153" s="14" t="s">
        <v>1462</v>
      </c>
      <c r="D153" s="14">
        <v>130</v>
      </c>
      <c r="E153" s="14" t="s">
        <v>1402</v>
      </c>
      <c r="F153" s="14" t="s">
        <v>735</v>
      </c>
      <c r="G153" s="14" t="s">
        <v>736</v>
      </c>
      <c r="H153" s="14">
        <v>2</v>
      </c>
      <c r="I153" s="14" t="s">
        <v>737</v>
      </c>
      <c r="J153" s="14" t="s">
        <v>1403</v>
      </c>
      <c r="K153" s="14">
        <v>2024</v>
      </c>
      <c r="L153" s="42">
        <v>2024</v>
      </c>
      <c r="M153" s="43">
        <v>45182</v>
      </c>
      <c r="N153" s="14" t="s">
        <v>36</v>
      </c>
      <c r="O153" s="14" t="s">
        <v>698</v>
      </c>
      <c r="P153" s="14">
        <v>504</v>
      </c>
      <c r="Q153" s="14" t="s">
        <v>1509</v>
      </c>
      <c r="R153" s="14">
        <v>2</v>
      </c>
      <c r="S153" s="14">
        <v>5</v>
      </c>
      <c r="T153" s="14" t="s">
        <v>1470</v>
      </c>
      <c r="U153" s="14">
        <v>15</v>
      </c>
      <c r="V153" s="42">
        <v>2422544</v>
      </c>
      <c r="W153" s="42">
        <v>0</v>
      </c>
      <c r="X153" s="42" t="s">
        <v>1406</v>
      </c>
      <c r="Y153" s="59"/>
      <c r="Z153" s="14" t="s">
        <v>32</v>
      </c>
      <c r="AA153" s="45">
        <v>45254</v>
      </c>
      <c r="AB153" s="14">
        <v>24</v>
      </c>
      <c r="AC153" s="14">
        <v>22544</v>
      </c>
      <c r="AD153" s="14">
        <v>131</v>
      </c>
      <c r="AE153" s="14" t="s">
        <v>1462</v>
      </c>
      <c r="AF153" s="14">
        <v>130</v>
      </c>
      <c r="AG153" s="14" t="s">
        <v>1402</v>
      </c>
      <c r="AH153" s="14" t="s">
        <v>36</v>
      </c>
      <c r="AI153" s="14" t="s">
        <v>698</v>
      </c>
      <c r="AJ153" s="14">
        <v>504</v>
      </c>
      <c r="AK153" s="14" t="s">
        <v>1407</v>
      </c>
      <c r="AL153" s="14">
        <v>28144</v>
      </c>
      <c r="AM153" s="14" t="s">
        <v>1418</v>
      </c>
      <c r="AN153" s="14" t="s">
        <v>1510</v>
      </c>
      <c r="AO153" s="14">
        <v>28</v>
      </c>
      <c r="AP153" s="14" t="s">
        <v>1416</v>
      </c>
      <c r="AQ153" s="14">
        <v>0</v>
      </c>
      <c r="AR153" s="14" t="s">
        <v>1410</v>
      </c>
      <c r="AT153" s="14" t="s">
        <v>1417</v>
      </c>
      <c r="AU153" s="14" t="s">
        <v>1412</v>
      </c>
    </row>
    <row r="154" spans="1:47" x14ac:dyDescent="0.45">
      <c r="A154" s="42">
        <v>2413050054</v>
      </c>
      <c r="B154" s="14">
        <v>130</v>
      </c>
      <c r="C154" s="14" t="s">
        <v>1401</v>
      </c>
      <c r="D154" s="14">
        <v>130</v>
      </c>
      <c r="E154" s="14" t="s">
        <v>1402</v>
      </c>
      <c r="F154" s="14" t="s">
        <v>670</v>
      </c>
      <c r="G154" s="14" t="s">
        <v>671</v>
      </c>
      <c r="H154" s="14">
        <v>1</v>
      </c>
      <c r="I154" s="14" t="s">
        <v>672</v>
      </c>
      <c r="J154" s="14" t="s">
        <v>1403</v>
      </c>
      <c r="K154" s="14">
        <v>2024</v>
      </c>
      <c r="L154" s="42">
        <v>2024</v>
      </c>
      <c r="M154" s="43">
        <v>45226</v>
      </c>
      <c r="N154" s="14" t="s">
        <v>36</v>
      </c>
      <c r="O154" s="14" t="s">
        <v>501</v>
      </c>
      <c r="P154" s="14">
        <v>1726</v>
      </c>
      <c r="Q154" s="14" t="s">
        <v>1430</v>
      </c>
      <c r="R154" s="14">
        <v>2</v>
      </c>
      <c r="S154" s="14">
        <v>34</v>
      </c>
      <c r="T154" s="14" t="s">
        <v>1431</v>
      </c>
      <c r="U154" s="14">
        <v>12</v>
      </c>
      <c r="V154" s="42">
        <v>2422032</v>
      </c>
      <c r="W154" s="42">
        <v>0</v>
      </c>
      <c r="X154" s="42" t="s">
        <v>1406</v>
      </c>
      <c r="Y154" s="59"/>
      <c r="Z154" s="14" t="s">
        <v>32</v>
      </c>
      <c r="AA154" s="45">
        <v>45250</v>
      </c>
      <c r="AB154" s="14">
        <v>24</v>
      </c>
      <c r="AC154" s="14">
        <v>22032</v>
      </c>
      <c r="AD154" s="14">
        <v>130</v>
      </c>
      <c r="AE154" s="14" t="s">
        <v>1401</v>
      </c>
      <c r="AF154" s="14">
        <v>130</v>
      </c>
      <c r="AG154" s="14" t="s">
        <v>1402</v>
      </c>
      <c r="AH154" s="14" t="s">
        <v>36</v>
      </c>
      <c r="AI154" s="14" t="s">
        <v>501</v>
      </c>
      <c r="AJ154" s="14">
        <v>1726</v>
      </c>
      <c r="AK154" s="14" t="s">
        <v>1407</v>
      </c>
      <c r="AL154" s="14">
        <v>33133</v>
      </c>
      <c r="AM154" s="14" t="s">
        <v>1421</v>
      </c>
      <c r="AN154" s="14" t="s">
        <v>1426</v>
      </c>
      <c r="AO154" s="14">
        <v>33</v>
      </c>
      <c r="AP154" s="14" t="s">
        <v>1427</v>
      </c>
      <c r="AQ154" s="14">
        <v>0</v>
      </c>
      <c r="AR154" s="14" t="s">
        <v>1410</v>
      </c>
      <c r="AT154" s="14" t="s">
        <v>1417</v>
      </c>
      <c r="AU154" s="14" t="s">
        <v>1412</v>
      </c>
    </row>
    <row r="155" spans="1:47" x14ac:dyDescent="0.45">
      <c r="A155" s="42">
        <v>2413150056</v>
      </c>
      <c r="B155" s="14">
        <v>130</v>
      </c>
      <c r="C155" s="14" t="s">
        <v>1401</v>
      </c>
      <c r="D155" s="14">
        <v>130</v>
      </c>
      <c r="E155" s="14" t="s">
        <v>1402</v>
      </c>
      <c r="F155" s="14" t="s">
        <v>894</v>
      </c>
      <c r="G155" s="14" t="s">
        <v>895</v>
      </c>
      <c r="H155" s="14">
        <v>1</v>
      </c>
      <c r="I155" s="14" t="s">
        <v>878</v>
      </c>
      <c r="J155" s="14" t="s">
        <v>1403</v>
      </c>
      <c r="K155" s="14">
        <v>2024</v>
      </c>
      <c r="L155" s="42">
        <v>2024</v>
      </c>
      <c r="M155" s="43">
        <v>45229</v>
      </c>
      <c r="N155" s="14" t="s">
        <v>36</v>
      </c>
      <c r="O155" s="14" t="s">
        <v>485</v>
      </c>
      <c r="P155" s="14">
        <v>1131</v>
      </c>
      <c r="Q155" s="14" t="s">
        <v>1413</v>
      </c>
      <c r="R155" s="14">
        <v>3</v>
      </c>
      <c r="S155" s="14">
        <v>6</v>
      </c>
      <c r="T155" s="14" t="s">
        <v>1405</v>
      </c>
      <c r="U155" s="14">
        <v>5</v>
      </c>
      <c r="V155" s="42">
        <v>2422031</v>
      </c>
      <c r="W155" s="42">
        <v>0</v>
      </c>
      <c r="X155" s="42" t="s">
        <v>1406</v>
      </c>
      <c r="Y155" s="59"/>
      <c r="Z155" s="14" t="s">
        <v>32</v>
      </c>
      <c r="AA155" s="45">
        <v>45247</v>
      </c>
      <c r="AB155" s="14">
        <v>24</v>
      </c>
      <c r="AC155" s="14">
        <v>22031</v>
      </c>
      <c r="AD155" s="14">
        <v>130</v>
      </c>
      <c r="AE155" s="14" t="s">
        <v>1401</v>
      </c>
      <c r="AF155" s="14">
        <v>130</v>
      </c>
      <c r="AG155" s="14" t="s">
        <v>1402</v>
      </c>
      <c r="AH155" s="14" t="s">
        <v>36</v>
      </c>
      <c r="AI155" s="14" t="s">
        <v>485</v>
      </c>
      <c r="AJ155" s="14">
        <v>1131</v>
      </c>
      <c r="AK155" s="14" t="s">
        <v>1407</v>
      </c>
      <c r="AL155" s="14">
        <v>28157</v>
      </c>
      <c r="AM155" s="14" t="s">
        <v>1414</v>
      </c>
      <c r="AN155" s="14" t="s">
        <v>1415</v>
      </c>
      <c r="AO155" s="14">
        <v>28</v>
      </c>
      <c r="AP155" s="14" t="s">
        <v>1416</v>
      </c>
      <c r="AQ155" s="14">
        <v>0</v>
      </c>
      <c r="AR155" s="14" t="s">
        <v>1410</v>
      </c>
      <c r="AT155" s="14" t="s">
        <v>1417</v>
      </c>
      <c r="AU155" s="14" t="s">
        <v>1412</v>
      </c>
    </row>
    <row r="156" spans="1:47" x14ac:dyDescent="0.45">
      <c r="A156" s="42">
        <v>2405750046</v>
      </c>
      <c r="B156" s="14">
        <v>57</v>
      </c>
      <c r="C156" s="14" t="s">
        <v>1551</v>
      </c>
      <c r="D156" s="14">
        <v>57</v>
      </c>
      <c r="E156" s="14" t="s">
        <v>1552</v>
      </c>
      <c r="F156" s="14" t="s">
        <v>226</v>
      </c>
      <c r="G156" s="14" t="s">
        <v>227</v>
      </c>
      <c r="H156" s="14">
        <v>1</v>
      </c>
      <c r="I156" s="14" t="s">
        <v>228</v>
      </c>
      <c r="J156" s="14" t="s">
        <v>1403</v>
      </c>
      <c r="K156" s="14">
        <v>2024</v>
      </c>
      <c r="L156" s="42">
        <v>2024</v>
      </c>
      <c r="M156" s="43">
        <v>45225</v>
      </c>
      <c r="N156" s="14" t="s">
        <v>36</v>
      </c>
      <c r="O156" s="14">
        <v>58</v>
      </c>
      <c r="P156" s="14">
        <v>428</v>
      </c>
      <c r="Q156" s="14" t="s">
        <v>1463</v>
      </c>
      <c r="R156" s="14">
        <v>2</v>
      </c>
      <c r="S156" s="14">
        <v>2</v>
      </c>
      <c r="T156" s="14" t="s">
        <v>1464</v>
      </c>
      <c r="U156" s="14">
        <v>1</v>
      </c>
      <c r="V156" s="42">
        <v>2480147</v>
      </c>
      <c r="W156" s="42">
        <v>0</v>
      </c>
      <c r="X156" s="42" t="s">
        <v>1406</v>
      </c>
      <c r="Y156" s="59"/>
      <c r="Z156" s="14" t="s">
        <v>32</v>
      </c>
      <c r="AA156" s="45">
        <v>45341</v>
      </c>
      <c r="AB156" s="14">
        <v>24</v>
      </c>
      <c r="AC156" s="14">
        <v>80147</v>
      </c>
      <c r="AD156" s="14">
        <v>57</v>
      </c>
      <c r="AE156" s="14" t="s">
        <v>1551</v>
      </c>
      <c r="AF156" s="14">
        <v>57</v>
      </c>
      <c r="AG156" s="14" t="s">
        <v>1552</v>
      </c>
      <c r="AH156" s="14" t="s">
        <v>36</v>
      </c>
      <c r="AI156" s="14">
        <v>58</v>
      </c>
      <c r="AJ156" s="14">
        <v>428</v>
      </c>
      <c r="AK156" s="14" t="s">
        <v>1407</v>
      </c>
      <c r="AL156" s="14">
        <v>28282</v>
      </c>
      <c r="AM156" s="14" t="s">
        <v>1414</v>
      </c>
      <c r="AN156" s="14" t="s">
        <v>1572</v>
      </c>
      <c r="AO156" s="14">
        <v>28</v>
      </c>
      <c r="AP156" s="14" t="s">
        <v>1416</v>
      </c>
      <c r="AQ156" s="14">
        <v>0</v>
      </c>
      <c r="AR156" s="14" t="s">
        <v>1410</v>
      </c>
      <c r="AT156" s="14" t="s">
        <v>1417</v>
      </c>
      <c r="AU156" s="14" t="s">
        <v>1412</v>
      </c>
    </row>
    <row r="157" spans="1:47" x14ac:dyDescent="0.45">
      <c r="A157" s="42">
        <v>2413150088</v>
      </c>
      <c r="B157" s="14">
        <v>131</v>
      </c>
      <c r="C157" s="14" t="s">
        <v>1462</v>
      </c>
      <c r="D157" s="14">
        <v>130</v>
      </c>
      <c r="E157" s="14" t="s">
        <v>1402</v>
      </c>
      <c r="F157" s="14" t="s">
        <v>986</v>
      </c>
      <c r="G157" s="14" t="s">
        <v>987</v>
      </c>
      <c r="H157" s="14">
        <v>1</v>
      </c>
      <c r="I157" s="14" t="s">
        <v>988</v>
      </c>
      <c r="J157" s="14" t="s">
        <v>1403</v>
      </c>
      <c r="K157" s="14">
        <v>2024</v>
      </c>
      <c r="L157" s="42">
        <v>2024</v>
      </c>
      <c r="M157" s="43">
        <v>45180</v>
      </c>
      <c r="N157" s="14" t="s">
        <v>36</v>
      </c>
      <c r="O157" s="14" t="s">
        <v>698</v>
      </c>
      <c r="P157" s="14">
        <v>504</v>
      </c>
      <c r="Q157" s="14" t="s">
        <v>1509</v>
      </c>
      <c r="R157" s="14">
        <v>2</v>
      </c>
      <c r="S157" s="14">
        <v>5</v>
      </c>
      <c r="T157" s="14" t="s">
        <v>1470</v>
      </c>
      <c r="U157" s="14">
        <v>15</v>
      </c>
      <c r="V157" s="42">
        <v>2422543</v>
      </c>
      <c r="W157" s="42">
        <v>0</v>
      </c>
      <c r="X157" s="42" t="s">
        <v>1406</v>
      </c>
      <c r="Y157" s="59"/>
      <c r="Z157" s="14" t="s">
        <v>32</v>
      </c>
      <c r="AA157" s="45">
        <v>45247</v>
      </c>
      <c r="AB157" s="14">
        <v>24</v>
      </c>
      <c r="AC157" s="14">
        <v>22543</v>
      </c>
      <c r="AD157" s="14">
        <v>131</v>
      </c>
      <c r="AE157" s="14" t="s">
        <v>1462</v>
      </c>
      <c r="AF157" s="14">
        <v>130</v>
      </c>
      <c r="AG157" s="14" t="s">
        <v>1402</v>
      </c>
      <c r="AH157" s="14" t="s">
        <v>36</v>
      </c>
      <c r="AI157" s="14" t="s">
        <v>698</v>
      </c>
      <c r="AJ157" s="14">
        <v>504</v>
      </c>
      <c r="AK157" s="14" t="s">
        <v>1407</v>
      </c>
      <c r="AL157" s="14">
        <v>28094</v>
      </c>
      <c r="AM157" s="14" t="s">
        <v>1421</v>
      </c>
      <c r="AN157" s="14" t="s">
        <v>1437</v>
      </c>
      <c r="AO157" s="14">
        <v>28</v>
      </c>
      <c r="AP157" s="14" t="s">
        <v>1416</v>
      </c>
      <c r="AQ157" s="14">
        <v>0</v>
      </c>
      <c r="AR157" s="14" t="s">
        <v>1410</v>
      </c>
      <c r="AT157" s="14" t="s">
        <v>1417</v>
      </c>
      <c r="AU157" s="14" t="s">
        <v>1412</v>
      </c>
    </row>
    <row r="158" spans="1:47" x14ac:dyDescent="0.45">
      <c r="A158" s="42">
        <v>2413150046</v>
      </c>
      <c r="B158" s="14">
        <v>131</v>
      </c>
      <c r="C158" s="14" t="s">
        <v>1462</v>
      </c>
      <c r="D158" s="14">
        <v>130</v>
      </c>
      <c r="E158" s="14" t="s">
        <v>1402</v>
      </c>
      <c r="F158" s="14" t="s">
        <v>860</v>
      </c>
      <c r="G158" s="14" t="s">
        <v>861</v>
      </c>
      <c r="H158" s="14">
        <v>1</v>
      </c>
      <c r="I158" s="14" t="s">
        <v>862</v>
      </c>
      <c r="J158" s="14" t="s">
        <v>1403</v>
      </c>
      <c r="K158" s="14">
        <v>2024</v>
      </c>
      <c r="L158" s="42">
        <v>2024</v>
      </c>
      <c r="M158" s="43">
        <v>45216</v>
      </c>
      <c r="N158" s="14" t="s">
        <v>36</v>
      </c>
      <c r="O158" s="14" t="s">
        <v>704</v>
      </c>
      <c r="P158" s="14">
        <v>852</v>
      </c>
      <c r="Q158" s="14" t="s">
        <v>1472</v>
      </c>
      <c r="R158" s="14">
        <v>2</v>
      </c>
      <c r="S158" s="14">
        <v>2</v>
      </c>
      <c r="T158" s="14" t="s">
        <v>1464</v>
      </c>
      <c r="U158" s="14">
        <v>1</v>
      </c>
      <c r="V158" s="42">
        <v>2422542</v>
      </c>
      <c r="W158" s="42">
        <v>0</v>
      </c>
      <c r="X158" s="42" t="s">
        <v>1406</v>
      </c>
      <c r="Y158" s="59"/>
      <c r="Z158" s="14" t="s">
        <v>32</v>
      </c>
      <c r="AA158" s="45">
        <v>45245</v>
      </c>
      <c r="AB158" s="14">
        <v>24</v>
      </c>
      <c r="AC158" s="14">
        <v>22542</v>
      </c>
      <c r="AD158" s="14">
        <v>131</v>
      </c>
      <c r="AE158" s="14" t="s">
        <v>1462</v>
      </c>
      <c r="AF158" s="14">
        <v>130</v>
      </c>
      <c r="AG158" s="14" t="s">
        <v>1402</v>
      </c>
      <c r="AH158" s="14" t="s">
        <v>36</v>
      </c>
      <c r="AI158" s="14" t="s">
        <v>704</v>
      </c>
      <c r="AJ158" s="14">
        <v>852</v>
      </c>
      <c r="AK158" s="14" t="s">
        <v>1407</v>
      </c>
      <c r="AL158" s="14">
        <v>28094</v>
      </c>
      <c r="AM158" s="14" t="s">
        <v>1421</v>
      </c>
      <c r="AN158" s="14" t="s">
        <v>1437</v>
      </c>
      <c r="AO158" s="14">
        <v>28</v>
      </c>
      <c r="AP158" s="14" t="s">
        <v>1416</v>
      </c>
      <c r="AQ158" s="14">
        <v>0</v>
      </c>
      <c r="AR158" s="14" t="s">
        <v>1410</v>
      </c>
      <c r="AT158" s="14" t="s">
        <v>1417</v>
      </c>
      <c r="AU158" s="14" t="s">
        <v>1412</v>
      </c>
    </row>
    <row r="159" spans="1:47" x14ac:dyDescent="0.45">
      <c r="A159" s="42">
        <v>2413150040</v>
      </c>
      <c r="B159" s="14">
        <v>131</v>
      </c>
      <c r="C159" s="14" t="s">
        <v>1462</v>
      </c>
      <c r="D159" s="14">
        <v>130</v>
      </c>
      <c r="E159" s="14" t="s">
        <v>1402</v>
      </c>
      <c r="F159" s="14" t="s">
        <v>838</v>
      </c>
      <c r="G159" s="14" t="s">
        <v>839</v>
      </c>
      <c r="H159" s="14">
        <v>2</v>
      </c>
      <c r="I159" s="14" t="s">
        <v>840</v>
      </c>
      <c r="J159" s="14" t="s">
        <v>1403</v>
      </c>
      <c r="K159" s="14">
        <v>2024</v>
      </c>
      <c r="L159" s="42">
        <v>2024</v>
      </c>
      <c r="M159" s="43">
        <v>45180</v>
      </c>
      <c r="N159" s="14" t="s">
        <v>36</v>
      </c>
      <c r="O159" s="14" t="s">
        <v>741</v>
      </c>
      <c r="P159" s="14">
        <v>581</v>
      </c>
      <c r="Q159" s="14" t="s">
        <v>1489</v>
      </c>
      <c r="R159" s="14">
        <v>2</v>
      </c>
      <c r="S159" s="14">
        <v>10</v>
      </c>
      <c r="T159" s="14" t="s">
        <v>1490</v>
      </c>
      <c r="U159" s="14">
        <v>9</v>
      </c>
      <c r="V159" s="42">
        <v>2422541</v>
      </c>
      <c r="W159" s="42">
        <v>0</v>
      </c>
      <c r="X159" s="42" t="s">
        <v>1406</v>
      </c>
      <c r="Y159" s="59"/>
      <c r="Z159" s="14" t="s">
        <v>32</v>
      </c>
      <c r="AA159" s="45">
        <v>45245</v>
      </c>
      <c r="AB159" s="14">
        <v>24</v>
      </c>
      <c r="AC159" s="14">
        <v>22541</v>
      </c>
      <c r="AD159" s="14">
        <v>131</v>
      </c>
      <c r="AE159" s="14" t="s">
        <v>1462</v>
      </c>
      <c r="AF159" s="14">
        <v>130</v>
      </c>
      <c r="AG159" s="14" t="s">
        <v>1402</v>
      </c>
      <c r="AH159" s="14" t="s">
        <v>36</v>
      </c>
      <c r="AI159" s="14" t="s">
        <v>741</v>
      </c>
      <c r="AJ159" s="14">
        <v>581</v>
      </c>
      <c r="AK159" s="14" t="s">
        <v>1407</v>
      </c>
      <c r="AL159" s="14">
        <v>28240</v>
      </c>
      <c r="AM159" s="14" t="s">
        <v>1418</v>
      </c>
      <c r="AN159" s="14" t="s">
        <v>1523</v>
      </c>
      <c r="AO159" s="14">
        <v>28</v>
      </c>
      <c r="AP159" s="14" t="s">
        <v>1416</v>
      </c>
      <c r="AQ159" s="14">
        <v>0</v>
      </c>
      <c r="AR159" s="14" t="s">
        <v>1410</v>
      </c>
      <c r="AT159" s="14" t="s">
        <v>1417</v>
      </c>
      <c r="AU159" s="14" t="s">
        <v>1412</v>
      </c>
    </row>
    <row r="160" spans="1:47" x14ac:dyDescent="0.45">
      <c r="A160" s="42">
        <v>2413050036</v>
      </c>
      <c r="B160" s="14">
        <v>130</v>
      </c>
      <c r="C160" s="14" t="s">
        <v>1401</v>
      </c>
      <c r="D160" s="14">
        <v>130</v>
      </c>
      <c r="E160" s="14" t="s">
        <v>1402</v>
      </c>
      <c r="F160" s="14" t="s">
        <v>606</v>
      </c>
      <c r="G160" s="14" t="s">
        <v>607</v>
      </c>
      <c r="H160" s="14">
        <v>1</v>
      </c>
      <c r="I160" s="14" t="s">
        <v>608</v>
      </c>
      <c r="J160" s="14" t="s">
        <v>1403</v>
      </c>
      <c r="K160" s="14">
        <v>0</v>
      </c>
      <c r="L160" s="42">
        <v>2024</v>
      </c>
      <c r="M160" s="43">
        <v>45229</v>
      </c>
      <c r="N160" s="14" t="s">
        <v>36</v>
      </c>
      <c r="O160" s="14" t="s">
        <v>472</v>
      </c>
      <c r="P160" s="14">
        <v>1043</v>
      </c>
      <c r="Q160" s="14" t="s">
        <v>1404</v>
      </c>
      <c r="R160" s="14">
        <v>2</v>
      </c>
      <c r="S160" s="14">
        <v>6</v>
      </c>
      <c r="T160" s="14" t="s">
        <v>1405</v>
      </c>
      <c r="U160" s="14">
        <v>5</v>
      </c>
      <c r="V160" s="42">
        <v>2422029</v>
      </c>
      <c r="W160" s="42">
        <v>0</v>
      </c>
      <c r="X160" s="42" t="s">
        <v>1406</v>
      </c>
      <c r="Z160" s="14" t="s">
        <v>32</v>
      </c>
      <c r="AA160" s="45">
        <v>45244</v>
      </c>
      <c r="AB160" s="14">
        <v>24</v>
      </c>
      <c r="AC160" s="14">
        <v>22029</v>
      </c>
      <c r="AD160" s="14">
        <v>130</v>
      </c>
      <c r="AE160" s="14" t="s">
        <v>1401</v>
      </c>
      <c r="AF160" s="14">
        <v>130</v>
      </c>
      <c r="AG160" s="14" t="s">
        <v>1402</v>
      </c>
      <c r="AH160" s="14" t="s">
        <v>36</v>
      </c>
      <c r="AI160" s="14" t="s">
        <v>472</v>
      </c>
      <c r="AJ160" s="14">
        <v>1043</v>
      </c>
      <c r="AK160" s="14" t="s">
        <v>1407</v>
      </c>
      <c r="AL160" s="14">
        <v>28176</v>
      </c>
      <c r="AM160" s="14" t="s">
        <v>1418</v>
      </c>
      <c r="AN160" s="14" t="s">
        <v>1451</v>
      </c>
      <c r="AO160" s="14">
        <v>28</v>
      </c>
      <c r="AP160" s="14" t="s">
        <v>1416</v>
      </c>
      <c r="AQ160" s="14">
        <v>0</v>
      </c>
      <c r="AR160" s="14" t="s">
        <v>1410</v>
      </c>
      <c r="AT160" s="14" t="s">
        <v>1411</v>
      </c>
      <c r="AU160" s="14" t="s">
        <v>1412</v>
      </c>
    </row>
    <row r="161" spans="1:47" x14ac:dyDescent="0.45">
      <c r="A161" s="42">
        <v>2413150126</v>
      </c>
      <c r="B161" s="14">
        <v>131</v>
      </c>
      <c r="C161" s="14" t="s">
        <v>1462</v>
      </c>
      <c r="D161" s="14">
        <v>130</v>
      </c>
      <c r="E161" s="14" t="s">
        <v>1402</v>
      </c>
      <c r="F161" s="14" t="s">
        <v>1095</v>
      </c>
      <c r="G161" s="14" t="s">
        <v>1096</v>
      </c>
      <c r="H161" s="14">
        <v>1</v>
      </c>
      <c r="I161" s="14" t="s">
        <v>1054</v>
      </c>
      <c r="J161" s="14" t="s">
        <v>1403</v>
      </c>
      <c r="K161" s="14">
        <v>2024</v>
      </c>
      <c r="L161" s="42">
        <v>2024</v>
      </c>
      <c r="M161" s="43">
        <v>45229</v>
      </c>
      <c r="N161" s="14" t="s">
        <v>36</v>
      </c>
      <c r="O161" s="14" t="s">
        <v>704</v>
      </c>
      <c r="P161" s="14">
        <v>428</v>
      </c>
      <c r="Q161" s="14" t="s">
        <v>1463</v>
      </c>
      <c r="R161" s="14">
        <v>2</v>
      </c>
      <c r="S161" s="14">
        <v>2</v>
      </c>
      <c r="T161" s="14" t="s">
        <v>1464</v>
      </c>
      <c r="U161" s="14">
        <v>1</v>
      </c>
      <c r="V161" s="42">
        <v>2422540</v>
      </c>
      <c r="W161" s="42">
        <v>0</v>
      </c>
      <c r="X161" s="42" t="s">
        <v>1406</v>
      </c>
      <c r="Z161" s="14" t="s">
        <v>32</v>
      </c>
      <c r="AA161" s="45">
        <v>45244</v>
      </c>
      <c r="AB161" s="14">
        <v>24</v>
      </c>
      <c r="AC161" s="14">
        <v>22540</v>
      </c>
      <c r="AD161" s="14">
        <v>131</v>
      </c>
      <c r="AE161" s="14" t="s">
        <v>1462</v>
      </c>
      <c r="AF161" s="14">
        <v>130</v>
      </c>
      <c r="AG161" s="14" t="s">
        <v>1402</v>
      </c>
      <c r="AH161" s="14" t="s">
        <v>36</v>
      </c>
      <c r="AI161" s="14" t="s">
        <v>704</v>
      </c>
      <c r="AJ161" s="14">
        <v>428</v>
      </c>
      <c r="AK161" s="14" t="s">
        <v>1407</v>
      </c>
      <c r="AL161" s="14">
        <v>28157</v>
      </c>
      <c r="AM161" s="14" t="s">
        <v>1414</v>
      </c>
      <c r="AN161" s="14" t="s">
        <v>1415</v>
      </c>
      <c r="AO161" s="14">
        <v>28</v>
      </c>
      <c r="AP161" s="14" t="s">
        <v>1416</v>
      </c>
      <c r="AQ161" s="14">
        <v>0</v>
      </c>
      <c r="AR161" s="14" t="s">
        <v>1410</v>
      </c>
      <c r="AT161" s="14" t="s">
        <v>1417</v>
      </c>
      <c r="AU161" s="14" t="s">
        <v>1412</v>
      </c>
    </row>
    <row r="162" spans="1:47" x14ac:dyDescent="0.45">
      <c r="A162" s="42">
        <v>2405750098</v>
      </c>
      <c r="B162" s="14">
        <v>57</v>
      </c>
      <c r="C162" s="14" t="s">
        <v>1551</v>
      </c>
      <c r="D162" s="14">
        <v>57</v>
      </c>
      <c r="E162" s="14" t="s">
        <v>1552</v>
      </c>
      <c r="F162" s="14" t="s">
        <v>413</v>
      </c>
      <c r="G162" s="14" t="s">
        <v>414</v>
      </c>
      <c r="H162" s="14">
        <v>1</v>
      </c>
      <c r="I162" s="14" t="s">
        <v>228</v>
      </c>
      <c r="J162" s="14" t="s">
        <v>1403</v>
      </c>
      <c r="K162" s="14">
        <v>2024</v>
      </c>
      <c r="L162" s="42">
        <v>2024</v>
      </c>
      <c r="M162" s="43">
        <v>45225</v>
      </c>
      <c r="N162" s="14" t="s">
        <v>36</v>
      </c>
      <c r="O162" s="14" t="s">
        <v>51</v>
      </c>
      <c r="P162" s="14">
        <v>967</v>
      </c>
      <c r="Q162" s="14" t="s">
        <v>1618</v>
      </c>
      <c r="R162" s="14">
        <v>1</v>
      </c>
      <c r="S162" s="14">
        <v>2</v>
      </c>
      <c r="T162" s="14" t="s">
        <v>1464</v>
      </c>
      <c r="U162" s="14">
        <v>1</v>
      </c>
      <c r="V162" s="42">
        <v>2480146</v>
      </c>
      <c r="W162" s="42">
        <v>0</v>
      </c>
      <c r="X162" s="42" t="s">
        <v>1406</v>
      </c>
      <c r="Z162" s="14" t="s">
        <v>32</v>
      </c>
      <c r="AA162" s="45">
        <v>45341</v>
      </c>
      <c r="AB162" s="14">
        <v>24</v>
      </c>
      <c r="AC162" s="14">
        <v>80146</v>
      </c>
      <c r="AD162" s="14">
        <v>57</v>
      </c>
      <c r="AE162" s="14" t="s">
        <v>1551</v>
      </c>
      <c r="AF162" s="14">
        <v>57</v>
      </c>
      <c r="AG162" s="14" t="s">
        <v>1552</v>
      </c>
      <c r="AH162" s="14" t="s">
        <v>36</v>
      </c>
      <c r="AI162" s="14" t="s">
        <v>51</v>
      </c>
      <c r="AJ162" s="14">
        <v>967</v>
      </c>
      <c r="AK162" s="14" t="s">
        <v>1407</v>
      </c>
      <c r="AL162" s="14">
        <v>28282</v>
      </c>
      <c r="AM162" s="14" t="s">
        <v>1414</v>
      </c>
      <c r="AN162" s="14" t="s">
        <v>1572</v>
      </c>
      <c r="AO162" s="14">
        <v>28</v>
      </c>
      <c r="AP162" s="14" t="s">
        <v>1416</v>
      </c>
      <c r="AQ162" s="14">
        <v>0</v>
      </c>
      <c r="AR162" s="14" t="s">
        <v>1410</v>
      </c>
      <c r="AT162" s="14" t="s">
        <v>1417</v>
      </c>
      <c r="AU162" s="14" t="s">
        <v>1412</v>
      </c>
    </row>
    <row r="163" spans="1:47" x14ac:dyDescent="0.45">
      <c r="A163" s="42">
        <v>2405750156</v>
      </c>
      <c r="B163" s="14">
        <v>57</v>
      </c>
      <c r="C163" s="14" t="s">
        <v>1551</v>
      </c>
      <c r="D163" s="14">
        <v>57</v>
      </c>
      <c r="E163" s="14" t="s">
        <v>1552</v>
      </c>
      <c r="F163" s="14" t="s">
        <v>1244</v>
      </c>
      <c r="G163" s="14" t="s">
        <v>1245</v>
      </c>
      <c r="H163" s="14">
        <v>1</v>
      </c>
      <c r="I163" s="14" t="s">
        <v>1246</v>
      </c>
      <c r="J163" s="14" t="s">
        <v>1403</v>
      </c>
      <c r="K163" s="14">
        <v>2024</v>
      </c>
      <c r="L163" s="42">
        <v>2024</v>
      </c>
      <c r="M163" s="43">
        <v>45225</v>
      </c>
      <c r="N163" s="14" t="s">
        <v>36</v>
      </c>
      <c r="O163" s="14">
        <v>58</v>
      </c>
      <c r="P163" s="14">
        <v>856</v>
      </c>
      <c r="Q163" s="14" t="s">
        <v>1533</v>
      </c>
      <c r="R163" s="14">
        <v>2</v>
      </c>
      <c r="S163" s="14">
        <v>2</v>
      </c>
      <c r="T163" s="14" t="s">
        <v>1464</v>
      </c>
      <c r="U163" s="14">
        <v>1</v>
      </c>
      <c r="V163" s="42">
        <v>2480073</v>
      </c>
      <c r="W163" s="42">
        <v>0</v>
      </c>
      <c r="X163" s="42" t="s">
        <v>1406</v>
      </c>
      <c r="Z163" s="14" t="s">
        <v>32</v>
      </c>
      <c r="AA163" s="45">
        <v>45258</v>
      </c>
      <c r="AB163" s="14">
        <v>24</v>
      </c>
      <c r="AC163" s="14">
        <v>80073</v>
      </c>
      <c r="AD163" s="14">
        <v>57</v>
      </c>
      <c r="AE163" s="14" t="s">
        <v>1551</v>
      </c>
      <c r="AF163" s="14">
        <v>57</v>
      </c>
      <c r="AG163" s="14" t="s">
        <v>1552</v>
      </c>
      <c r="AH163" s="14" t="s">
        <v>36</v>
      </c>
      <c r="AI163" s="14">
        <v>58</v>
      </c>
      <c r="AJ163" s="14">
        <v>856</v>
      </c>
      <c r="AK163" s="14" t="s">
        <v>1407</v>
      </c>
      <c r="AL163" s="14">
        <v>28185</v>
      </c>
      <c r="AM163" s="14" t="s">
        <v>1418</v>
      </c>
      <c r="AN163" s="14" t="s">
        <v>1438</v>
      </c>
      <c r="AO163" s="14">
        <v>28</v>
      </c>
      <c r="AP163" s="14" t="s">
        <v>1416</v>
      </c>
      <c r="AQ163" s="14">
        <v>0</v>
      </c>
      <c r="AR163" s="14" t="s">
        <v>1410</v>
      </c>
      <c r="AT163" s="14" t="s">
        <v>1417</v>
      </c>
      <c r="AU163" s="14" t="s">
        <v>1412</v>
      </c>
    </row>
    <row r="164" spans="1:47" x14ac:dyDescent="0.45">
      <c r="A164" s="42">
        <v>2405750157</v>
      </c>
      <c r="B164" s="14">
        <v>57</v>
      </c>
      <c r="C164" s="14" t="s">
        <v>1551</v>
      </c>
      <c r="D164" s="14">
        <v>57</v>
      </c>
      <c r="E164" s="14" t="s">
        <v>1552</v>
      </c>
      <c r="F164" s="14" t="s">
        <v>1247</v>
      </c>
      <c r="G164" s="14" t="s">
        <v>1248</v>
      </c>
      <c r="H164" s="14">
        <v>1</v>
      </c>
      <c r="I164" s="14" t="s">
        <v>1249</v>
      </c>
      <c r="J164" s="14" t="s">
        <v>1403</v>
      </c>
      <c r="K164" s="14">
        <v>2024</v>
      </c>
      <c r="L164" s="42">
        <v>2024</v>
      </c>
      <c r="M164" s="43">
        <v>45226</v>
      </c>
      <c r="N164" s="14" t="s">
        <v>36</v>
      </c>
      <c r="O164" s="14">
        <v>58</v>
      </c>
      <c r="P164" s="14">
        <v>428</v>
      </c>
      <c r="Q164" s="14" t="s">
        <v>1463</v>
      </c>
      <c r="R164" s="14">
        <v>2</v>
      </c>
      <c r="S164" s="14">
        <v>2</v>
      </c>
      <c r="T164" s="14" t="s">
        <v>1464</v>
      </c>
      <c r="U164" s="14">
        <v>1</v>
      </c>
      <c r="V164" s="42">
        <v>2480151</v>
      </c>
      <c r="W164" s="42">
        <v>0</v>
      </c>
      <c r="X164" s="42" t="s">
        <v>1406</v>
      </c>
      <c r="Y164" s="111"/>
      <c r="Z164" s="14" t="s">
        <v>32</v>
      </c>
      <c r="AA164" s="45">
        <v>45349</v>
      </c>
      <c r="AB164" s="14">
        <v>24</v>
      </c>
      <c r="AC164" s="14">
        <v>80151</v>
      </c>
      <c r="AD164" s="14">
        <v>57</v>
      </c>
      <c r="AE164" s="14" t="s">
        <v>1551</v>
      </c>
      <c r="AF164" s="14">
        <v>57</v>
      </c>
      <c r="AG164" s="14" t="s">
        <v>1552</v>
      </c>
      <c r="AH164" s="14" t="s">
        <v>36</v>
      </c>
      <c r="AI164" s="14">
        <v>58</v>
      </c>
      <c r="AJ164" s="14">
        <v>428</v>
      </c>
      <c r="AK164" s="14" t="s">
        <v>1473</v>
      </c>
      <c r="AL164" s="14">
        <v>28246</v>
      </c>
      <c r="AM164" s="14" t="s">
        <v>1418</v>
      </c>
      <c r="AN164" s="14" t="s">
        <v>1567</v>
      </c>
      <c r="AO164" s="14">
        <v>28</v>
      </c>
      <c r="AP164" s="14" t="s">
        <v>1416</v>
      </c>
      <c r="AQ164" s="14">
        <v>0</v>
      </c>
      <c r="AR164" s="14" t="s">
        <v>1410</v>
      </c>
      <c r="AT164" s="14" t="s">
        <v>1417</v>
      </c>
      <c r="AU164" s="14" t="s">
        <v>1412</v>
      </c>
    </row>
    <row r="165" spans="1:47" x14ac:dyDescent="0.45">
      <c r="A165" s="42">
        <v>2405750086</v>
      </c>
      <c r="B165" s="14">
        <v>57</v>
      </c>
      <c r="C165" s="14" t="s">
        <v>1551</v>
      </c>
      <c r="D165" s="14">
        <v>57</v>
      </c>
      <c r="E165" s="14" t="s">
        <v>1552</v>
      </c>
      <c r="F165" s="14" t="s">
        <v>374</v>
      </c>
      <c r="G165" s="14" t="s">
        <v>375</v>
      </c>
      <c r="H165" s="14">
        <v>2</v>
      </c>
      <c r="I165" s="14" t="s">
        <v>376</v>
      </c>
      <c r="J165" s="14" t="s">
        <v>1403</v>
      </c>
      <c r="K165" s="14">
        <v>2024</v>
      </c>
      <c r="L165" s="42">
        <v>2024</v>
      </c>
      <c r="M165" s="43">
        <v>45226</v>
      </c>
      <c r="N165" s="14" t="s">
        <v>36</v>
      </c>
      <c r="O165" s="14" t="s">
        <v>51</v>
      </c>
      <c r="P165" s="14">
        <v>427</v>
      </c>
      <c r="Q165" s="14" t="s">
        <v>1479</v>
      </c>
      <c r="R165" s="14">
        <v>1</v>
      </c>
      <c r="S165" s="14">
        <v>2</v>
      </c>
      <c r="T165" s="14" t="s">
        <v>1464</v>
      </c>
      <c r="U165" s="14">
        <v>1</v>
      </c>
      <c r="V165" s="42">
        <v>2480114</v>
      </c>
      <c r="W165" s="42">
        <v>0</v>
      </c>
      <c r="X165" s="42" t="s">
        <v>1406</v>
      </c>
      <c r="Y165" s="111"/>
      <c r="Z165" s="14" t="s">
        <v>32</v>
      </c>
      <c r="AA165" s="45">
        <v>45306</v>
      </c>
      <c r="AB165" s="14">
        <v>24</v>
      </c>
      <c r="AC165" s="14">
        <v>80114</v>
      </c>
      <c r="AD165" s="14">
        <v>57</v>
      </c>
      <c r="AE165" s="14" t="s">
        <v>1551</v>
      </c>
      <c r="AF165" s="14">
        <v>57</v>
      </c>
      <c r="AG165" s="14" t="s">
        <v>1552</v>
      </c>
      <c r="AH165" s="14" t="s">
        <v>36</v>
      </c>
      <c r="AI165" s="14" t="s">
        <v>51</v>
      </c>
      <c r="AJ165" s="14">
        <v>427</v>
      </c>
      <c r="AK165" s="14" t="s">
        <v>1473</v>
      </c>
      <c r="AL165" s="14">
        <v>28022</v>
      </c>
      <c r="AM165" s="14" t="s">
        <v>1421</v>
      </c>
      <c r="AN165" s="14" t="s">
        <v>1571</v>
      </c>
      <c r="AO165" s="14">
        <v>28</v>
      </c>
      <c r="AP165" s="14" t="s">
        <v>1416</v>
      </c>
      <c r="AQ165" s="14">
        <v>0</v>
      </c>
      <c r="AR165" s="14" t="s">
        <v>1410</v>
      </c>
      <c r="AT165" s="14" t="s">
        <v>1417</v>
      </c>
      <c r="AU165" s="14" t="s">
        <v>1412</v>
      </c>
    </row>
    <row r="166" spans="1:47" x14ac:dyDescent="0.45">
      <c r="A166" s="42">
        <v>2413050016</v>
      </c>
      <c r="B166" s="14">
        <v>130</v>
      </c>
      <c r="C166" s="14" t="s">
        <v>1401</v>
      </c>
      <c r="D166" s="14">
        <v>130</v>
      </c>
      <c r="E166" s="14" t="s">
        <v>1402</v>
      </c>
      <c r="F166" s="14" t="s">
        <v>537</v>
      </c>
      <c r="G166" s="14" t="s">
        <v>538</v>
      </c>
      <c r="H166" s="14">
        <v>1</v>
      </c>
      <c r="I166" s="14" t="s">
        <v>539</v>
      </c>
      <c r="J166" s="14" t="s">
        <v>1403</v>
      </c>
      <c r="K166" s="14">
        <v>2024</v>
      </c>
      <c r="L166" s="42">
        <v>2024</v>
      </c>
      <c r="M166" s="43">
        <v>45229</v>
      </c>
      <c r="N166" s="14" t="s">
        <v>36</v>
      </c>
      <c r="O166" s="14" t="s">
        <v>485</v>
      </c>
      <c r="P166" s="14">
        <v>1131</v>
      </c>
      <c r="Q166" s="14" t="s">
        <v>1413</v>
      </c>
      <c r="R166" s="14">
        <v>3</v>
      </c>
      <c r="S166" s="14">
        <v>6</v>
      </c>
      <c r="T166" s="14" t="s">
        <v>1405</v>
      </c>
      <c r="U166" s="14">
        <v>5</v>
      </c>
      <c r="V166" s="42">
        <v>2422028</v>
      </c>
      <c r="W166" s="42">
        <v>0</v>
      </c>
      <c r="X166" s="42" t="s">
        <v>1406</v>
      </c>
      <c r="Y166" s="59"/>
      <c r="Z166" s="14" t="s">
        <v>32</v>
      </c>
      <c r="AA166" s="45">
        <v>45243</v>
      </c>
      <c r="AB166" s="14">
        <v>24</v>
      </c>
      <c r="AC166" s="14">
        <v>22028</v>
      </c>
      <c r="AD166" s="14">
        <v>130</v>
      </c>
      <c r="AE166" s="14" t="s">
        <v>1401</v>
      </c>
      <c r="AF166" s="14">
        <v>130</v>
      </c>
      <c r="AG166" s="14" t="s">
        <v>1402</v>
      </c>
      <c r="AH166" s="14" t="s">
        <v>36</v>
      </c>
      <c r="AI166" s="14" t="s">
        <v>485</v>
      </c>
      <c r="AJ166" s="14">
        <v>1131</v>
      </c>
      <c r="AK166" s="14" t="s">
        <v>1407</v>
      </c>
      <c r="AL166" s="14">
        <v>1355</v>
      </c>
      <c r="AM166" s="14" t="s">
        <v>1421</v>
      </c>
      <c r="AN166" s="14" t="s">
        <v>1442</v>
      </c>
      <c r="AO166" s="14">
        <v>1</v>
      </c>
      <c r="AP166" s="14" t="s">
        <v>1443</v>
      </c>
      <c r="AQ166" s="14">
        <v>0</v>
      </c>
      <c r="AR166" s="14" t="s">
        <v>1410</v>
      </c>
      <c r="AT166" s="14" t="s">
        <v>1417</v>
      </c>
      <c r="AU166" s="14" t="s">
        <v>1412</v>
      </c>
    </row>
    <row r="167" spans="1:47" x14ac:dyDescent="0.45">
      <c r="A167" s="42">
        <v>2405750033</v>
      </c>
      <c r="B167" s="14">
        <v>57</v>
      </c>
      <c r="C167" s="14" t="s">
        <v>1551</v>
      </c>
      <c r="D167" s="14">
        <v>57</v>
      </c>
      <c r="E167" s="14" t="s">
        <v>1552</v>
      </c>
      <c r="F167" s="14" t="s">
        <v>180</v>
      </c>
      <c r="G167" s="14" t="s">
        <v>181</v>
      </c>
      <c r="H167" s="14">
        <v>1</v>
      </c>
      <c r="I167" s="14" t="s">
        <v>182</v>
      </c>
      <c r="J167" s="14" t="s">
        <v>1403</v>
      </c>
      <c r="K167" s="14">
        <v>2024</v>
      </c>
      <c r="L167" s="42">
        <v>2024</v>
      </c>
      <c r="M167" s="43">
        <v>45226</v>
      </c>
      <c r="N167" s="14" t="s">
        <v>36</v>
      </c>
      <c r="O167" s="14">
        <v>58</v>
      </c>
      <c r="P167" s="14">
        <v>428</v>
      </c>
      <c r="Q167" s="14" t="s">
        <v>1463</v>
      </c>
      <c r="R167" s="14">
        <v>2</v>
      </c>
      <c r="S167" s="14">
        <v>2</v>
      </c>
      <c r="T167" s="14" t="s">
        <v>1464</v>
      </c>
      <c r="U167" s="14">
        <v>1</v>
      </c>
      <c r="V167" s="42">
        <v>2480087</v>
      </c>
      <c r="W167" s="42">
        <v>0</v>
      </c>
      <c r="X167" s="42" t="s">
        <v>1406</v>
      </c>
      <c r="Z167" s="14" t="s">
        <v>32</v>
      </c>
      <c r="AA167" s="45">
        <v>45274</v>
      </c>
      <c r="AB167" s="14">
        <v>24</v>
      </c>
      <c r="AC167" s="14">
        <v>80087</v>
      </c>
      <c r="AD167" s="14">
        <v>57</v>
      </c>
      <c r="AE167" s="14" t="s">
        <v>1551</v>
      </c>
      <c r="AF167" s="14">
        <v>57</v>
      </c>
      <c r="AG167" s="14" t="s">
        <v>1552</v>
      </c>
      <c r="AH167" s="14" t="s">
        <v>36</v>
      </c>
      <c r="AI167" s="14" t="s">
        <v>51</v>
      </c>
      <c r="AJ167" s="14">
        <v>428</v>
      </c>
      <c r="AK167" s="14" t="s">
        <v>1473</v>
      </c>
      <c r="AL167" s="14">
        <v>28034</v>
      </c>
      <c r="AM167" s="14" t="s">
        <v>1418</v>
      </c>
      <c r="AN167" s="14" t="s">
        <v>1599</v>
      </c>
      <c r="AO167" s="14">
        <v>28</v>
      </c>
      <c r="AP167" s="14" t="s">
        <v>1416</v>
      </c>
      <c r="AQ167" s="14">
        <v>0</v>
      </c>
      <c r="AR167" s="14" t="s">
        <v>1410</v>
      </c>
      <c r="AT167" s="14" t="s">
        <v>1417</v>
      </c>
      <c r="AU167" s="14" t="s">
        <v>1412</v>
      </c>
    </row>
    <row r="168" spans="1:47" x14ac:dyDescent="0.45">
      <c r="A168" s="42">
        <v>2413150053</v>
      </c>
      <c r="B168" s="14">
        <v>131</v>
      </c>
      <c r="C168" s="14" t="s">
        <v>1462</v>
      </c>
      <c r="D168" s="14">
        <v>130</v>
      </c>
      <c r="E168" s="14" t="s">
        <v>1402</v>
      </c>
      <c r="F168" s="14" t="s">
        <v>882</v>
      </c>
      <c r="G168" s="14" t="s">
        <v>883</v>
      </c>
      <c r="H168" s="14">
        <v>2</v>
      </c>
      <c r="I168" s="14" t="s">
        <v>884</v>
      </c>
      <c r="J168" s="14" t="s">
        <v>1403</v>
      </c>
      <c r="K168" s="14">
        <v>2024</v>
      </c>
      <c r="L168" s="42">
        <v>2024</v>
      </c>
      <c r="M168" s="43">
        <v>45226</v>
      </c>
      <c r="N168" s="14" t="s">
        <v>36</v>
      </c>
      <c r="O168" s="14" t="s">
        <v>704</v>
      </c>
      <c r="P168" s="14">
        <v>968</v>
      </c>
      <c r="Q168" s="14" t="s">
        <v>1474</v>
      </c>
      <c r="R168" s="14">
        <v>2</v>
      </c>
      <c r="S168" s="14">
        <v>2</v>
      </c>
      <c r="T168" s="14" t="s">
        <v>1464</v>
      </c>
      <c r="U168" s="14">
        <v>1</v>
      </c>
      <c r="V168" s="42">
        <v>2422537</v>
      </c>
      <c r="W168" s="42">
        <v>0</v>
      </c>
      <c r="X168" s="42" t="s">
        <v>1406</v>
      </c>
      <c r="Z168" s="14" t="s">
        <v>32</v>
      </c>
      <c r="AA168" s="45">
        <v>45243</v>
      </c>
      <c r="AB168" s="14">
        <v>24</v>
      </c>
      <c r="AC168" s="14">
        <v>22537</v>
      </c>
      <c r="AD168" s="14">
        <v>131</v>
      </c>
      <c r="AE168" s="14" t="s">
        <v>1462</v>
      </c>
      <c r="AF168" s="14">
        <v>130</v>
      </c>
      <c r="AG168" s="14" t="s">
        <v>1402</v>
      </c>
      <c r="AH168" s="14" t="s">
        <v>36</v>
      </c>
      <c r="AI168" s="14" t="s">
        <v>704</v>
      </c>
      <c r="AJ168" s="14">
        <v>968</v>
      </c>
      <c r="AK168" s="14" t="s">
        <v>1407</v>
      </c>
      <c r="AL168" s="14">
        <v>28231</v>
      </c>
      <c r="AM168" s="14" t="s">
        <v>1418</v>
      </c>
      <c r="AN168" s="14" t="s">
        <v>1517</v>
      </c>
      <c r="AO168" s="14">
        <v>28</v>
      </c>
      <c r="AP168" s="14" t="s">
        <v>1416</v>
      </c>
      <c r="AQ168" s="14">
        <v>0</v>
      </c>
      <c r="AR168" s="14" t="s">
        <v>1410</v>
      </c>
      <c r="AT168" s="14" t="s">
        <v>1417</v>
      </c>
      <c r="AU168" s="14" t="s">
        <v>1412</v>
      </c>
    </row>
    <row r="169" spans="1:47" x14ac:dyDescent="0.45">
      <c r="A169" s="42">
        <v>2413150065</v>
      </c>
      <c r="B169" s="14">
        <v>131</v>
      </c>
      <c r="C169" s="14" t="s">
        <v>1462</v>
      </c>
      <c r="D169" s="14">
        <v>130</v>
      </c>
      <c r="E169" s="14" t="s">
        <v>1402</v>
      </c>
      <c r="F169" s="14" t="s">
        <v>919</v>
      </c>
      <c r="G169" s="14" t="s">
        <v>920</v>
      </c>
      <c r="H169" s="14">
        <v>1</v>
      </c>
      <c r="I169" s="14" t="s">
        <v>531</v>
      </c>
      <c r="J169" s="14" t="s">
        <v>1403</v>
      </c>
      <c r="K169" s="14">
        <v>2024</v>
      </c>
      <c r="L169" s="42">
        <v>2024</v>
      </c>
      <c r="M169" s="43">
        <v>45226</v>
      </c>
      <c r="N169" s="14" t="s">
        <v>36</v>
      </c>
      <c r="O169" s="14" t="s">
        <v>698</v>
      </c>
      <c r="P169" s="14">
        <v>504</v>
      </c>
      <c r="Q169" s="14" t="s">
        <v>1509</v>
      </c>
      <c r="R169" s="14">
        <v>2</v>
      </c>
      <c r="S169" s="14">
        <v>5</v>
      </c>
      <c r="T169" s="14" t="s">
        <v>1470</v>
      </c>
      <c r="U169" s="14">
        <v>15</v>
      </c>
      <c r="V169" s="42">
        <v>2422539</v>
      </c>
      <c r="W169" s="42">
        <v>0</v>
      </c>
      <c r="X169" s="42" t="s">
        <v>1406</v>
      </c>
      <c r="Z169" s="14" t="s">
        <v>32</v>
      </c>
      <c r="AA169" s="45">
        <v>45243</v>
      </c>
      <c r="AB169" s="14">
        <v>24</v>
      </c>
      <c r="AC169" s="14">
        <v>22539</v>
      </c>
      <c r="AD169" s="14">
        <v>131</v>
      </c>
      <c r="AE169" s="14" t="s">
        <v>1462</v>
      </c>
      <c r="AF169" s="14">
        <v>130</v>
      </c>
      <c r="AG169" s="14" t="s">
        <v>1402</v>
      </c>
      <c r="AH169" s="14" t="s">
        <v>36</v>
      </c>
      <c r="AI169" s="14" t="s">
        <v>698</v>
      </c>
      <c r="AJ169" s="14">
        <v>504</v>
      </c>
      <c r="AK169" s="14" t="s">
        <v>1407</v>
      </c>
      <c r="AL169" s="14">
        <v>28175</v>
      </c>
      <c r="AM169" s="14" t="s">
        <v>1418</v>
      </c>
      <c r="AN169" s="14" t="s">
        <v>1459</v>
      </c>
      <c r="AO169" s="14">
        <v>28</v>
      </c>
      <c r="AP169" s="14" t="s">
        <v>1416</v>
      </c>
      <c r="AQ169" s="14">
        <v>0</v>
      </c>
      <c r="AR169" s="14" t="s">
        <v>1410</v>
      </c>
      <c r="AT169" s="14" t="s">
        <v>1417</v>
      </c>
      <c r="AU169" s="14" t="s">
        <v>1412</v>
      </c>
    </row>
    <row r="170" spans="1:47" x14ac:dyDescent="0.45">
      <c r="A170" s="42">
        <v>2413150041</v>
      </c>
      <c r="B170" s="14">
        <v>131</v>
      </c>
      <c r="C170" s="14" t="s">
        <v>1462</v>
      </c>
      <c r="D170" s="14">
        <v>130</v>
      </c>
      <c r="E170" s="14" t="s">
        <v>1402</v>
      </c>
      <c r="F170" s="14" t="s">
        <v>842</v>
      </c>
      <c r="G170" s="14" t="s">
        <v>843</v>
      </c>
      <c r="H170" s="14">
        <v>1</v>
      </c>
      <c r="I170" s="14" t="s">
        <v>844</v>
      </c>
      <c r="J170" s="14" t="s">
        <v>1403</v>
      </c>
      <c r="K170" s="14">
        <v>2024</v>
      </c>
      <c r="L170" s="42">
        <v>2024</v>
      </c>
      <c r="M170" s="43">
        <v>45225</v>
      </c>
      <c r="N170" s="14" t="s">
        <v>36</v>
      </c>
      <c r="O170" s="14" t="s">
        <v>704</v>
      </c>
      <c r="P170" s="14">
        <v>428</v>
      </c>
      <c r="Q170" s="14" t="s">
        <v>1463</v>
      </c>
      <c r="R170" s="14">
        <v>2</v>
      </c>
      <c r="S170" s="14">
        <v>2</v>
      </c>
      <c r="T170" s="14" t="s">
        <v>1464</v>
      </c>
      <c r="U170" s="14">
        <v>1</v>
      </c>
      <c r="V170" s="42">
        <v>2422538</v>
      </c>
      <c r="W170" s="42">
        <v>0</v>
      </c>
      <c r="X170" s="42" t="s">
        <v>1406</v>
      </c>
      <c r="Z170" s="14" t="s">
        <v>32</v>
      </c>
      <c r="AA170" s="45">
        <v>45243</v>
      </c>
      <c r="AB170" s="14">
        <v>24</v>
      </c>
      <c r="AC170" s="14">
        <v>22538</v>
      </c>
      <c r="AD170" s="14">
        <v>131</v>
      </c>
      <c r="AE170" s="14" t="s">
        <v>1462</v>
      </c>
      <c r="AF170" s="14">
        <v>130</v>
      </c>
      <c r="AG170" s="14" t="s">
        <v>1402</v>
      </c>
      <c r="AH170" s="14" t="s">
        <v>36</v>
      </c>
      <c r="AI170" s="14" t="s">
        <v>704</v>
      </c>
      <c r="AJ170" s="14">
        <v>428</v>
      </c>
      <c r="AK170" s="14" t="s">
        <v>1407</v>
      </c>
      <c r="AL170" s="14">
        <v>28100</v>
      </c>
      <c r="AM170" s="14" t="s">
        <v>1418</v>
      </c>
      <c r="AN170" s="14" t="s">
        <v>1434</v>
      </c>
      <c r="AO170" s="14">
        <v>28</v>
      </c>
      <c r="AP170" s="14" t="s">
        <v>1416</v>
      </c>
      <c r="AQ170" s="14">
        <v>0</v>
      </c>
      <c r="AR170" s="14" t="s">
        <v>1410</v>
      </c>
      <c r="AT170" s="14" t="s">
        <v>1417</v>
      </c>
      <c r="AU170" s="14" t="s">
        <v>1412</v>
      </c>
    </row>
    <row r="171" spans="1:47" x14ac:dyDescent="0.45">
      <c r="A171" s="42">
        <v>2413150110</v>
      </c>
      <c r="B171" s="14">
        <v>131</v>
      </c>
      <c r="C171" s="14" t="s">
        <v>1462</v>
      </c>
      <c r="D171" s="14">
        <v>130</v>
      </c>
      <c r="E171" s="14" t="s">
        <v>1402</v>
      </c>
      <c r="F171" s="14" t="s">
        <v>1052</v>
      </c>
      <c r="G171" s="14" t="s">
        <v>1053</v>
      </c>
      <c r="H171" s="14">
        <v>1</v>
      </c>
      <c r="I171" s="14" t="s">
        <v>1054</v>
      </c>
      <c r="J171" s="14" t="s">
        <v>1403</v>
      </c>
      <c r="K171" s="14">
        <v>2024</v>
      </c>
      <c r="L171" s="42">
        <v>2024</v>
      </c>
      <c r="M171" s="43">
        <v>45225</v>
      </c>
      <c r="N171" s="14" t="s">
        <v>36</v>
      </c>
      <c r="O171" s="14" t="s">
        <v>704</v>
      </c>
      <c r="P171" s="14">
        <v>428</v>
      </c>
      <c r="Q171" s="14" t="s">
        <v>1463</v>
      </c>
      <c r="R171" s="14">
        <v>2</v>
      </c>
      <c r="S171" s="14">
        <v>2</v>
      </c>
      <c r="T171" s="14" t="s">
        <v>1464</v>
      </c>
      <c r="U171" s="14">
        <v>1</v>
      </c>
      <c r="V171" s="42">
        <v>2422536</v>
      </c>
      <c r="W171" s="42">
        <v>0</v>
      </c>
      <c r="X171" s="42" t="s">
        <v>1406</v>
      </c>
      <c r="Z171" s="14" t="s">
        <v>32</v>
      </c>
      <c r="AA171" s="45">
        <v>45243</v>
      </c>
      <c r="AB171" s="14">
        <v>24</v>
      </c>
      <c r="AC171" s="14">
        <v>22536</v>
      </c>
      <c r="AD171" s="14">
        <v>131</v>
      </c>
      <c r="AE171" s="14" t="s">
        <v>1462</v>
      </c>
      <c r="AF171" s="14">
        <v>130</v>
      </c>
      <c r="AG171" s="14" t="s">
        <v>1402</v>
      </c>
      <c r="AH171" s="14" t="s">
        <v>36</v>
      </c>
      <c r="AI171" s="14" t="s">
        <v>704</v>
      </c>
      <c r="AJ171" s="14">
        <v>428</v>
      </c>
      <c r="AK171" s="14" t="s">
        <v>1407</v>
      </c>
      <c r="AL171" s="14">
        <v>28094</v>
      </c>
      <c r="AM171" s="14" t="s">
        <v>1421</v>
      </c>
      <c r="AN171" s="14" t="s">
        <v>1437</v>
      </c>
      <c r="AO171" s="14">
        <v>28</v>
      </c>
      <c r="AP171" s="14" t="s">
        <v>1416</v>
      </c>
      <c r="AQ171" s="14">
        <v>0</v>
      </c>
      <c r="AR171" s="14" t="s">
        <v>1410</v>
      </c>
      <c r="AT171" s="14" t="s">
        <v>1417</v>
      </c>
      <c r="AU171" s="14" t="s">
        <v>1412</v>
      </c>
    </row>
    <row r="172" spans="1:47" x14ac:dyDescent="0.45">
      <c r="A172" s="42">
        <v>2405750148</v>
      </c>
      <c r="B172" s="14">
        <v>57</v>
      </c>
      <c r="C172" s="14" t="s">
        <v>1551</v>
      </c>
      <c r="D172" s="14">
        <v>57</v>
      </c>
      <c r="E172" s="14" t="s">
        <v>1552</v>
      </c>
      <c r="F172" s="14" t="s">
        <v>1216</v>
      </c>
      <c r="G172" s="14" t="s">
        <v>1217</v>
      </c>
      <c r="H172" s="14">
        <v>1</v>
      </c>
      <c r="I172" s="14" t="s">
        <v>1218</v>
      </c>
      <c r="J172" s="14" t="s">
        <v>1403</v>
      </c>
      <c r="K172" s="14">
        <v>2024</v>
      </c>
      <c r="L172" s="42">
        <v>2024</v>
      </c>
      <c r="M172" s="43">
        <v>45226</v>
      </c>
      <c r="N172" s="14" t="s">
        <v>36</v>
      </c>
      <c r="O172" s="14">
        <v>58</v>
      </c>
      <c r="P172" s="14">
        <v>428</v>
      </c>
      <c r="Q172" s="14" t="s">
        <v>1463</v>
      </c>
      <c r="R172" s="14">
        <v>2</v>
      </c>
      <c r="S172" s="14">
        <v>2</v>
      </c>
      <c r="T172" s="14" t="s">
        <v>1464</v>
      </c>
      <c r="U172" s="14">
        <v>1</v>
      </c>
      <c r="V172" s="42">
        <v>2480065</v>
      </c>
      <c r="W172" s="42">
        <v>0</v>
      </c>
      <c r="X172" s="42" t="s">
        <v>1406</v>
      </c>
      <c r="Y172" s="111"/>
      <c r="Z172" s="14" t="s">
        <v>32</v>
      </c>
      <c r="AA172" s="45">
        <v>45247</v>
      </c>
      <c r="AB172" s="14">
        <v>24</v>
      </c>
      <c r="AC172" s="14">
        <v>80065</v>
      </c>
      <c r="AD172" s="14">
        <v>57</v>
      </c>
      <c r="AE172" s="14" t="s">
        <v>1551</v>
      </c>
      <c r="AF172" s="14">
        <v>57</v>
      </c>
      <c r="AG172" s="14" t="s">
        <v>1552</v>
      </c>
      <c r="AH172" s="14" t="s">
        <v>36</v>
      </c>
      <c r="AI172" s="14">
        <v>58</v>
      </c>
      <c r="AJ172" s="14">
        <v>428</v>
      </c>
      <c r="AK172" s="14" t="s">
        <v>1407</v>
      </c>
      <c r="AL172" s="14">
        <v>28282</v>
      </c>
      <c r="AM172" s="14" t="s">
        <v>1414</v>
      </c>
      <c r="AN172" s="14" t="s">
        <v>1572</v>
      </c>
      <c r="AO172" s="14">
        <v>28</v>
      </c>
      <c r="AP172" s="14" t="s">
        <v>1416</v>
      </c>
      <c r="AQ172" s="14">
        <v>0</v>
      </c>
      <c r="AR172" s="14" t="s">
        <v>1410</v>
      </c>
      <c r="AT172" s="14" t="s">
        <v>1417</v>
      </c>
      <c r="AU172" s="14" t="s">
        <v>1412</v>
      </c>
    </row>
    <row r="173" spans="1:47" x14ac:dyDescent="0.45">
      <c r="A173" s="42">
        <v>2405750109</v>
      </c>
      <c r="B173" s="14">
        <v>57</v>
      </c>
      <c r="C173" s="14" t="s">
        <v>1551</v>
      </c>
      <c r="D173" s="14">
        <v>57</v>
      </c>
      <c r="E173" s="14" t="s">
        <v>1552</v>
      </c>
      <c r="F173" s="14" t="s">
        <v>452</v>
      </c>
      <c r="G173" s="14" t="s">
        <v>453</v>
      </c>
      <c r="H173" s="14">
        <v>1</v>
      </c>
      <c r="I173" s="14" t="s">
        <v>454</v>
      </c>
      <c r="J173" s="14" t="s">
        <v>1403</v>
      </c>
      <c r="K173" s="14">
        <v>2024</v>
      </c>
      <c r="L173" s="42">
        <v>2024</v>
      </c>
      <c r="M173" s="43">
        <v>45229</v>
      </c>
      <c r="N173" s="14" t="s">
        <v>36</v>
      </c>
      <c r="O173" s="14" t="s">
        <v>51</v>
      </c>
      <c r="P173" s="14">
        <v>427</v>
      </c>
      <c r="Q173" s="14" t="s">
        <v>1479</v>
      </c>
      <c r="R173" s="14">
        <v>1</v>
      </c>
      <c r="S173" s="14">
        <v>2</v>
      </c>
      <c r="T173" s="14" t="s">
        <v>1464</v>
      </c>
      <c r="U173" s="14">
        <v>1</v>
      </c>
      <c r="V173" s="42">
        <v>2480194</v>
      </c>
      <c r="W173" s="42">
        <v>0</v>
      </c>
      <c r="X173" s="42" t="s">
        <v>1406</v>
      </c>
      <c r="Y173" s="111"/>
      <c r="Z173" s="14" t="s">
        <v>32</v>
      </c>
      <c r="AA173" s="45">
        <v>45378</v>
      </c>
      <c r="AB173" s="14">
        <v>24</v>
      </c>
      <c r="AC173" s="14">
        <v>80194</v>
      </c>
      <c r="AD173" s="14">
        <v>57</v>
      </c>
      <c r="AE173" s="14" t="s">
        <v>1551</v>
      </c>
      <c r="AF173" s="14">
        <v>57</v>
      </c>
      <c r="AG173" s="14" t="s">
        <v>1552</v>
      </c>
      <c r="AH173" s="14" t="s">
        <v>36</v>
      </c>
      <c r="AI173" s="14" t="s">
        <v>51</v>
      </c>
      <c r="AJ173" s="14">
        <v>427</v>
      </c>
      <c r="AK173" s="14" t="s">
        <v>1473</v>
      </c>
      <c r="AL173" s="14">
        <v>28027</v>
      </c>
      <c r="AM173" s="14" t="s">
        <v>1418</v>
      </c>
      <c r="AN173" s="14" t="s">
        <v>1624</v>
      </c>
      <c r="AO173" s="14">
        <v>28</v>
      </c>
      <c r="AP173" s="14" t="s">
        <v>1416</v>
      </c>
      <c r="AQ173" s="14">
        <v>0</v>
      </c>
      <c r="AR173" s="14" t="s">
        <v>1410</v>
      </c>
      <c r="AT173" s="14" t="s">
        <v>1417</v>
      </c>
      <c r="AU173" s="14" t="s">
        <v>1412</v>
      </c>
    </row>
    <row r="174" spans="1:47" x14ac:dyDescent="0.45">
      <c r="A174" s="42">
        <v>2405750052</v>
      </c>
      <c r="B174" s="14">
        <v>57</v>
      </c>
      <c r="C174" s="14" t="s">
        <v>1551</v>
      </c>
      <c r="D174" s="14">
        <v>57</v>
      </c>
      <c r="E174" s="14" t="s">
        <v>1552</v>
      </c>
      <c r="F174" s="14" t="s">
        <v>250</v>
      </c>
      <c r="G174" s="14" t="s">
        <v>251</v>
      </c>
      <c r="H174" s="14">
        <v>1</v>
      </c>
      <c r="I174" s="14" t="s">
        <v>252</v>
      </c>
      <c r="J174" s="14" t="s">
        <v>1403</v>
      </c>
      <c r="K174" s="14">
        <v>2024</v>
      </c>
      <c r="L174" s="42">
        <v>2024</v>
      </c>
      <c r="M174" s="43">
        <v>45229</v>
      </c>
      <c r="N174" s="14" t="s">
        <v>36</v>
      </c>
      <c r="O174" s="14">
        <v>58</v>
      </c>
      <c r="P174" s="14">
        <v>290</v>
      </c>
      <c r="Q174" s="14" t="s">
        <v>1496</v>
      </c>
      <c r="R174" s="14">
        <v>2</v>
      </c>
      <c r="S174" s="14">
        <v>2</v>
      </c>
      <c r="T174" s="14" t="s">
        <v>1464</v>
      </c>
      <c r="U174" s="14">
        <v>1</v>
      </c>
      <c r="V174" s="42">
        <v>2480110</v>
      </c>
      <c r="W174" s="42">
        <v>0</v>
      </c>
      <c r="X174" s="42" t="s">
        <v>1406</v>
      </c>
      <c r="Y174" s="111"/>
      <c r="Z174" s="14" t="s">
        <v>32</v>
      </c>
      <c r="AA174" s="45">
        <v>45306</v>
      </c>
      <c r="AB174" s="14">
        <v>24</v>
      </c>
      <c r="AC174" s="14">
        <v>80110</v>
      </c>
      <c r="AD174" s="14">
        <v>57</v>
      </c>
      <c r="AE174" s="14" t="s">
        <v>1551</v>
      </c>
      <c r="AF174" s="14">
        <v>57</v>
      </c>
      <c r="AG174" s="14" t="s">
        <v>1552</v>
      </c>
      <c r="AH174" s="14" t="s">
        <v>36</v>
      </c>
      <c r="AI174" s="14">
        <v>58</v>
      </c>
      <c r="AJ174" s="14">
        <v>290</v>
      </c>
      <c r="AK174" s="14" t="s">
        <v>1473</v>
      </c>
      <c r="AL174" s="14">
        <v>28034</v>
      </c>
      <c r="AM174" s="14" t="s">
        <v>1418</v>
      </c>
      <c r="AN174" s="14" t="s">
        <v>1599</v>
      </c>
      <c r="AO174" s="14">
        <v>28</v>
      </c>
      <c r="AP174" s="14" t="s">
        <v>1416</v>
      </c>
      <c r="AQ174" s="14">
        <v>0</v>
      </c>
      <c r="AR174" s="14" t="s">
        <v>1410</v>
      </c>
      <c r="AT174" s="14" t="s">
        <v>1417</v>
      </c>
      <c r="AU174" s="14" t="s">
        <v>1412</v>
      </c>
    </row>
    <row r="175" spans="1:47" x14ac:dyDescent="0.45">
      <c r="A175" s="42">
        <v>2405750163</v>
      </c>
      <c r="B175" s="14">
        <v>57</v>
      </c>
      <c r="C175" s="14" t="s">
        <v>1551</v>
      </c>
      <c r="D175" s="14">
        <v>57</v>
      </c>
      <c r="E175" s="14" t="s">
        <v>1552</v>
      </c>
      <c r="F175" s="14" t="s">
        <v>1270</v>
      </c>
      <c r="G175" s="14" t="s">
        <v>1271</v>
      </c>
      <c r="H175" s="14">
        <v>1</v>
      </c>
      <c r="I175" s="14" t="s">
        <v>311</v>
      </c>
      <c r="J175" s="14" t="s">
        <v>1403</v>
      </c>
      <c r="K175" s="14">
        <v>2024</v>
      </c>
      <c r="L175" s="42">
        <v>2024</v>
      </c>
      <c r="M175" s="43">
        <v>45229</v>
      </c>
      <c r="N175" s="14" t="s">
        <v>36</v>
      </c>
      <c r="O175" s="14">
        <v>7</v>
      </c>
      <c r="P175" s="14">
        <v>266</v>
      </c>
      <c r="Q175" s="14" t="s">
        <v>1526</v>
      </c>
      <c r="R175" s="14">
        <v>2</v>
      </c>
      <c r="S175" s="14">
        <v>1</v>
      </c>
      <c r="T175" s="14" t="s">
        <v>1527</v>
      </c>
      <c r="U175" s="14">
        <v>3</v>
      </c>
      <c r="V175" s="42">
        <v>2480088</v>
      </c>
      <c r="W175" s="42">
        <v>0</v>
      </c>
      <c r="X175" s="42" t="s">
        <v>1406</v>
      </c>
      <c r="Y175" s="111"/>
      <c r="Z175" s="14" t="s">
        <v>32</v>
      </c>
      <c r="AA175" s="45">
        <v>45274</v>
      </c>
      <c r="AB175" s="14">
        <v>24</v>
      </c>
      <c r="AC175" s="14">
        <v>80088</v>
      </c>
      <c r="AD175" s="14">
        <v>57</v>
      </c>
      <c r="AE175" s="14" t="s">
        <v>1551</v>
      </c>
      <c r="AF175" s="14">
        <v>57</v>
      </c>
      <c r="AG175" s="14" t="s">
        <v>1552</v>
      </c>
      <c r="AH175" s="14" t="s">
        <v>36</v>
      </c>
      <c r="AI175" s="14">
        <v>7</v>
      </c>
      <c r="AJ175" s="14">
        <v>266</v>
      </c>
      <c r="AK175" s="14" t="s">
        <v>1407</v>
      </c>
      <c r="AL175" s="14">
        <v>28009</v>
      </c>
      <c r="AM175" s="14" t="s">
        <v>1418</v>
      </c>
      <c r="AN175" s="14" t="s">
        <v>1607</v>
      </c>
      <c r="AO175" s="14">
        <v>28</v>
      </c>
      <c r="AP175" s="14" t="s">
        <v>1416</v>
      </c>
      <c r="AQ175" s="14">
        <v>0</v>
      </c>
      <c r="AR175" s="14" t="s">
        <v>1410</v>
      </c>
      <c r="AT175" s="14" t="s">
        <v>1417</v>
      </c>
      <c r="AU175" s="14" t="s">
        <v>1412</v>
      </c>
    </row>
    <row r="176" spans="1:47" x14ac:dyDescent="0.45">
      <c r="A176" s="42">
        <v>2405750166</v>
      </c>
      <c r="B176" s="14">
        <v>57</v>
      </c>
      <c r="C176" s="14" t="s">
        <v>1551</v>
      </c>
      <c r="D176" s="14">
        <v>57</v>
      </c>
      <c r="E176" s="14" t="s">
        <v>1552</v>
      </c>
      <c r="F176" s="14" t="s">
        <v>1278</v>
      </c>
      <c r="G176" s="14" t="s">
        <v>1279</v>
      </c>
      <c r="H176" s="14">
        <v>1</v>
      </c>
      <c r="I176" s="14" t="s">
        <v>1280</v>
      </c>
      <c r="J176" s="14" t="s">
        <v>1403</v>
      </c>
      <c r="K176" s="14">
        <v>2024</v>
      </c>
      <c r="L176" s="42">
        <v>2024</v>
      </c>
      <c r="M176" s="43">
        <v>45229</v>
      </c>
      <c r="N176" s="14" t="s">
        <v>36</v>
      </c>
      <c r="O176" s="14">
        <v>58</v>
      </c>
      <c r="P176" s="14">
        <v>428</v>
      </c>
      <c r="Q176" s="14" t="s">
        <v>1463</v>
      </c>
      <c r="R176" s="14">
        <v>2</v>
      </c>
      <c r="S176" s="14">
        <v>2</v>
      </c>
      <c r="T176" s="14" t="s">
        <v>1464</v>
      </c>
      <c r="U176" s="14">
        <v>1</v>
      </c>
      <c r="V176" s="42">
        <v>2480061</v>
      </c>
      <c r="W176" s="42">
        <v>0</v>
      </c>
      <c r="X176" s="42" t="s">
        <v>1406</v>
      </c>
      <c r="Z176" s="14" t="s">
        <v>32</v>
      </c>
      <c r="AA176" s="45">
        <v>45244</v>
      </c>
      <c r="AB176" s="14">
        <v>24</v>
      </c>
      <c r="AC176" s="14">
        <v>80061</v>
      </c>
      <c r="AD176" s="14">
        <v>57</v>
      </c>
      <c r="AE176" s="14" t="s">
        <v>1551</v>
      </c>
      <c r="AF176" s="14">
        <v>57</v>
      </c>
      <c r="AG176" s="14" t="s">
        <v>1552</v>
      </c>
      <c r="AH176" s="14" t="s">
        <v>36</v>
      </c>
      <c r="AI176" s="14">
        <v>58</v>
      </c>
      <c r="AJ176" s="14">
        <v>428</v>
      </c>
      <c r="AK176" s="14" t="s">
        <v>1407</v>
      </c>
      <c r="AL176" s="14">
        <v>28197</v>
      </c>
      <c r="AM176" s="14" t="s">
        <v>1421</v>
      </c>
      <c r="AN176" s="14" t="s">
        <v>1616</v>
      </c>
      <c r="AO176" s="14">
        <v>28</v>
      </c>
      <c r="AP176" s="14" t="s">
        <v>1416</v>
      </c>
      <c r="AQ176" s="14">
        <v>0</v>
      </c>
      <c r="AR176" s="14" t="s">
        <v>1410</v>
      </c>
      <c r="AT176" s="14" t="s">
        <v>1417</v>
      </c>
      <c r="AU176" s="14" t="s">
        <v>1412</v>
      </c>
    </row>
    <row r="177" spans="1:47" x14ac:dyDescent="0.45">
      <c r="A177" s="42">
        <v>2405750072</v>
      </c>
      <c r="B177" s="14">
        <v>57</v>
      </c>
      <c r="C177" s="14" t="s">
        <v>1551</v>
      </c>
      <c r="D177" s="14">
        <v>57</v>
      </c>
      <c r="E177" s="14" t="s">
        <v>1552</v>
      </c>
      <c r="F177" s="14" t="s">
        <v>324</v>
      </c>
      <c r="G177" s="14" t="s">
        <v>325</v>
      </c>
      <c r="H177" s="14">
        <v>1</v>
      </c>
      <c r="I177" s="14" t="s">
        <v>326</v>
      </c>
      <c r="J177" s="14" t="s">
        <v>1403</v>
      </c>
      <c r="K177" s="14">
        <v>2024</v>
      </c>
      <c r="L177" s="42">
        <v>2024</v>
      </c>
      <c r="M177" s="43">
        <v>45229</v>
      </c>
      <c r="N177" s="14" t="s">
        <v>36</v>
      </c>
      <c r="O177" s="14">
        <v>58</v>
      </c>
      <c r="P177" s="14">
        <v>857</v>
      </c>
      <c r="Q177" s="14" t="s">
        <v>1481</v>
      </c>
      <c r="R177" s="14">
        <v>2</v>
      </c>
      <c r="S177" s="14">
        <v>2</v>
      </c>
      <c r="T177" s="14" t="s">
        <v>1464</v>
      </c>
      <c r="U177" s="14">
        <v>1</v>
      </c>
      <c r="V177" s="42">
        <v>2480057</v>
      </c>
      <c r="W177" s="42">
        <v>0</v>
      </c>
      <c r="X177" s="42" t="s">
        <v>1406</v>
      </c>
      <c r="Z177" s="14" t="s">
        <v>32</v>
      </c>
      <c r="AA177" s="45">
        <v>45243</v>
      </c>
      <c r="AB177" s="14">
        <v>24</v>
      </c>
      <c r="AC177" s="14">
        <v>80057</v>
      </c>
      <c r="AD177" s="14">
        <v>57</v>
      </c>
      <c r="AE177" s="14" t="s">
        <v>1551</v>
      </c>
      <c r="AF177" s="14">
        <v>57</v>
      </c>
      <c r="AG177" s="14" t="s">
        <v>1552</v>
      </c>
      <c r="AH177" s="14" t="s">
        <v>36</v>
      </c>
      <c r="AI177" s="14">
        <v>58</v>
      </c>
      <c r="AJ177" s="14">
        <v>857</v>
      </c>
      <c r="AK177" s="14" t="s">
        <v>1407</v>
      </c>
      <c r="AL177" s="14">
        <v>28094</v>
      </c>
      <c r="AM177" s="14" t="s">
        <v>1421</v>
      </c>
      <c r="AN177" s="14" t="s">
        <v>1437</v>
      </c>
      <c r="AO177" s="14">
        <v>28</v>
      </c>
      <c r="AP177" s="14" t="s">
        <v>1416</v>
      </c>
      <c r="AQ177" s="14">
        <v>0</v>
      </c>
      <c r="AR177" s="14" t="s">
        <v>1410</v>
      </c>
      <c r="AT177" s="14" t="s">
        <v>1417</v>
      </c>
      <c r="AU177" s="14" t="s">
        <v>1412</v>
      </c>
    </row>
    <row r="178" spans="1:47" x14ac:dyDescent="0.45">
      <c r="A178" s="42">
        <v>2413150099</v>
      </c>
      <c r="B178" s="14">
        <v>131</v>
      </c>
      <c r="C178" s="14" t="s">
        <v>1462</v>
      </c>
      <c r="D178" s="14">
        <v>130</v>
      </c>
      <c r="E178" s="14" t="s">
        <v>1402</v>
      </c>
      <c r="F178" s="14" t="s">
        <v>1018</v>
      </c>
      <c r="G178" s="14" t="s">
        <v>1019</v>
      </c>
      <c r="H178" s="14">
        <v>2</v>
      </c>
      <c r="I178" s="14" t="s">
        <v>1020</v>
      </c>
      <c r="J178" s="14" t="s">
        <v>1403</v>
      </c>
      <c r="K178" s="14">
        <v>0</v>
      </c>
      <c r="L178" s="42">
        <v>2024</v>
      </c>
      <c r="M178" s="43">
        <v>45219</v>
      </c>
      <c r="N178" s="14" t="s">
        <v>36</v>
      </c>
      <c r="O178" s="14" t="s">
        <v>708</v>
      </c>
      <c r="P178" s="14">
        <v>1044</v>
      </c>
      <c r="Q178" s="14" t="s">
        <v>1476</v>
      </c>
      <c r="R178" s="14">
        <v>2</v>
      </c>
      <c r="S178" s="14">
        <v>3</v>
      </c>
      <c r="T178" s="14" t="s">
        <v>1477</v>
      </c>
      <c r="U178" s="14">
        <v>4</v>
      </c>
      <c r="V178" s="42">
        <v>2422535</v>
      </c>
      <c r="W178" s="42">
        <v>0</v>
      </c>
      <c r="X178" s="42" t="s">
        <v>1406</v>
      </c>
      <c r="Z178" s="14" t="s">
        <v>32</v>
      </c>
      <c r="AA178" s="45">
        <v>45238</v>
      </c>
      <c r="AB178" s="14">
        <v>24</v>
      </c>
      <c r="AC178" s="14">
        <v>22535</v>
      </c>
      <c r="AD178" s="14">
        <v>131</v>
      </c>
      <c r="AE178" s="14" t="s">
        <v>1462</v>
      </c>
      <c r="AF178" s="14">
        <v>130</v>
      </c>
      <c r="AG178" s="14" t="s">
        <v>1402</v>
      </c>
      <c r="AH178" s="14" t="s">
        <v>36</v>
      </c>
      <c r="AI178" s="14" t="s">
        <v>708</v>
      </c>
      <c r="AJ178" s="14">
        <v>1044</v>
      </c>
      <c r="AK178" s="14" t="s">
        <v>1407</v>
      </c>
      <c r="AL178" s="14">
        <v>28166</v>
      </c>
      <c r="AM178" s="14" t="s">
        <v>1418</v>
      </c>
      <c r="AN178" s="14" t="s">
        <v>1482</v>
      </c>
      <c r="AO178" s="14">
        <v>28</v>
      </c>
      <c r="AP178" s="14" t="s">
        <v>1416</v>
      </c>
      <c r="AQ178" s="14">
        <v>0</v>
      </c>
      <c r="AR178" s="14" t="s">
        <v>1410</v>
      </c>
      <c r="AT178" s="14" t="s">
        <v>1411</v>
      </c>
      <c r="AU178" s="14" t="s">
        <v>1412</v>
      </c>
    </row>
    <row r="179" spans="1:47" x14ac:dyDescent="0.45">
      <c r="A179" s="42">
        <v>2405750090</v>
      </c>
      <c r="B179" s="14">
        <v>57</v>
      </c>
      <c r="C179" s="14" t="s">
        <v>1551</v>
      </c>
      <c r="D179" s="14">
        <v>57</v>
      </c>
      <c r="E179" s="14" t="s">
        <v>1552</v>
      </c>
      <c r="F179" s="14" t="s">
        <v>386</v>
      </c>
      <c r="G179" s="14" t="s">
        <v>387</v>
      </c>
      <c r="H179" s="14">
        <v>1</v>
      </c>
      <c r="I179" s="14" t="s">
        <v>388</v>
      </c>
      <c r="J179" s="14" t="s">
        <v>1403</v>
      </c>
      <c r="K179" s="14">
        <v>2024</v>
      </c>
      <c r="L179" s="42">
        <v>2024</v>
      </c>
      <c r="M179" s="43">
        <v>45230</v>
      </c>
      <c r="N179" s="14" t="s">
        <v>36</v>
      </c>
      <c r="O179" s="14">
        <v>58</v>
      </c>
      <c r="P179" s="14">
        <v>428</v>
      </c>
      <c r="Q179" s="14" t="s">
        <v>1463</v>
      </c>
      <c r="R179" s="14">
        <v>2</v>
      </c>
      <c r="S179" s="14">
        <v>2</v>
      </c>
      <c r="T179" s="14" t="s">
        <v>1464</v>
      </c>
      <c r="U179" s="14">
        <v>1</v>
      </c>
      <c r="V179" s="42">
        <v>2480132</v>
      </c>
      <c r="W179" s="42">
        <v>0</v>
      </c>
      <c r="X179" s="42" t="s">
        <v>1406</v>
      </c>
      <c r="Y179" s="59"/>
      <c r="Z179" s="14" t="s">
        <v>32</v>
      </c>
      <c r="AA179" s="45">
        <v>45329</v>
      </c>
      <c r="AB179" s="14">
        <v>24</v>
      </c>
      <c r="AC179" s="14">
        <v>80132</v>
      </c>
      <c r="AD179" s="14">
        <v>57</v>
      </c>
      <c r="AE179" s="14" t="s">
        <v>1551</v>
      </c>
      <c r="AF179" s="14">
        <v>57</v>
      </c>
      <c r="AG179" s="14" t="s">
        <v>1552</v>
      </c>
      <c r="AH179" s="14" t="s">
        <v>36</v>
      </c>
      <c r="AI179" s="14">
        <v>58</v>
      </c>
      <c r="AJ179" s="14">
        <v>428</v>
      </c>
      <c r="AK179" s="14" t="s">
        <v>1407</v>
      </c>
      <c r="AL179" s="14">
        <v>28197</v>
      </c>
      <c r="AM179" s="14" t="s">
        <v>1421</v>
      </c>
      <c r="AN179" s="14" t="s">
        <v>1616</v>
      </c>
      <c r="AO179" s="14">
        <v>28</v>
      </c>
      <c r="AP179" s="14" t="s">
        <v>1416</v>
      </c>
      <c r="AQ179" s="14">
        <v>0</v>
      </c>
      <c r="AR179" s="14" t="s">
        <v>1410</v>
      </c>
      <c r="AT179" s="14" t="s">
        <v>1417</v>
      </c>
      <c r="AU179" s="14" t="s">
        <v>1412</v>
      </c>
    </row>
    <row r="180" spans="1:47" x14ac:dyDescent="0.45">
      <c r="A180" s="42">
        <v>2405750089</v>
      </c>
      <c r="B180" s="14">
        <v>57</v>
      </c>
      <c r="C180" s="14" t="s">
        <v>1551</v>
      </c>
      <c r="D180" s="14">
        <v>57</v>
      </c>
      <c r="E180" s="14" t="s">
        <v>1552</v>
      </c>
      <c r="F180" s="14" t="s">
        <v>384</v>
      </c>
      <c r="G180" s="14" t="s">
        <v>385</v>
      </c>
      <c r="H180" s="14">
        <v>1</v>
      </c>
      <c r="I180" s="14" t="s">
        <v>334</v>
      </c>
      <c r="J180" s="14" t="s">
        <v>1403</v>
      </c>
      <c r="K180" s="14">
        <v>2024</v>
      </c>
      <c r="L180" s="42">
        <v>2024</v>
      </c>
      <c r="M180" s="43">
        <v>45230</v>
      </c>
      <c r="N180" s="14" t="s">
        <v>36</v>
      </c>
      <c r="O180" s="14">
        <v>58</v>
      </c>
      <c r="P180" s="14">
        <v>428</v>
      </c>
      <c r="Q180" s="14" t="s">
        <v>1463</v>
      </c>
      <c r="R180" s="14">
        <v>2</v>
      </c>
      <c r="S180" s="14">
        <v>2</v>
      </c>
      <c r="T180" s="14" t="s">
        <v>1464</v>
      </c>
      <c r="U180" s="14">
        <v>1</v>
      </c>
      <c r="V180" s="42">
        <v>2480071</v>
      </c>
      <c r="W180" s="42">
        <v>0</v>
      </c>
      <c r="X180" s="42" t="s">
        <v>1406</v>
      </c>
      <c r="Y180" s="59"/>
      <c r="Z180" s="14" t="s">
        <v>32</v>
      </c>
      <c r="AA180" s="45">
        <v>45255</v>
      </c>
      <c r="AB180" s="14">
        <v>24</v>
      </c>
      <c r="AC180" s="14">
        <v>80071</v>
      </c>
      <c r="AD180" s="14">
        <v>57</v>
      </c>
      <c r="AE180" s="14" t="s">
        <v>1551</v>
      </c>
      <c r="AF180" s="14">
        <v>57</v>
      </c>
      <c r="AG180" s="14" t="s">
        <v>1552</v>
      </c>
      <c r="AH180" s="14" t="s">
        <v>36</v>
      </c>
      <c r="AI180" s="14">
        <v>58</v>
      </c>
      <c r="AJ180" s="14">
        <v>428</v>
      </c>
      <c r="AK180" s="14" t="s">
        <v>1407</v>
      </c>
      <c r="AL180" s="14">
        <v>28197</v>
      </c>
      <c r="AM180" s="14" t="s">
        <v>1421</v>
      </c>
      <c r="AN180" s="14" t="s">
        <v>1616</v>
      </c>
      <c r="AO180" s="14">
        <v>28</v>
      </c>
      <c r="AP180" s="14" t="s">
        <v>1416</v>
      </c>
      <c r="AQ180" s="14">
        <v>0</v>
      </c>
      <c r="AR180" s="14" t="s">
        <v>1410</v>
      </c>
      <c r="AT180" s="14" t="s">
        <v>1417</v>
      </c>
      <c r="AU180" s="14" t="s">
        <v>1412</v>
      </c>
    </row>
    <row r="181" spans="1:47" x14ac:dyDescent="0.45">
      <c r="A181" s="42">
        <v>2405750158</v>
      </c>
      <c r="B181" s="14">
        <v>57</v>
      </c>
      <c r="C181" s="14" t="s">
        <v>1551</v>
      </c>
      <c r="D181" s="14">
        <v>57</v>
      </c>
      <c r="E181" s="14" t="s">
        <v>1552</v>
      </c>
      <c r="F181" s="14" t="s">
        <v>1251</v>
      </c>
      <c r="G181" s="14" t="s">
        <v>1252</v>
      </c>
      <c r="H181" s="14">
        <v>1</v>
      </c>
      <c r="I181" s="14" t="s">
        <v>1253</v>
      </c>
      <c r="J181" s="14" t="s">
        <v>1403</v>
      </c>
      <c r="K181" s="14">
        <v>0</v>
      </c>
      <c r="L181" s="42">
        <v>2024</v>
      </c>
      <c r="M181" s="43">
        <v>45231</v>
      </c>
      <c r="N181" s="14" t="s">
        <v>36</v>
      </c>
      <c r="O181" s="14">
        <v>57</v>
      </c>
      <c r="P181" s="14">
        <v>645</v>
      </c>
      <c r="Q181" s="14" t="s">
        <v>1544</v>
      </c>
      <c r="R181" s="14">
        <v>2</v>
      </c>
      <c r="S181" s="14">
        <v>3</v>
      </c>
      <c r="T181" s="14" t="s">
        <v>1477</v>
      </c>
      <c r="U181" s="14">
        <v>4</v>
      </c>
      <c r="V181" s="42">
        <v>2480207</v>
      </c>
      <c r="W181" s="42">
        <v>0</v>
      </c>
      <c r="X181" s="42" t="s">
        <v>1406</v>
      </c>
      <c r="Y181" s="59"/>
      <c r="Z181" s="14" t="s">
        <v>32</v>
      </c>
      <c r="AA181" s="45">
        <v>45383</v>
      </c>
      <c r="AB181" s="14">
        <v>24</v>
      </c>
      <c r="AC181" s="14">
        <v>80207</v>
      </c>
      <c r="AD181" s="14">
        <v>57</v>
      </c>
      <c r="AE181" s="14" t="s">
        <v>1551</v>
      </c>
      <c r="AF181" s="14">
        <v>57</v>
      </c>
      <c r="AG181" s="14" t="s">
        <v>1552</v>
      </c>
      <c r="AH181" s="14" t="s">
        <v>36</v>
      </c>
      <c r="AI181" s="14">
        <v>57</v>
      </c>
      <c r="AJ181" s="14">
        <v>645</v>
      </c>
      <c r="AK181" s="14" t="s">
        <v>1407</v>
      </c>
      <c r="AL181" s="14">
        <v>37071</v>
      </c>
      <c r="AM181" s="14" t="s">
        <v>1418</v>
      </c>
      <c r="AN181" s="14" t="s">
        <v>1633</v>
      </c>
      <c r="AO181" s="14">
        <v>37</v>
      </c>
      <c r="AP181" s="14" t="s">
        <v>1573</v>
      </c>
      <c r="AQ181" s="14">
        <v>0</v>
      </c>
      <c r="AR181" s="14" t="s">
        <v>1410</v>
      </c>
      <c r="AT181" s="14" t="s">
        <v>1411</v>
      </c>
      <c r="AU181" s="14" t="s">
        <v>1412</v>
      </c>
    </row>
    <row r="182" spans="1:47" x14ac:dyDescent="0.45">
      <c r="A182" s="42">
        <v>2405750137</v>
      </c>
      <c r="B182" s="14">
        <v>57</v>
      </c>
      <c r="C182" s="14" t="s">
        <v>1551</v>
      </c>
      <c r="D182" s="14">
        <v>57</v>
      </c>
      <c r="E182" s="14" t="s">
        <v>1552</v>
      </c>
      <c r="F182" s="14" t="s">
        <v>1182</v>
      </c>
      <c r="G182" s="14" t="s">
        <v>1183</v>
      </c>
      <c r="H182" s="14">
        <v>1</v>
      </c>
      <c r="I182" s="14" t="s">
        <v>1184</v>
      </c>
      <c r="J182" s="14" t="s">
        <v>1403</v>
      </c>
      <c r="K182" s="14">
        <v>2024</v>
      </c>
      <c r="L182" s="42">
        <v>2024</v>
      </c>
      <c r="M182" s="43">
        <v>45231</v>
      </c>
      <c r="N182" s="14" t="s">
        <v>36</v>
      </c>
      <c r="O182" s="14" t="s">
        <v>51</v>
      </c>
      <c r="P182" s="14">
        <v>588</v>
      </c>
      <c r="Q182" s="14" t="s">
        <v>1524</v>
      </c>
      <c r="R182" s="14">
        <v>1</v>
      </c>
      <c r="S182" s="14">
        <v>2</v>
      </c>
      <c r="T182" s="14" t="s">
        <v>1464</v>
      </c>
      <c r="U182" s="14">
        <v>1</v>
      </c>
      <c r="V182" s="42">
        <v>2480123</v>
      </c>
      <c r="W182" s="42">
        <v>0</v>
      </c>
      <c r="X182" s="42" t="s">
        <v>1406</v>
      </c>
      <c r="Y182" s="59"/>
      <c r="Z182" s="14" t="s">
        <v>32</v>
      </c>
      <c r="AA182" s="45">
        <v>45316</v>
      </c>
      <c r="AB182" s="14">
        <v>24</v>
      </c>
      <c r="AC182" s="14">
        <v>80123</v>
      </c>
      <c r="AD182" s="14">
        <v>57</v>
      </c>
      <c r="AE182" s="14" t="s">
        <v>1551</v>
      </c>
      <c r="AF182" s="14">
        <v>57</v>
      </c>
      <c r="AG182" s="14" t="s">
        <v>1552</v>
      </c>
      <c r="AH182" s="14" t="s">
        <v>36</v>
      </c>
      <c r="AI182" s="14" t="s">
        <v>51</v>
      </c>
      <c r="AJ182" s="14">
        <v>588</v>
      </c>
      <c r="AK182" s="14" t="s">
        <v>1407</v>
      </c>
      <c r="AL182" s="14">
        <v>28233</v>
      </c>
      <c r="AM182" s="14" t="s">
        <v>1414</v>
      </c>
      <c r="AN182" s="14" t="s">
        <v>1493</v>
      </c>
      <c r="AO182" s="14">
        <v>28</v>
      </c>
      <c r="AP182" s="14" t="s">
        <v>1416</v>
      </c>
      <c r="AQ182" s="14">
        <v>0</v>
      </c>
      <c r="AR182" s="14" t="s">
        <v>1410</v>
      </c>
      <c r="AT182" s="14" t="s">
        <v>1417</v>
      </c>
      <c r="AU182" s="14" t="s">
        <v>1412</v>
      </c>
    </row>
    <row r="183" spans="1:47" x14ac:dyDescent="0.45">
      <c r="A183" s="42">
        <v>2405750114</v>
      </c>
      <c r="B183" s="14">
        <v>57</v>
      </c>
      <c r="C183" s="14" t="s">
        <v>1551</v>
      </c>
      <c r="D183" s="14">
        <v>57</v>
      </c>
      <c r="E183" s="14" t="s">
        <v>1552</v>
      </c>
      <c r="F183" s="14" t="s">
        <v>468</v>
      </c>
      <c r="G183" s="14" t="s">
        <v>469</v>
      </c>
      <c r="H183" s="14">
        <v>1</v>
      </c>
      <c r="I183" s="14" t="s">
        <v>470</v>
      </c>
      <c r="J183" s="14" t="s">
        <v>1403</v>
      </c>
      <c r="K183" s="14">
        <v>2024</v>
      </c>
      <c r="L183" s="42">
        <v>2024</v>
      </c>
      <c r="M183" s="43">
        <v>45237</v>
      </c>
      <c r="N183" s="14" t="s">
        <v>36</v>
      </c>
      <c r="O183" s="14">
        <v>58</v>
      </c>
      <c r="P183" s="14">
        <v>852</v>
      </c>
      <c r="Q183" s="14" t="s">
        <v>1472</v>
      </c>
      <c r="R183" s="14">
        <v>2</v>
      </c>
      <c r="S183" s="14">
        <v>2</v>
      </c>
      <c r="T183" s="14" t="s">
        <v>1464</v>
      </c>
      <c r="U183" s="14">
        <v>1</v>
      </c>
      <c r="V183" s="42">
        <v>2480142</v>
      </c>
      <c r="W183" s="42">
        <v>0</v>
      </c>
      <c r="X183" s="42" t="s">
        <v>1406</v>
      </c>
      <c r="Z183" s="14" t="s">
        <v>32</v>
      </c>
      <c r="AA183" s="45">
        <v>45331</v>
      </c>
      <c r="AB183" s="14">
        <v>24</v>
      </c>
      <c r="AC183" s="14">
        <v>80142</v>
      </c>
      <c r="AD183" s="14">
        <v>57</v>
      </c>
      <c r="AE183" s="14" t="s">
        <v>1551</v>
      </c>
      <c r="AF183" s="14">
        <v>57</v>
      </c>
      <c r="AG183" s="14" t="s">
        <v>1552</v>
      </c>
      <c r="AH183" s="14" t="s">
        <v>36</v>
      </c>
      <c r="AI183" s="14">
        <v>58</v>
      </c>
      <c r="AJ183" s="14">
        <v>852</v>
      </c>
      <c r="AK183" s="14" t="s">
        <v>1407</v>
      </c>
      <c r="AL183" s="14">
        <v>28029</v>
      </c>
      <c r="AM183" s="14" t="s">
        <v>1421</v>
      </c>
      <c r="AN183" s="14" t="s">
        <v>1441</v>
      </c>
      <c r="AO183" s="14">
        <v>28</v>
      </c>
      <c r="AP183" s="14" t="s">
        <v>1416</v>
      </c>
      <c r="AQ183" s="14">
        <v>0</v>
      </c>
      <c r="AR183" s="14" t="s">
        <v>1410</v>
      </c>
      <c r="AT183" s="14" t="s">
        <v>1417</v>
      </c>
      <c r="AU183" s="14" t="s">
        <v>1412</v>
      </c>
    </row>
    <row r="184" spans="1:47" x14ac:dyDescent="0.45">
      <c r="A184" s="42">
        <v>2405750094</v>
      </c>
      <c r="B184" s="14">
        <v>57</v>
      </c>
      <c r="C184" s="14" t="s">
        <v>1551</v>
      </c>
      <c r="D184" s="14">
        <v>57</v>
      </c>
      <c r="E184" s="14" t="s">
        <v>1552</v>
      </c>
      <c r="F184" s="14" t="s">
        <v>400</v>
      </c>
      <c r="G184" s="14" t="s">
        <v>401</v>
      </c>
      <c r="H184" s="14">
        <v>1</v>
      </c>
      <c r="I184" s="14" t="s">
        <v>392</v>
      </c>
      <c r="J184" s="14" t="s">
        <v>1403</v>
      </c>
      <c r="K184" s="14">
        <v>2024</v>
      </c>
      <c r="L184" s="42">
        <v>2024</v>
      </c>
      <c r="M184" s="43">
        <v>45237</v>
      </c>
      <c r="N184" s="14" t="s">
        <v>36</v>
      </c>
      <c r="O184" s="14" t="s">
        <v>51</v>
      </c>
      <c r="P184" s="14">
        <v>428</v>
      </c>
      <c r="Q184" s="14" t="s">
        <v>1463</v>
      </c>
      <c r="R184" s="14">
        <v>1</v>
      </c>
      <c r="S184" s="14">
        <v>2</v>
      </c>
      <c r="T184" s="14" t="s">
        <v>1464</v>
      </c>
      <c r="U184" s="14">
        <v>1</v>
      </c>
      <c r="V184" s="42">
        <v>2480106</v>
      </c>
      <c r="W184" s="42">
        <v>0</v>
      </c>
      <c r="X184" s="42" t="s">
        <v>1406</v>
      </c>
      <c r="Z184" s="14" t="s">
        <v>32</v>
      </c>
      <c r="AA184" s="45">
        <v>45282</v>
      </c>
      <c r="AB184" s="14">
        <v>24</v>
      </c>
      <c r="AC184" s="14">
        <v>80106</v>
      </c>
      <c r="AD184" s="14">
        <v>57</v>
      </c>
      <c r="AE184" s="14" t="s">
        <v>1551</v>
      </c>
      <c r="AF184" s="14">
        <v>57</v>
      </c>
      <c r="AG184" s="14" t="s">
        <v>1552</v>
      </c>
      <c r="AH184" s="14" t="s">
        <v>36</v>
      </c>
      <c r="AI184" s="14" t="s">
        <v>51</v>
      </c>
      <c r="AJ184" s="14">
        <v>428</v>
      </c>
      <c r="AK184" s="14" t="s">
        <v>1473</v>
      </c>
      <c r="AL184" s="14">
        <v>28117</v>
      </c>
      <c r="AM184" s="14" t="s">
        <v>1418</v>
      </c>
      <c r="AN184" s="14" t="s">
        <v>1576</v>
      </c>
      <c r="AO184" s="14">
        <v>28</v>
      </c>
      <c r="AP184" s="14" t="s">
        <v>1416</v>
      </c>
      <c r="AQ184" s="14">
        <v>0</v>
      </c>
      <c r="AR184" s="14" t="s">
        <v>1410</v>
      </c>
      <c r="AT184" s="14" t="s">
        <v>1417</v>
      </c>
      <c r="AU184" s="14" t="s">
        <v>1412</v>
      </c>
    </row>
    <row r="185" spans="1:47" x14ac:dyDescent="0.45">
      <c r="A185" s="42">
        <v>2414650095</v>
      </c>
      <c r="B185" s="14">
        <v>131</v>
      </c>
      <c r="C185" s="14" t="s">
        <v>1462</v>
      </c>
      <c r="D185" s="14">
        <v>130</v>
      </c>
      <c r="E185" s="14" t="s">
        <v>1402</v>
      </c>
      <c r="F185" s="14" t="s">
        <v>1465</v>
      </c>
      <c r="G185" s="14" t="s">
        <v>1466</v>
      </c>
      <c r="H185" s="14">
        <v>2</v>
      </c>
      <c r="I185" s="14" t="s">
        <v>1467</v>
      </c>
      <c r="J185" s="14" t="s">
        <v>1468</v>
      </c>
      <c r="K185" s="14">
        <v>2024</v>
      </c>
      <c r="L185" s="42">
        <v>2024</v>
      </c>
      <c r="M185" s="43">
        <v>45216</v>
      </c>
      <c r="N185" s="14" t="s">
        <v>36</v>
      </c>
      <c r="O185" s="14" t="s">
        <v>698</v>
      </c>
      <c r="P185" s="14">
        <v>908</v>
      </c>
      <c r="Q185" s="14" t="s">
        <v>1469</v>
      </c>
      <c r="R185" s="14">
        <v>2</v>
      </c>
      <c r="S185" s="14">
        <v>5</v>
      </c>
      <c r="T185" s="14" t="s">
        <v>1470</v>
      </c>
      <c r="U185" s="14">
        <v>15</v>
      </c>
      <c r="V185" s="42">
        <v>2422534</v>
      </c>
      <c r="W185" s="42">
        <v>0</v>
      </c>
      <c r="X185" s="42" t="s">
        <v>1406</v>
      </c>
      <c r="Y185" s="59"/>
      <c r="Z185" s="14" t="s">
        <v>32</v>
      </c>
      <c r="AA185" s="45">
        <v>45232</v>
      </c>
      <c r="AB185" s="14">
        <v>24</v>
      </c>
      <c r="AC185" s="14">
        <v>22534</v>
      </c>
      <c r="AD185" s="14">
        <v>131</v>
      </c>
      <c r="AE185" s="14" t="s">
        <v>1462</v>
      </c>
      <c r="AF185" s="14">
        <v>130</v>
      </c>
      <c r="AG185" s="14" t="s">
        <v>1402</v>
      </c>
      <c r="AH185" s="14" t="s">
        <v>36</v>
      </c>
      <c r="AI185" s="14" t="s">
        <v>698</v>
      </c>
      <c r="AJ185" s="14">
        <v>908</v>
      </c>
      <c r="AK185" s="14" t="s">
        <v>1407</v>
      </c>
      <c r="AL185" s="14">
        <v>33119</v>
      </c>
      <c r="AM185" s="14" t="s">
        <v>1414</v>
      </c>
      <c r="AN185" s="14" t="s">
        <v>1471</v>
      </c>
      <c r="AO185" s="14">
        <v>33</v>
      </c>
      <c r="AP185" s="14" t="s">
        <v>1427</v>
      </c>
      <c r="AQ185" s="14">
        <v>0</v>
      </c>
      <c r="AR185" s="14" t="s">
        <v>1410</v>
      </c>
      <c r="AT185" s="14" t="s">
        <v>1417</v>
      </c>
      <c r="AU185" s="14" t="s">
        <v>1412</v>
      </c>
    </row>
    <row r="186" spans="1:47" x14ac:dyDescent="0.45">
      <c r="A186" s="42">
        <v>2413150079</v>
      </c>
      <c r="B186" s="14">
        <v>131</v>
      </c>
      <c r="C186" s="14" t="s">
        <v>1462</v>
      </c>
      <c r="D186" s="14">
        <v>130</v>
      </c>
      <c r="E186" s="14" t="s">
        <v>1402</v>
      </c>
      <c r="F186" s="14" t="s">
        <v>959</v>
      </c>
      <c r="G186" s="14" t="s">
        <v>960</v>
      </c>
      <c r="H186" s="14">
        <v>2</v>
      </c>
      <c r="I186" s="14" t="s">
        <v>589</v>
      </c>
      <c r="J186" s="14" t="s">
        <v>1403</v>
      </c>
      <c r="K186" s="14">
        <v>2024</v>
      </c>
      <c r="L186" s="42">
        <v>2024</v>
      </c>
      <c r="M186" s="43">
        <v>45205</v>
      </c>
      <c r="N186" s="14" t="s">
        <v>36</v>
      </c>
      <c r="O186" s="14" t="s">
        <v>708</v>
      </c>
      <c r="P186" s="14">
        <v>1044</v>
      </c>
      <c r="Q186" s="14" t="s">
        <v>1476</v>
      </c>
      <c r="R186" s="14">
        <v>2</v>
      </c>
      <c r="S186" s="14">
        <v>3</v>
      </c>
      <c r="T186" s="14" t="s">
        <v>1477</v>
      </c>
      <c r="U186" s="14">
        <v>4</v>
      </c>
      <c r="V186" s="42">
        <v>2422533</v>
      </c>
      <c r="W186" s="42">
        <v>0</v>
      </c>
      <c r="X186" s="42" t="s">
        <v>1406</v>
      </c>
      <c r="Z186" s="14" t="s">
        <v>32</v>
      </c>
      <c r="AA186" s="45">
        <v>45232</v>
      </c>
      <c r="AB186" s="14">
        <v>24</v>
      </c>
      <c r="AC186" s="14">
        <v>22533</v>
      </c>
      <c r="AD186" s="14">
        <v>131</v>
      </c>
      <c r="AE186" s="14" t="s">
        <v>1462</v>
      </c>
      <c r="AF186" s="14">
        <v>130</v>
      </c>
      <c r="AG186" s="14" t="s">
        <v>1402</v>
      </c>
      <c r="AH186" s="14" t="s">
        <v>36</v>
      </c>
      <c r="AI186" s="14" t="s">
        <v>708</v>
      </c>
      <c r="AJ186" s="14">
        <v>1044</v>
      </c>
      <c r="AK186" s="14" t="s">
        <v>1407</v>
      </c>
      <c r="AL186" s="14">
        <v>28970</v>
      </c>
      <c r="AM186" s="14" t="s">
        <v>1421</v>
      </c>
      <c r="AN186" s="14" t="s">
        <v>1521</v>
      </c>
      <c r="AO186" s="14">
        <v>28</v>
      </c>
      <c r="AP186" s="14" t="s">
        <v>1416</v>
      </c>
      <c r="AQ186" s="14">
        <v>0</v>
      </c>
      <c r="AR186" s="14" t="s">
        <v>1410</v>
      </c>
      <c r="AT186" s="14" t="s">
        <v>1417</v>
      </c>
      <c r="AU186" s="14" t="s">
        <v>1412</v>
      </c>
    </row>
    <row r="187" spans="1:47" x14ac:dyDescent="0.45">
      <c r="A187" s="42">
        <v>2413150030</v>
      </c>
      <c r="B187" s="14">
        <v>131</v>
      </c>
      <c r="C187" s="14" t="s">
        <v>1462</v>
      </c>
      <c r="D187" s="14">
        <v>130</v>
      </c>
      <c r="E187" s="14" t="s">
        <v>1402</v>
      </c>
      <c r="F187" s="14" t="s">
        <v>808</v>
      </c>
      <c r="G187" s="14" t="s">
        <v>809</v>
      </c>
      <c r="H187" s="14">
        <v>2</v>
      </c>
      <c r="I187" s="14" t="s">
        <v>810</v>
      </c>
      <c r="J187" s="14" t="s">
        <v>1403</v>
      </c>
      <c r="K187" s="14">
        <v>2024</v>
      </c>
      <c r="L187" s="42">
        <v>2024</v>
      </c>
      <c r="M187" s="43">
        <v>45203</v>
      </c>
      <c r="N187" s="14" t="s">
        <v>36</v>
      </c>
      <c r="O187" s="14" t="s">
        <v>704</v>
      </c>
      <c r="P187" s="14">
        <v>968</v>
      </c>
      <c r="Q187" s="14" t="s">
        <v>1474</v>
      </c>
      <c r="R187" s="14">
        <v>2</v>
      </c>
      <c r="S187" s="14">
        <v>2</v>
      </c>
      <c r="T187" s="14" t="s">
        <v>1464</v>
      </c>
      <c r="U187" s="14">
        <v>1</v>
      </c>
      <c r="V187" s="42">
        <v>2422532</v>
      </c>
      <c r="W187" s="42">
        <v>0</v>
      </c>
      <c r="X187" s="42" t="s">
        <v>1406</v>
      </c>
      <c r="Z187" s="14" t="s">
        <v>32</v>
      </c>
      <c r="AA187" s="45">
        <v>45232</v>
      </c>
      <c r="AB187" s="14">
        <v>24</v>
      </c>
      <c r="AC187" s="14">
        <v>22532</v>
      </c>
      <c r="AD187" s="14">
        <v>131</v>
      </c>
      <c r="AE187" s="14" t="s">
        <v>1462</v>
      </c>
      <c r="AF187" s="14">
        <v>130</v>
      </c>
      <c r="AG187" s="14" t="s">
        <v>1402</v>
      </c>
      <c r="AH187" s="14" t="s">
        <v>36</v>
      </c>
      <c r="AI187" s="14" t="s">
        <v>704</v>
      </c>
      <c r="AJ187" s="14">
        <v>968</v>
      </c>
      <c r="AK187" s="14" t="s">
        <v>1407</v>
      </c>
      <c r="AL187" s="14">
        <v>28178</v>
      </c>
      <c r="AM187" s="14" t="s">
        <v>1418</v>
      </c>
      <c r="AN187" s="14" t="s">
        <v>1507</v>
      </c>
      <c r="AO187" s="14">
        <v>28</v>
      </c>
      <c r="AP187" s="14" t="s">
        <v>1416</v>
      </c>
      <c r="AQ187" s="14">
        <v>0</v>
      </c>
      <c r="AR187" s="14" t="s">
        <v>1410</v>
      </c>
      <c r="AT187" s="14" t="s">
        <v>1417</v>
      </c>
      <c r="AU187" s="14" t="s">
        <v>1412</v>
      </c>
    </row>
    <row r="188" spans="1:47" x14ac:dyDescent="0.45">
      <c r="A188" s="42">
        <v>2405750122</v>
      </c>
      <c r="B188" s="14">
        <v>57</v>
      </c>
      <c r="C188" s="14" t="s">
        <v>1551</v>
      </c>
      <c r="D188" s="14">
        <v>57</v>
      </c>
      <c r="E188" s="14" t="s">
        <v>1552</v>
      </c>
      <c r="F188" s="14" t="s">
        <v>1135</v>
      </c>
      <c r="G188" s="14" t="s">
        <v>1136</v>
      </c>
      <c r="H188" s="14">
        <v>1</v>
      </c>
      <c r="I188" s="14" t="s">
        <v>1137</v>
      </c>
      <c r="J188" s="14" t="s">
        <v>1403</v>
      </c>
      <c r="K188" s="14">
        <v>2024</v>
      </c>
      <c r="L188" s="42">
        <v>2024</v>
      </c>
      <c r="M188" s="43">
        <v>45237</v>
      </c>
      <c r="N188" s="14" t="s">
        <v>36</v>
      </c>
      <c r="O188" s="14" t="s">
        <v>51</v>
      </c>
      <c r="P188" s="14">
        <v>428</v>
      </c>
      <c r="Q188" s="14" t="s">
        <v>1463</v>
      </c>
      <c r="R188" s="14">
        <v>1</v>
      </c>
      <c r="S188" s="14">
        <v>2</v>
      </c>
      <c r="T188" s="14" t="s">
        <v>1464</v>
      </c>
      <c r="U188" s="14">
        <v>1</v>
      </c>
      <c r="V188" s="42">
        <v>0</v>
      </c>
      <c r="W188" s="42">
        <v>0</v>
      </c>
      <c r="X188" s="42" t="s">
        <v>1406</v>
      </c>
      <c r="Z188" s="14" t="s">
        <v>32</v>
      </c>
      <c r="AB188" s="14">
        <v>0</v>
      </c>
      <c r="AC188" s="14">
        <v>0</v>
      </c>
      <c r="AD188" s="14">
        <v>0</v>
      </c>
      <c r="AE188" s="14" t="s">
        <v>1446</v>
      </c>
      <c r="AG188" s="14" t="s">
        <v>1446</v>
      </c>
      <c r="AJ188" s="14">
        <v>0</v>
      </c>
      <c r="AK188" s="14" t="s">
        <v>1473</v>
      </c>
      <c r="AL188" s="14">
        <v>28224</v>
      </c>
      <c r="AM188" s="14" t="s">
        <v>1414</v>
      </c>
      <c r="AN188" s="14" t="s">
        <v>1621</v>
      </c>
      <c r="AO188" s="14">
        <v>28</v>
      </c>
      <c r="AP188" s="14" t="s">
        <v>1416</v>
      </c>
      <c r="AQ188" s="14">
        <v>0</v>
      </c>
      <c r="AR188" s="14" t="s">
        <v>1499</v>
      </c>
      <c r="AT188" s="14" t="s">
        <v>1417</v>
      </c>
      <c r="AU188" s="14" t="s">
        <v>1412</v>
      </c>
    </row>
    <row r="189" spans="1:47" x14ac:dyDescent="0.45">
      <c r="A189" s="42">
        <v>2405750118</v>
      </c>
      <c r="B189" s="14">
        <v>57</v>
      </c>
      <c r="C189" s="14" t="s">
        <v>1551</v>
      </c>
      <c r="D189" s="14">
        <v>57</v>
      </c>
      <c r="E189" s="14" t="s">
        <v>1552</v>
      </c>
      <c r="F189" s="14" t="s">
        <v>1124</v>
      </c>
      <c r="G189" s="14" t="s">
        <v>1125</v>
      </c>
      <c r="H189" s="14">
        <v>1</v>
      </c>
      <c r="I189" s="14" t="s">
        <v>311</v>
      </c>
      <c r="J189" s="14" t="s">
        <v>1403</v>
      </c>
      <c r="K189" s="14">
        <v>2024</v>
      </c>
      <c r="L189" s="42">
        <v>2024</v>
      </c>
      <c r="M189" s="43">
        <v>45244</v>
      </c>
      <c r="N189" s="14" t="s">
        <v>36</v>
      </c>
      <c r="O189" s="14" t="s">
        <v>51</v>
      </c>
      <c r="P189" s="14">
        <v>428</v>
      </c>
      <c r="Q189" s="14" t="s">
        <v>1463</v>
      </c>
      <c r="R189" s="14">
        <v>1</v>
      </c>
      <c r="S189" s="14">
        <v>2</v>
      </c>
      <c r="T189" s="14" t="s">
        <v>1464</v>
      </c>
      <c r="U189" s="14">
        <v>1</v>
      </c>
      <c r="V189" s="42">
        <v>2480089</v>
      </c>
      <c r="W189" s="42">
        <v>0</v>
      </c>
      <c r="X189" s="42" t="s">
        <v>1406</v>
      </c>
      <c r="Z189" s="14" t="s">
        <v>32</v>
      </c>
      <c r="AA189" s="45">
        <v>45274</v>
      </c>
      <c r="AB189" s="14">
        <v>24</v>
      </c>
      <c r="AC189" s="14">
        <v>80089</v>
      </c>
      <c r="AD189" s="14">
        <v>57</v>
      </c>
      <c r="AE189" s="14" t="s">
        <v>1551</v>
      </c>
      <c r="AF189" s="14">
        <v>57</v>
      </c>
      <c r="AG189" s="14" t="s">
        <v>1552</v>
      </c>
      <c r="AH189" s="14" t="s">
        <v>36</v>
      </c>
      <c r="AI189" s="14" t="s">
        <v>51</v>
      </c>
      <c r="AJ189" s="14">
        <v>428</v>
      </c>
      <c r="AK189" s="14" t="s">
        <v>1473</v>
      </c>
      <c r="AL189" s="14">
        <v>28233</v>
      </c>
      <c r="AM189" s="14" t="s">
        <v>1414</v>
      </c>
      <c r="AN189" s="14" t="s">
        <v>1493</v>
      </c>
      <c r="AO189" s="14">
        <v>28</v>
      </c>
      <c r="AP189" s="14" t="s">
        <v>1416</v>
      </c>
      <c r="AQ189" s="14">
        <v>0</v>
      </c>
      <c r="AR189" s="14" t="s">
        <v>1410</v>
      </c>
      <c r="AT189" s="14" t="s">
        <v>1417</v>
      </c>
      <c r="AU189" s="14" t="s">
        <v>1412</v>
      </c>
    </row>
    <row r="190" spans="1:47" x14ac:dyDescent="0.45">
      <c r="A190" s="42">
        <v>2413050033</v>
      </c>
      <c r="B190" s="14">
        <v>130</v>
      </c>
      <c r="C190" s="14" t="s">
        <v>1401</v>
      </c>
      <c r="D190" s="14">
        <v>130</v>
      </c>
      <c r="E190" s="14" t="s">
        <v>1402</v>
      </c>
      <c r="F190" s="14" t="s">
        <v>596</v>
      </c>
      <c r="G190" s="14" t="s">
        <v>597</v>
      </c>
      <c r="H190" s="14">
        <v>1</v>
      </c>
      <c r="I190" s="14" t="s">
        <v>513</v>
      </c>
      <c r="J190" s="14" t="s">
        <v>1403</v>
      </c>
      <c r="K190" s="14">
        <v>2024</v>
      </c>
      <c r="L190" s="42">
        <v>2024</v>
      </c>
      <c r="M190" s="43">
        <v>45216</v>
      </c>
      <c r="N190" s="14" t="s">
        <v>36</v>
      </c>
      <c r="O190" s="14" t="s">
        <v>472</v>
      </c>
      <c r="P190" s="14">
        <v>1043</v>
      </c>
      <c r="Q190" s="14" t="s">
        <v>1404</v>
      </c>
      <c r="R190" s="14">
        <v>2</v>
      </c>
      <c r="S190" s="14">
        <v>6</v>
      </c>
      <c r="T190" s="14" t="s">
        <v>1405</v>
      </c>
      <c r="U190" s="14">
        <v>5</v>
      </c>
      <c r="V190" s="42">
        <v>2422024</v>
      </c>
      <c r="W190" s="42">
        <v>0</v>
      </c>
      <c r="X190" s="42" t="s">
        <v>1406</v>
      </c>
      <c r="Z190" s="14" t="s">
        <v>32</v>
      </c>
      <c r="AA190" s="45">
        <v>45229</v>
      </c>
      <c r="AB190" s="14">
        <v>24</v>
      </c>
      <c r="AC190" s="14">
        <v>22024</v>
      </c>
      <c r="AD190" s="14">
        <v>130</v>
      </c>
      <c r="AE190" s="14" t="s">
        <v>1401</v>
      </c>
      <c r="AF190" s="14">
        <v>130</v>
      </c>
      <c r="AG190" s="14" t="s">
        <v>1402</v>
      </c>
      <c r="AH190" s="14" t="s">
        <v>36</v>
      </c>
      <c r="AI190" s="14" t="s">
        <v>472</v>
      </c>
      <c r="AJ190" s="14">
        <v>1043</v>
      </c>
      <c r="AK190" s="14" t="s">
        <v>1407</v>
      </c>
      <c r="AL190" s="14">
        <v>28269</v>
      </c>
      <c r="AM190" s="14" t="s">
        <v>1421</v>
      </c>
      <c r="AN190" s="14" t="s">
        <v>1450</v>
      </c>
      <c r="AO190" s="14">
        <v>28</v>
      </c>
      <c r="AP190" s="14" t="s">
        <v>1416</v>
      </c>
      <c r="AQ190" s="14">
        <v>0</v>
      </c>
      <c r="AR190" s="14" t="s">
        <v>1410</v>
      </c>
      <c r="AT190" s="14" t="s">
        <v>1417</v>
      </c>
      <c r="AU190" s="14" t="s">
        <v>1412</v>
      </c>
    </row>
    <row r="191" spans="1:47" x14ac:dyDescent="0.45">
      <c r="A191" s="42">
        <v>2413050029</v>
      </c>
      <c r="B191" s="14">
        <v>130</v>
      </c>
      <c r="C191" s="14" t="s">
        <v>1401</v>
      </c>
      <c r="D191" s="14">
        <v>130</v>
      </c>
      <c r="E191" s="14" t="s">
        <v>1402</v>
      </c>
      <c r="F191" s="14" t="s">
        <v>583</v>
      </c>
      <c r="G191" s="14" t="s">
        <v>584</v>
      </c>
      <c r="H191" s="14">
        <v>1</v>
      </c>
      <c r="I191" s="14" t="s">
        <v>585</v>
      </c>
      <c r="J191" s="14" t="s">
        <v>1403</v>
      </c>
      <c r="K191" s="14">
        <v>2024</v>
      </c>
      <c r="L191" s="42">
        <v>2024</v>
      </c>
      <c r="M191" s="43">
        <v>45212</v>
      </c>
      <c r="N191" s="14" t="s">
        <v>36</v>
      </c>
      <c r="O191" s="14" t="s">
        <v>472</v>
      </c>
      <c r="P191" s="14">
        <v>1043</v>
      </c>
      <c r="Q191" s="14" t="s">
        <v>1404</v>
      </c>
      <c r="R191" s="14">
        <v>2</v>
      </c>
      <c r="S191" s="14">
        <v>6</v>
      </c>
      <c r="T191" s="14" t="s">
        <v>1405</v>
      </c>
      <c r="U191" s="14">
        <v>5</v>
      </c>
      <c r="V191" s="42">
        <v>2422025</v>
      </c>
      <c r="W191" s="42">
        <v>0</v>
      </c>
      <c r="X191" s="42" t="s">
        <v>1406</v>
      </c>
      <c r="Y191" s="59"/>
      <c r="Z191" s="14" t="s">
        <v>32</v>
      </c>
      <c r="AA191" s="45">
        <v>45229</v>
      </c>
      <c r="AB191" s="14">
        <v>24</v>
      </c>
      <c r="AC191" s="14">
        <v>22025</v>
      </c>
      <c r="AD191" s="14">
        <v>130</v>
      </c>
      <c r="AE191" s="14" t="s">
        <v>1401</v>
      </c>
      <c r="AF191" s="14">
        <v>130</v>
      </c>
      <c r="AG191" s="14" t="s">
        <v>1402</v>
      </c>
      <c r="AH191" s="14" t="s">
        <v>36</v>
      </c>
      <c r="AI191" s="14" t="s">
        <v>472</v>
      </c>
      <c r="AJ191" s="14">
        <v>1043</v>
      </c>
      <c r="AK191" s="14" t="s">
        <v>1407</v>
      </c>
      <c r="AL191" s="14">
        <v>28029</v>
      </c>
      <c r="AM191" s="14" t="s">
        <v>1421</v>
      </c>
      <c r="AN191" s="14" t="s">
        <v>1441</v>
      </c>
      <c r="AO191" s="14">
        <v>28</v>
      </c>
      <c r="AP191" s="14" t="s">
        <v>1416</v>
      </c>
      <c r="AQ191" s="14">
        <v>0</v>
      </c>
      <c r="AR191" s="14" t="s">
        <v>1410</v>
      </c>
      <c r="AT191" s="14" t="s">
        <v>1417</v>
      </c>
      <c r="AU191" s="14" t="s">
        <v>1412</v>
      </c>
    </row>
    <row r="192" spans="1:47" x14ac:dyDescent="0.45">
      <c r="A192" s="42">
        <v>2413050049</v>
      </c>
      <c r="B192" s="14">
        <v>130</v>
      </c>
      <c r="C192" s="14" t="s">
        <v>1401</v>
      </c>
      <c r="D192" s="14">
        <v>130</v>
      </c>
      <c r="E192" s="14" t="s">
        <v>1402</v>
      </c>
      <c r="F192" s="14" t="s">
        <v>653</v>
      </c>
      <c r="G192" s="14" t="s">
        <v>654</v>
      </c>
      <c r="H192" s="14">
        <v>1</v>
      </c>
      <c r="I192" s="14" t="s">
        <v>655</v>
      </c>
      <c r="J192" s="14" t="s">
        <v>1403</v>
      </c>
      <c r="K192" s="14">
        <v>2024</v>
      </c>
      <c r="L192" s="42">
        <v>2024</v>
      </c>
      <c r="M192" s="43">
        <v>45210</v>
      </c>
      <c r="N192" s="14" t="s">
        <v>36</v>
      </c>
      <c r="O192" s="14" t="s">
        <v>472</v>
      </c>
      <c r="P192" s="14">
        <v>1043</v>
      </c>
      <c r="Q192" s="14" t="s">
        <v>1404</v>
      </c>
      <c r="R192" s="14">
        <v>2</v>
      </c>
      <c r="S192" s="14">
        <v>6</v>
      </c>
      <c r="T192" s="14" t="s">
        <v>1405</v>
      </c>
      <c r="U192" s="14">
        <v>5</v>
      </c>
      <c r="V192" s="42">
        <v>2422022</v>
      </c>
      <c r="W192" s="42">
        <v>0</v>
      </c>
      <c r="X192" s="42" t="s">
        <v>1406</v>
      </c>
      <c r="Y192" s="59"/>
      <c r="Z192" s="14" t="s">
        <v>32</v>
      </c>
      <c r="AA192" s="45">
        <v>45229</v>
      </c>
      <c r="AB192" s="14">
        <v>24</v>
      </c>
      <c r="AC192" s="14">
        <v>22022</v>
      </c>
      <c r="AD192" s="14">
        <v>130</v>
      </c>
      <c r="AE192" s="14" t="s">
        <v>1401</v>
      </c>
      <c r="AF192" s="14">
        <v>130</v>
      </c>
      <c r="AG192" s="14" t="s">
        <v>1402</v>
      </c>
      <c r="AH192" s="14" t="s">
        <v>36</v>
      </c>
      <c r="AI192" s="14" t="s">
        <v>472</v>
      </c>
      <c r="AJ192" s="14">
        <v>1043</v>
      </c>
      <c r="AK192" s="14" t="s">
        <v>1407</v>
      </c>
      <c r="AL192" s="14">
        <v>28277</v>
      </c>
      <c r="AM192" s="14" t="s">
        <v>1421</v>
      </c>
      <c r="AN192" s="14" t="s">
        <v>1457</v>
      </c>
      <c r="AO192" s="14">
        <v>28</v>
      </c>
      <c r="AP192" s="14" t="s">
        <v>1416</v>
      </c>
      <c r="AQ192" s="14">
        <v>0</v>
      </c>
      <c r="AR192" s="14" t="s">
        <v>1410</v>
      </c>
      <c r="AT192" s="14" t="s">
        <v>1417</v>
      </c>
      <c r="AU192" s="14" t="s">
        <v>1412</v>
      </c>
    </row>
    <row r="193" spans="1:47" x14ac:dyDescent="0.45">
      <c r="A193" s="42">
        <v>2413050032</v>
      </c>
      <c r="B193" s="14">
        <v>130</v>
      </c>
      <c r="C193" s="14" t="s">
        <v>1401</v>
      </c>
      <c r="D193" s="14">
        <v>130</v>
      </c>
      <c r="E193" s="14" t="s">
        <v>1402</v>
      </c>
      <c r="F193" s="14" t="s">
        <v>594</v>
      </c>
      <c r="G193" s="14" t="s">
        <v>595</v>
      </c>
      <c r="H193" s="14">
        <v>1</v>
      </c>
      <c r="I193" s="14" t="s">
        <v>547</v>
      </c>
      <c r="J193" s="14" t="s">
        <v>1403</v>
      </c>
      <c r="K193" s="14">
        <v>2024</v>
      </c>
      <c r="L193" s="42">
        <v>2024</v>
      </c>
      <c r="M193" s="43">
        <v>45173</v>
      </c>
      <c r="N193" s="14" t="s">
        <v>36</v>
      </c>
      <c r="O193" s="14" t="s">
        <v>501</v>
      </c>
      <c r="P193" s="14">
        <v>1726</v>
      </c>
      <c r="Q193" s="14" t="s">
        <v>1430</v>
      </c>
      <c r="R193" s="14">
        <v>2</v>
      </c>
      <c r="S193" s="14">
        <v>34</v>
      </c>
      <c r="T193" s="14" t="s">
        <v>1431</v>
      </c>
      <c r="U193" s="14">
        <v>12</v>
      </c>
      <c r="V193" s="42">
        <v>2422023</v>
      </c>
      <c r="W193" s="42">
        <v>0</v>
      </c>
      <c r="X193" s="42" t="s">
        <v>1406</v>
      </c>
      <c r="Y193" s="59"/>
      <c r="Z193" s="14" t="s">
        <v>32</v>
      </c>
      <c r="AA193" s="45">
        <v>45229</v>
      </c>
      <c r="AB193" s="14">
        <v>24</v>
      </c>
      <c r="AC193" s="14">
        <v>22023</v>
      </c>
      <c r="AD193" s="14">
        <v>130</v>
      </c>
      <c r="AE193" s="14" t="s">
        <v>1401</v>
      </c>
      <c r="AF193" s="14">
        <v>130</v>
      </c>
      <c r="AG193" s="14" t="s">
        <v>1402</v>
      </c>
      <c r="AH193" s="14" t="s">
        <v>36</v>
      </c>
      <c r="AI193" s="14" t="s">
        <v>501</v>
      </c>
      <c r="AJ193" s="14">
        <v>1726</v>
      </c>
      <c r="AK193" s="14" t="s">
        <v>1407</v>
      </c>
      <c r="AL193" s="14">
        <v>28098</v>
      </c>
      <c r="AM193" s="14" t="s">
        <v>1418</v>
      </c>
      <c r="AN193" s="14" t="s">
        <v>1448</v>
      </c>
      <c r="AO193" s="14">
        <v>28</v>
      </c>
      <c r="AP193" s="14" t="s">
        <v>1416</v>
      </c>
      <c r="AQ193" s="14">
        <v>0</v>
      </c>
      <c r="AR193" s="14" t="s">
        <v>1410</v>
      </c>
      <c r="AT193" s="14" t="s">
        <v>1417</v>
      </c>
      <c r="AU193" s="14" t="s">
        <v>1412</v>
      </c>
    </row>
    <row r="194" spans="1:47" x14ac:dyDescent="0.45">
      <c r="A194" s="42">
        <v>2413050040</v>
      </c>
      <c r="B194" s="14">
        <v>130</v>
      </c>
      <c r="C194" s="14" t="s">
        <v>1401</v>
      </c>
      <c r="D194" s="14">
        <v>130</v>
      </c>
      <c r="E194" s="14" t="s">
        <v>1402</v>
      </c>
      <c r="F194" s="14" t="s">
        <v>619</v>
      </c>
      <c r="G194" s="14" t="s">
        <v>620</v>
      </c>
      <c r="H194" s="14">
        <v>2</v>
      </c>
      <c r="I194" s="14" t="s">
        <v>621</v>
      </c>
      <c r="J194" s="14" t="s">
        <v>1403</v>
      </c>
      <c r="K194" s="14">
        <v>2024</v>
      </c>
      <c r="L194" s="42">
        <v>2024</v>
      </c>
      <c r="M194" s="43">
        <v>45173</v>
      </c>
      <c r="N194" s="14" t="s">
        <v>36</v>
      </c>
      <c r="O194" s="14" t="s">
        <v>501</v>
      </c>
      <c r="P194" s="14">
        <v>1726</v>
      </c>
      <c r="Q194" s="14" t="s">
        <v>1430</v>
      </c>
      <c r="R194" s="14">
        <v>2</v>
      </c>
      <c r="S194" s="14">
        <v>34</v>
      </c>
      <c r="T194" s="14" t="s">
        <v>1431</v>
      </c>
      <c r="U194" s="14">
        <v>12</v>
      </c>
      <c r="V194" s="42">
        <v>2422026</v>
      </c>
      <c r="W194" s="42">
        <v>0</v>
      </c>
      <c r="X194" s="42" t="s">
        <v>1406</v>
      </c>
      <c r="Y194" s="59"/>
      <c r="Z194" s="14" t="s">
        <v>32</v>
      </c>
      <c r="AA194" s="45">
        <v>45229</v>
      </c>
      <c r="AB194" s="14">
        <v>24</v>
      </c>
      <c r="AC194" s="14">
        <v>22026</v>
      </c>
      <c r="AD194" s="14">
        <v>130</v>
      </c>
      <c r="AE194" s="14" t="s">
        <v>1401</v>
      </c>
      <c r="AF194" s="14">
        <v>130</v>
      </c>
      <c r="AG194" s="14" t="s">
        <v>1402</v>
      </c>
      <c r="AH194" s="14" t="s">
        <v>36</v>
      </c>
      <c r="AI194" s="14" t="s">
        <v>501</v>
      </c>
      <c r="AJ194" s="14">
        <v>1726</v>
      </c>
      <c r="AK194" s="14" t="s">
        <v>1407</v>
      </c>
      <c r="AL194" s="14">
        <v>28091</v>
      </c>
      <c r="AM194" s="14" t="s">
        <v>1421</v>
      </c>
      <c r="AN194" s="14" t="s">
        <v>1452</v>
      </c>
      <c r="AO194" s="14">
        <v>28</v>
      </c>
      <c r="AP194" s="14" t="s">
        <v>1416</v>
      </c>
      <c r="AQ194" s="14">
        <v>0</v>
      </c>
      <c r="AR194" s="14" t="s">
        <v>1410</v>
      </c>
      <c r="AT194" s="14" t="s">
        <v>1417</v>
      </c>
      <c r="AU194" s="14" t="s">
        <v>1412</v>
      </c>
    </row>
    <row r="195" spans="1:47" x14ac:dyDescent="0.45">
      <c r="A195" s="42">
        <v>2413150130</v>
      </c>
      <c r="B195" s="14">
        <v>131</v>
      </c>
      <c r="C195" s="14" t="s">
        <v>1462</v>
      </c>
      <c r="D195" s="14">
        <v>130</v>
      </c>
      <c r="E195" s="14" t="s">
        <v>1402</v>
      </c>
      <c r="F195" s="14" t="s">
        <v>1106</v>
      </c>
      <c r="G195" s="14" t="s">
        <v>1107</v>
      </c>
      <c r="H195" s="14">
        <v>2</v>
      </c>
      <c r="I195" s="14" t="s">
        <v>1108</v>
      </c>
      <c r="J195" s="14" t="s">
        <v>1403</v>
      </c>
      <c r="K195" s="14">
        <v>2024</v>
      </c>
      <c r="L195" s="42">
        <v>2024</v>
      </c>
      <c r="M195" s="43">
        <v>45211</v>
      </c>
      <c r="N195" s="14" t="s">
        <v>36</v>
      </c>
      <c r="O195" s="14" t="s">
        <v>698</v>
      </c>
      <c r="P195" s="14">
        <v>628</v>
      </c>
      <c r="Q195" s="14" t="s">
        <v>1530</v>
      </c>
      <c r="R195" s="14">
        <v>2</v>
      </c>
      <c r="S195" s="14">
        <v>5</v>
      </c>
      <c r="T195" s="14" t="s">
        <v>1470</v>
      </c>
      <c r="U195" s="14">
        <v>15</v>
      </c>
      <c r="V195" s="42">
        <v>2422531</v>
      </c>
      <c r="W195" s="42">
        <v>165</v>
      </c>
      <c r="X195" s="42" t="s">
        <v>1549</v>
      </c>
      <c r="Y195" s="59"/>
      <c r="Z195" s="14" t="s">
        <v>32</v>
      </c>
      <c r="AA195" s="45">
        <v>45225</v>
      </c>
      <c r="AB195" s="14">
        <v>24</v>
      </c>
      <c r="AC195" s="14">
        <v>22531</v>
      </c>
      <c r="AD195" s="14">
        <v>131</v>
      </c>
      <c r="AE195" s="14" t="s">
        <v>1462</v>
      </c>
      <c r="AF195" s="14">
        <v>130</v>
      </c>
      <c r="AG195" s="14" t="s">
        <v>1402</v>
      </c>
      <c r="AH195" s="14" t="s">
        <v>36</v>
      </c>
      <c r="AI195" s="14" t="s">
        <v>698</v>
      </c>
      <c r="AJ195" s="14">
        <v>628</v>
      </c>
      <c r="AK195" s="14" t="s">
        <v>1407</v>
      </c>
      <c r="AL195" s="14">
        <v>28187</v>
      </c>
      <c r="AM195" s="14" t="s">
        <v>1418</v>
      </c>
      <c r="AN195" s="14" t="s">
        <v>1425</v>
      </c>
      <c r="AO195" s="14">
        <v>28</v>
      </c>
      <c r="AP195" s="14" t="s">
        <v>1416</v>
      </c>
      <c r="AQ195" s="14">
        <v>0</v>
      </c>
      <c r="AR195" s="14" t="s">
        <v>1410</v>
      </c>
      <c r="AT195" s="14" t="s">
        <v>1417</v>
      </c>
      <c r="AU195" s="14" t="s">
        <v>1412</v>
      </c>
    </row>
    <row r="196" spans="1:47" x14ac:dyDescent="0.45">
      <c r="A196" s="42">
        <v>2413050001</v>
      </c>
      <c r="B196" s="14">
        <v>130</v>
      </c>
      <c r="C196" s="14" t="s">
        <v>1401</v>
      </c>
      <c r="D196" s="14">
        <v>130</v>
      </c>
      <c r="E196" s="14" t="s">
        <v>1402</v>
      </c>
      <c r="F196" s="14" t="s">
        <v>478</v>
      </c>
      <c r="G196" s="14" t="s">
        <v>479</v>
      </c>
      <c r="H196" s="14">
        <v>1</v>
      </c>
      <c r="I196" s="14" t="s">
        <v>480</v>
      </c>
      <c r="J196" s="14" t="s">
        <v>1403</v>
      </c>
      <c r="K196" s="14">
        <v>2024</v>
      </c>
      <c r="L196" s="42">
        <v>2024</v>
      </c>
      <c r="M196" s="43">
        <v>45205</v>
      </c>
      <c r="N196" s="14" t="s">
        <v>36</v>
      </c>
      <c r="O196" s="14" t="s">
        <v>501</v>
      </c>
      <c r="P196" s="14">
        <v>1726</v>
      </c>
      <c r="Q196" s="14" t="s">
        <v>1430</v>
      </c>
      <c r="R196" s="14">
        <v>2</v>
      </c>
      <c r="S196" s="14">
        <v>34</v>
      </c>
      <c r="T196" s="14" t="s">
        <v>1431</v>
      </c>
      <c r="U196" s="14">
        <v>12</v>
      </c>
      <c r="V196" s="42">
        <v>2422021</v>
      </c>
      <c r="W196" s="42">
        <v>0</v>
      </c>
      <c r="X196" s="42" t="s">
        <v>1406</v>
      </c>
      <c r="Y196" s="59"/>
      <c r="Z196" s="14" t="s">
        <v>32</v>
      </c>
      <c r="AA196" s="45">
        <v>45225</v>
      </c>
      <c r="AB196" s="14">
        <v>24</v>
      </c>
      <c r="AC196" s="14">
        <v>22021</v>
      </c>
      <c r="AD196" s="14">
        <v>130</v>
      </c>
      <c r="AE196" s="14" t="s">
        <v>1401</v>
      </c>
      <c r="AF196" s="14">
        <v>130</v>
      </c>
      <c r="AG196" s="14" t="s">
        <v>1402</v>
      </c>
      <c r="AH196" s="14" t="s">
        <v>36</v>
      </c>
      <c r="AI196" s="14" t="s">
        <v>501</v>
      </c>
      <c r="AJ196" s="14">
        <v>1726</v>
      </c>
      <c r="AK196" s="14" t="s">
        <v>1407</v>
      </c>
      <c r="AL196" s="14">
        <v>46118</v>
      </c>
      <c r="AM196" s="14" t="s">
        <v>1421</v>
      </c>
      <c r="AN196" s="14" t="s">
        <v>1432</v>
      </c>
      <c r="AO196" s="14">
        <v>46</v>
      </c>
      <c r="AP196" s="14" t="s">
        <v>1433</v>
      </c>
      <c r="AQ196" s="14">
        <v>0</v>
      </c>
      <c r="AR196" s="14" t="s">
        <v>1410</v>
      </c>
      <c r="AT196" s="14" t="s">
        <v>1417</v>
      </c>
      <c r="AU196" s="14" t="s">
        <v>1412</v>
      </c>
    </row>
    <row r="197" spans="1:47" x14ac:dyDescent="0.45">
      <c r="A197" s="42">
        <v>2413050043</v>
      </c>
      <c r="B197" s="14">
        <v>130</v>
      </c>
      <c r="C197" s="14" t="s">
        <v>1401</v>
      </c>
      <c r="D197" s="14">
        <v>130</v>
      </c>
      <c r="E197" s="14" t="s">
        <v>1402</v>
      </c>
      <c r="F197" s="14" t="s">
        <v>629</v>
      </c>
      <c r="G197" s="14" t="s">
        <v>630</v>
      </c>
      <c r="H197" s="14">
        <v>1</v>
      </c>
      <c r="I197" s="14" t="s">
        <v>281</v>
      </c>
      <c r="J197" s="14" t="s">
        <v>1403</v>
      </c>
      <c r="K197" s="14">
        <v>2024</v>
      </c>
      <c r="L197" s="42">
        <v>2024</v>
      </c>
      <c r="M197" s="43">
        <v>45204</v>
      </c>
      <c r="N197" s="14" t="s">
        <v>36</v>
      </c>
      <c r="O197" s="14" t="s">
        <v>501</v>
      </c>
      <c r="P197" s="14">
        <v>1726</v>
      </c>
      <c r="Q197" s="14" t="s">
        <v>1430</v>
      </c>
      <c r="R197" s="14">
        <v>2</v>
      </c>
      <c r="S197" s="14">
        <v>34</v>
      </c>
      <c r="T197" s="14" t="s">
        <v>1431</v>
      </c>
      <c r="U197" s="14">
        <v>12</v>
      </c>
      <c r="V197" s="42">
        <v>2422020</v>
      </c>
      <c r="W197" s="42">
        <v>0</v>
      </c>
      <c r="X197" s="42" t="s">
        <v>1406</v>
      </c>
      <c r="Z197" s="14" t="s">
        <v>32</v>
      </c>
      <c r="AA197" s="45">
        <v>45225</v>
      </c>
      <c r="AB197" s="14">
        <v>24</v>
      </c>
      <c r="AC197" s="14">
        <v>22020</v>
      </c>
      <c r="AD197" s="14">
        <v>130</v>
      </c>
      <c r="AE197" s="14" t="s">
        <v>1401</v>
      </c>
      <c r="AF197" s="14">
        <v>130</v>
      </c>
      <c r="AG197" s="14" t="s">
        <v>1402</v>
      </c>
      <c r="AH197" s="14" t="s">
        <v>36</v>
      </c>
      <c r="AI197" s="14" t="s">
        <v>501</v>
      </c>
      <c r="AJ197" s="14">
        <v>1726</v>
      </c>
      <c r="AK197" s="14" t="s">
        <v>1407</v>
      </c>
      <c r="AL197" s="14">
        <v>28152</v>
      </c>
      <c r="AM197" s="14" t="s">
        <v>1418</v>
      </c>
      <c r="AN197" s="14" t="s">
        <v>1453</v>
      </c>
      <c r="AO197" s="14">
        <v>28</v>
      </c>
      <c r="AP197" s="14" t="s">
        <v>1416</v>
      </c>
      <c r="AQ197" s="14">
        <v>0</v>
      </c>
      <c r="AR197" s="14" t="s">
        <v>1410</v>
      </c>
      <c r="AT197" s="14" t="s">
        <v>1417</v>
      </c>
      <c r="AU197" s="14" t="s">
        <v>1412</v>
      </c>
    </row>
    <row r="198" spans="1:47" x14ac:dyDescent="0.45">
      <c r="A198" s="42">
        <v>2413150124</v>
      </c>
      <c r="B198" s="14">
        <v>131</v>
      </c>
      <c r="C198" s="14" t="s">
        <v>1462</v>
      </c>
      <c r="D198" s="14">
        <v>130</v>
      </c>
      <c r="E198" s="14" t="s">
        <v>1402</v>
      </c>
      <c r="F198" s="14" t="s">
        <v>1089</v>
      </c>
      <c r="G198" s="14" t="s">
        <v>1090</v>
      </c>
      <c r="H198" s="14">
        <v>1</v>
      </c>
      <c r="I198" s="14" t="s">
        <v>1091</v>
      </c>
      <c r="J198" s="14" t="s">
        <v>1403</v>
      </c>
      <c r="K198" s="14">
        <v>0</v>
      </c>
      <c r="L198" s="42">
        <v>2024</v>
      </c>
      <c r="M198" s="43">
        <v>45209</v>
      </c>
      <c r="N198" s="14" t="s">
        <v>36</v>
      </c>
      <c r="O198" s="14" t="s">
        <v>708</v>
      </c>
      <c r="P198" s="14">
        <v>266</v>
      </c>
      <c r="Q198" s="14" t="s">
        <v>1526</v>
      </c>
      <c r="R198" s="14">
        <v>2</v>
      </c>
      <c r="S198" s="14">
        <v>1</v>
      </c>
      <c r="T198" s="14" t="s">
        <v>1527</v>
      </c>
      <c r="U198" s="14">
        <v>3</v>
      </c>
      <c r="V198" s="42">
        <v>2422530</v>
      </c>
      <c r="W198" s="42">
        <v>0</v>
      </c>
      <c r="X198" s="42" t="s">
        <v>1406</v>
      </c>
      <c r="Z198" s="14" t="s">
        <v>32</v>
      </c>
      <c r="AA198" s="45">
        <v>45223</v>
      </c>
      <c r="AB198" s="14">
        <v>24</v>
      </c>
      <c r="AC198" s="14">
        <v>22530</v>
      </c>
      <c r="AD198" s="14">
        <v>131</v>
      </c>
      <c r="AE198" s="14" t="s">
        <v>1462</v>
      </c>
      <c r="AF198" s="14">
        <v>130</v>
      </c>
      <c r="AG198" s="14" t="s">
        <v>1402</v>
      </c>
      <c r="AH198" s="14" t="s">
        <v>36</v>
      </c>
      <c r="AI198" s="14" t="s">
        <v>708</v>
      </c>
      <c r="AJ198" s="14">
        <v>266</v>
      </c>
      <c r="AK198" s="14" t="s">
        <v>1407</v>
      </c>
      <c r="AL198" s="14">
        <v>28166</v>
      </c>
      <c r="AM198" s="14" t="s">
        <v>1418</v>
      </c>
      <c r="AN198" s="14" t="s">
        <v>1482</v>
      </c>
      <c r="AO198" s="14">
        <v>28</v>
      </c>
      <c r="AP198" s="14" t="s">
        <v>1416</v>
      </c>
      <c r="AQ198" s="14">
        <v>0</v>
      </c>
      <c r="AR198" s="14" t="s">
        <v>1410</v>
      </c>
      <c r="AT198" s="14" t="s">
        <v>1411</v>
      </c>
      <c r="AU198" s="14" t="s">
        <v>1412</v>
      </c>
    </row>
    <row r="199" spans="1:47" x14ac:dyDescent="0.45">
      <c r="A199" s="42">
        <v>2413050041</v>
      </c>
      <c r="B199" s="14">
        <v>130</v>
      </c>
      <c r="C199" s="14" t="s">
        <v>1401</v>
      </c>
      <c r="D199" s="14">
        <v>130</v>
      </c>
      <c r="E199" s="14" t="s">
        <v>1402</v>
      </c>
      <c r="F199" s="14" t="s">
        <v>622</v>
      </c>
      <c r="G199" s="14" t="s">
        <v>623</v>
      </c>
      <c r="H199" s="14">
        <v>1</v>
      </c>
      <c r="I199" s="14" t="s">
        <v>624</v>
      </c>
      <c r="J199" s="14" t="s">
        <v>1403</v>
      </c>
      <c r="K199" s="14">
        <v>2024</v>
      </c>
      <c r="L199" s="42">
        <v>2024</v>
      </c>
      <c r="M199" s="43">
        <v>45195</v>
      </c>
      <c r="N199" s="14" t="s">
        <v>36</v>
      </c>
      <c r="O199" s="14" t="s">
        <v>501</v>
      </c>
      <c r="P199" s="14">
        <v>1726</v>
      </c>
      <c r="Q199" s="14" t="s">
        <v>1430</v>
      </c>
      <c r="R199" s="14">
        <v>2</v>
      </c>
      <c r="S199" s="14">
        <v>34</v>
      </c>
      <c r="T199" s="14" t="s">
        <v>1431</v>
      </c>
      <c r="U199" s="14">
        <v>12</v>
      </c>
      <c r="V199" s="42">
        <v>2422019</v>
      </c>
      <c r="W199" s="42">
        <v>0</v>
      </c>
      <c r="X199" s="42" t="s">
        <v>1406</v>
      </c>
      <c r="Z199" s="14" t="s">
        <v>32</v>
      </c>
      <c r="AA199" s="45">
        <v>45223</v>
      </c>
      <c r="AB199" s="14">
        <v>24</v>
      </c>
      <c r="AC199" s="14">
        <v>22019</v>
      </c>
      <c r="AD199" s="14">
        <v>130</v>
      </c>
      <c r="AE199" s="14" t="s">
        <v>1401</v>
      </c>
      <c r="AF199" s="14">
        <v>130</v>
      </c>
      <c r="AG199" s="14" t="s">
        <v>1402</v>
      </c>
      <c r="AH199" s="14" t="s">
        <v>36</v>
      </c>
      <c r="AI199" s="14" t="s">
        <v>501</v>
      </c>
      <c r="AJ199" s="14">
        <v>1726</v>
      </c>
      <c r="AK199" s="14" t="s">
        <v>1407</v>
      </c>
      <c r="AL199" s="14">
        <v>46118</v>
      </c>
      <c r="AM199" s="14" t="s">
        <v>1421</v>
      </c>
      <c r="AN199" s="14" t="s">
        <v>1432</v>
      </c>
      <c r="AO199" s="14">
        <v>46</v>
      </c>
      <c r="AP199" s="14" t="s">
        <v>1433</v>
      </c>
      <c r="AQ199" s="14">
        <v>0</v>
      </c>
      <c r="AR199" s="14" t="s">
        <v>1410</v>
      </c>
      <c r="AT199" s="14" t="s">
        <v>1417</v>
      </c>
      <c r="AU199" s="14" t="s">
        <v>1412</v>
      </c>
    </row>
    <row r="200" spans="1:47" x14ac:dyDescent="0.45">
      <c r="A200" s="42">
        <v>2413050010</v>
      </c>
      <c r="B200" s="14">
        <v>130</v>
      </c>
      <c r="C200" s="14" t="s">
        <v>1401</v>
      </c>
      <c r="D200" s="14">
        <v>130</v>
      </c>
      <c r="E200" s="14" t="s">
        <v>1402</v>
      </c>
      <c r="F200" s="14" t="s">
        <v>514</v>
      </c>
      <c r="G200" s="14" t="s">
        <v>515</v>
      </c>
      <c r="H200" s="14">
        <v>1</v>
      </c>
      <c r="I200" s="14" t="s">
        <v>516</v>
      </c>
      <c r="J200" s="14" t="s">
        <v>1403</v>
      </c>
      <c r="K200" s="14">
        <v>2024</v>
      </c>
      <c r="L200" s="42">
        <v>2024</v>
      </c>
      <c r="M200" s="43">
        <v>45201</v>
      </c>
      <c r="N200" s="14" t="s">
        <v>36</v>
      </c>
      <c r="O200" s="14" t="s">
        <v>501</v>
      </c>
      <c r="P200" s="14">
        <v>1726</v>
      </c>
      <c r="Q200" s="14" t="s">
        <v>1430</v>
      </c>
      <c r="R200" s="14">
        <v>2</v>
      </c>
      <c r="S200" s="14">
        <v>34</v>
      </c>
      <c r="T200" s="14" t="s">
        <v>1431</v>
      </c>
      <c r="U200" s="14">
        <v>12</v>
      </c>
      <c r="V200" s="42">
        <v>2422018</v>
      </c>
      <c r="W200" s="42">
        <v>0</v>
      </c>
      <c r="X200" s="42" t="s">
        <v>1406</v>
      </c>
      <c r="Z200" s="14" t="s">
        <v>32</v>
      </c>
      <c r="AA200" s="45">
        <v>45218</v>
      </c>
      <c r="AB200" s="14">
        <v>24</v>
      </c>
      <c r="AC200" s="14">
        <v>22018</v>
      </c>
      <c r="AD200" s="14">
        <v>130</v>
      </c>
      <c r="AE200" s="14" t="s">
        <v>1401</v>
      </c>
      <c r="AF200" s="14">
        <v>130</v>
      </c>
      <c r="AG200" s="14" t="s">
        <v>1402</v>
      </c>
      <c r="AH200" s="14" t="s">
        <v>36</v>
      </c>
      <c r="AI200" s="14" t="s">
        <v>501</v>
      </c>
      <c r="AJ200" s="14">
        <v>1726</v>
      </c>
      <c r="AK200" s="14" t="s">
        <v>1407</v>
      </c>
      <c r="AL200" s="14">
        <v>28094</v>
      </c>
      <c r="AM200" s="14" t="s">
        <v>1421</v>
      </c>
      <c r="AN200" s="14" t="s">
        <v>1437</v>
      </c>
      <c r="AO200" s="14">
        <v>28</v>
      </c>
      <c r="AP200" s="14" t="s">
        <v>1416</v>
      </c>
      <c r="AQ200" s="14">
        <v>0</v>
      </c>
      <c r="AR200" s="14" t="s">
        <v>1410</v>
      </c>
      <c r="AT200" s="14" t="s">
        <v>1417</v>
      </c>
      <c r="AU200" s="14" t="s">
        <v>1412</v>
      </c>
    </row>
    <row r="201" spans="1:47" x14ac:dyDescent="0.45">
      <c r="A201" s="42">
        <v>2413150077</v>
      </c>
      <c r="B201" s="14">
        <v>131</v>
      </c>
      <c r="C201" s="14" t="s">
        <v>1462</v>
      </c>
      <c r="D201" s="14">
        <v>130</v>
      </c>
      <c r="E201" s="14" t="s">
        <v>1402</v>
      </c>
      <c r="F201" s="14" t="s">
        <v>952</v>
      </c>
      <c r="G201" s="14" t="s">
        <v>953</v>
      </c>
      <c r="H201" s="14">
        <v>2</v>
      </c>
      <c r="I201" s="14" t="s">
        <v>954</v>
      </c>
      <c r="J201" s="14" t="s">
        <v>1403</v>
      </c>
      <c r="K201" s="14">
        <v>2024</v>
      </c>
      <c r="L201" s="42">
        <v>2024</v>
      </c>
      <c r="M201" s="43">
        <v>45201</v>
      </c>
      <c r="N201" s="14" t="s">
        <v>36</v>
      </c>
      <c r="O201" s="14" t="s">
        <v>708</v>
      </c>
      <c r="P201" s="14">
        <v>1044</v>
      </c>
      <c r="Q201" s="14" t="s">
        <v>1476</v>
      </c>
      <c r="R201" s="14">
        <v>2</v>
      </c>
      <c r="S201" s="14">
        <v>3</v>
      </c>
      <c r="T201" s="14" t="s">
        <v>1477</v>
      </c>
      <c r="U201" s="14">
        <v>4</v>
      </c>
      <c r="V201" s="42">
        <v>2422529</v>
      </c>
      <c r="W201" s="42">
        <v>0</v>
      </c>
      <c r="X201" s="42" t="s">
        <v>1406</v>
      </c>
      <c r="Z201" s="14" t="s">
        <v>32</v>
      </c>
      <c r="AA201" s="45">
        <v>45218</v>
      </c>
      <c r="AB201" s="14">
        <v>24</v>
      </c>
      <c r="AC201" s="14">
        <v>22529</v>
      </c>
      <c r="AD201" s="14">
        <v>131</v>
      </c>
      <c r="AE201" s="14" t="s">
        <v>1462</v>
      </c>
      <c r="AF201" s="14">
        <v>130</v>
      </c>
      <c r="AG201" s="14" t="s">
        <v>1402</v>
      </c>
      <c r="AH201" s="14" t="s">
        <v>36</v>
      </c>
      <c r="AI201" s="14" t="s">
        <v>708</v>
      </c>
      <c r="AJ201" s="14">
        <v>1044</v>
      </c>
      <c r="AK201" s="14" t="s">
        <v>1407</v>
      </c>
      <c r="AL201" s="14">
        <v>28091</v>
      </c>
      <c r="AM201" s="14" t="s">
        <v>1421</v>
      </c>
      <c r="AN201" s="14" t="s">
        <v>1452</v>
      </c>
      <c r="AO201" s="14">
        <v>28</v>
      </c>
      <c r="AP201" s="14" t="s">
        <v>1416</v>
      </c>
      <c r="AQ201" s="14">
        <v>0</v>
      </c>
      <c r="AR201" s="14" t="s">
        <v>1410</v>
      </c>
      <c r="AT201" s="14" t="s">
        <v>1417</v>
      </c>
      <c r="AU201" s="14" t="s">
        <v>1412</v>
      </c>
    </row>
    <row r="202" spans="1:47" x14ac:dyDescent="0.45">
      <c r="A202" s="42">
        <v>2413050022</v>
      </c>
      <c r="B202" s="14">
        <v>130</v>
      </c>
      <c r="C202" s="14" t="s">
        <v>1401</v>
      </c>
      <c r="D202" s="14">
        <v>130</v>
      </c>
      <c r="E202" s="14" t="s">
        <v>1402</v>
      </c>
      <c r="F202" s="14" t="s">
        <v>560</v>
      </c>
      <c r="G202" s="14" t="s">
        <v>561</v>
      </c>
      <c r="H202" s="14">
        <v>1</v>
      </c>
      <c r="I202" s="14" t="s">
        <v>562</v>
      </c>
      <c r="J202" s="14" t="s">
        <v>1403</v>
      </c>
      <c r="K202" s="14">
        <v>2024</v>
      </c>
      <c r="L202" s="42">
        <v>2024</v>
      </c>
      <c r="M202" s="43">
        <v>45203</v>
      </c>
      <c r="N202" s="14" t="s">
        <v>36</v>
      </c>
      <c r="O202" s="14" t="s">
        <v>501</v>
      </c>
      <c r="P202" s="14">
        <v>1726</v>
      </c>
      <c r="Q202" s="14" t="s">
        <v>1430</v>
      </c>
      <c r="R202" s="14">
        <v>2</v>
      </c>
      <c r="S202" s="14">
        <v>34</v>
      </c>
      <c r="T202" s="14" t="s">
        <v>1431</v>
      </c>
      <c r="U202" s="14">
        <v>12</v>
      </c>
      <c r="V202" s="42">
        <v>2422017</v>
      </c>
      <c r="W202" s="42">
        <v>0</v>
      </c>
      <c r="X202" s="42" t="s">
        <v>1406</v>
      </c>
      <c r="Z202" s="14" t="s">
        <v>32</v>
      </c>
      <c r="AA202" s="45">
        <v>45216</v>
      </c>
      <c r="AB202" s="14">
        <v>24</v>
      </c>
      <c r="AC202" s="14">
        <v>22017</v>
      </c>
      <c r="AD202" s="14">
        <v>130</v>
      </c>
      <c r="AE202" s="14" t="s">
        <v>1401</v>
      </c>
      <c r="AF202" s="14">
        <v>130</v>
      </c>
      <c r="AG202" s="14" t="s">
        <v>1402</v>
      </c>
      <c r="AH202" s="14" t="s">
        <v>36</v>
      </c>
      <c r="AI202" s="14" t="s">
        <v>501</v>
      </c>
      <c r="AJ202" s="14">
        <v>1726</v>
      </c>
      <c r="AK202" s="14" t="s">
        <v>1407</v>
      </c>
      <c r="AL202" s="14">
        <v>28099</v>
      </c>
      <c r="AM202" s="14" t="s">
        <v>1418</v>
      </c>
      <c r="AN202" s="14" t="s">
        <v>1447</v>
      </c>
      <c r="AO202" s="14">
        <v>28</v>
      </c>
      <c r="AP202" s="14" t="s">
        <v>1416</v>
      </c>
      <c r="AQ202" s="14">
        <v>0</v>
      </c>
      <c r="AR202" s="14" t="s">
        <v>1410</v>
      </c>
      <c r="AT202" s="14" t="s">
        <v>1417</v>
      </c>
      <c r="AU202" s="14" t="s">
        <v>1412</v>
      </c>
    </row>
    <row r="203" spans="1:47" x14ac:dyDescent="0.45">
      <c r="A203" s="42">
        <v>2413050012</v>
      </c>
      <c r="B203" s="14">
        <v>130</v>
      </c>
      <c r="C203" s="14" t="s">
        <v>1401</v>
      </c>
      <c r="D203" s="14">
        <v>130</v>
      </c>
      <c r="E203" s="14" t="s">
        <v>1402</v>
      </c>
      <c r="F203" s="14" t="s">
        <v>521</v>
      </c>
      <c r="G203" s="14" t="s">
        <v>522</v>
      </c>
      <c r="H203" s="14">
        <v>1</v>
      </c>
      <c r="I203" s="14" t="s">
        <v>523</v>
      </c>
      <c r="J203" s="14" t="s">
        <v>1403</v>
      </c>
      <c r="K203" s="14">
        <v>2024</v>
      </c>
      <c r="L203" s="42">
        <v>2024</v>
      </c>
      <c r="M203" s="43">
        <v>45202</v>
      </c>
      <c r="N203" s="14" t="s">
        <v>36</v>
      </c>
      <c r="O203" s="14" t="s">
        <v>501</v>
      </c>
      <c r="P203" s="14">
        <v>1726</v>
      </c>
      <c r="Q203" s="14" t="s">
        <v>1430</v>
      </c>
      <c r="R203" s="14">
        <v>2</v>
      </c>
      <c r="S203" s="14">
        <v>34</v>
      </c>
      <c r="T203" s="14" t="s">
        <v>1431</v>
      </c>
      <c r="U203" s="14">
        <v>12</v>
      </c>
      <c r="V203" s="42">
        <v>2422015</v>
      </c>
      <c r="W203" s="42">
        <v>0</v>
      </c>
      <c r="X203" s="42" t="s">
        <v>1406</v>
      </c>
      <c r="Z203" s="14" t="s">
        <v>32</v>
      </c>
      <c r="AA203" s="45">
        <v>45216</v>
      </c>
      <c r="AB203" s="14">
        <v>24</v>
      </c>
      <c r="AC203" s="14">
        <v>22015</v>
      </c>
      <c r="AD203" s="14">
        <v>130</v>
      </c>
      <c r="AE203" s="14" t="s">
        <v>1401</v>
      </c>
      <c r="AF203" s="14">
        <v>130</v>
      </c>
      <c r="AG203" s="14" t="s">
        <v>1402</v>
      </c>
      <c r="AH203" s="14" t="s">
        <v>36</v>
      </c>
      <c r="AI203" s="14" t="s">
        <v>501</v>
      </c>
      <c r="AJ203" s="14">
        <v>1726</v>
      </c>
      <c r="AK203" s="14" t="s">
        <v>1407</v>
      </c>
      <c r="AL203" s="14">
        <v>28193</v>
      </c>
      <c r="AM203" s="14" t="s">
        <v>1418</v>
      </c>
      <c r="AN203" s="14" t="s">
        <v>1439</v>
      </c>
      <c r="AO203" s="14">
        <v>28</v>
      </c>
      <c r="AP203" s="14" t="s">
        <v>1416</v>
      </c>
      <c r="AQ203" s="14">
        <v>0</v>
      </c>
      <c r="AR203" s="14" t="s">
        <v>1410</v>
      </c>
      <c r="AT203" s="14" t="s">
        <v>1417</v>
      </c>
      <c r="AU203" s="14" t="s">
        <v>1412</v>
      </c>
    </row>
    <row r="204" spans="1:47" x14ac:dyDescent="0.45">
      <c r="A204" s="42">
        <v>2413050045</v>
      </c>
      <c r="B204" s="14">
        <v>130</v>
      </c>
      <c r="C204" s="14" t="s">
        <v>1401</v>
      </c>
      <c r="D204" s="14">
        <v>130</v>
      </c>
      <c r="E204" s="14" t="s">
        <v>1402</v>
      </c>
      <c r="F204" s="14" t="s">
        <v>636</v>
      </c>
      <c r="G204" s="14" t="s">
        <v>637</v>
      </c>
      <c r="H204" s="14">
        <v>1</v>
      </c>
      <c r="I204" s="14" t="s">
        <v>638</v>
      </c>
      <c r="J204" s="14" t="s">
        <v>1403</v>
      </c>
      <c r="K204" s="14">
        <v>2024</v>
      </c>
      <c r="L204" s="42">
        <v>2024</v>
      </c>
      <c r="M204" s="43">
        <v>45201</v>
      </c>
      <c r="N204" s="14" t="s">
        <v>36</v>
      </c>
      <c r="O204" s="14" t="s">
        <v>485</v>
      </c>
      <c r="P204" s="14">
        <v>1131</v>
      </c>
      <c r="Q204" s="14" t="s">
        <v>1413</v>
      </c>
      <c r="R204" s="14">
        <v>3</v>
      </c>
      <c r="S204" s="14">
        <v>6</v>
      </c>
      <c r="T204" s="14" t="s">
        <v>1405</v>
      </c>
      <c r="U204" s="14">
        <v>5</v>
      </c>
      <c r="V204" s="42">
        <v>2422014</v>
      </c>
      <c r="W204" s="42">
        <v>0</v>
      </c>
      <c r="X204" s="42" t="s">
        <v>1406</v>
      </c>
      <c r="Z204" s="14" t="s">
        <v>32</v>
      </c>
      <c r="AA204" s="45">
        <v>45216</v>
      </c>
      <c r="AB204" s="14">
        <v>24</v>
      </c>
      <c r="AC204" s="14">
        <v>22014</v>
      </c>
      <c r="AD204" s="14">
        <v>130</v>
      </c>
      <c r="AE204" s="14" t="s">
        <v>1401</v>
      </c>
      <c r="AF204" s="14">
        <v>130</v>
      </c>
      <c r="AG204" s="14" t="s">
        <v>1402</v>
      </c>
      <c r="AH204" s="14" t="s">
        <v>36</v>
      </c>
      <c r="AI204" s="14" t="s">
        <v>485</v>
      </c>
      <c r="AJ204" s="14">
        <v>1131</v>
      </c>
      <c r="AK204" s="14" t="s">
        <v>1407</v>
      </c>
      <c r="AL204" s="14">
        <v>28090</v>
      </c>
      <c r="AM204" s="14" t="s">
        <v>1414</v>
      </c>
      <c r="AN204" s="14" t="s">
        <v>1455</v>
      </c>
      <c r="AO204" s="14">
        <v>28</v>
      </c>
      <c r="AP204" s="14" t="s">
        <v>1416</v>
      </c>
      <c r="AQ204" s="14">
        <v>0</v>
      </c>
      <c r="AR204" s="14" t="s">
        <v>1410</v>
      </c>
      <c r="AT204" s="14" t="s">
        <v>1417</v>
      </c>
      <c r="AU204" s="14" t="s">
        <v>1412</v>
      </c>
    </row>
    <row r="205" spans="1:47" x14ac:dyDescent="0.45">
      <c r="A205" s="42">
        <v>2413050003</v>
      </c>
      <c r="B205" s="14">
        <v>130</v>
      </c>
      <c r="C205" s="14" t="s">
        <v>1401</v>
      </c>
      <c r="D205" s="14">
        <v>130</v>
      </c>
      <c r="E205" s="14" t="s">
        <v>1402</v>
      </c>
      <c r="F205" s="14" t="s">
        <v>488</v>
      </c>
      <c r="G205" s="14" t="s">
        <v>489</v>
      </c>
      <c r="H205" s="14">
        <v>1</v>
      </c>
      <c r="I205" s="14" t="s">
        <v>490</v>
      </c>
      <c r="J205" s="14" t="s">
        <v>1403</v>
      </c>
      <c r="K205" s="14">
        <v>2024</v>
      </c>
      <c r="L205" s="42">
        <v>2024</v>
      </c>
      <c r="M205" s="43">
        <v>45197</v>
      </c>
      <c r="N205" s="14" t="s">
        <v>36</v>
      </c>
      <c r="O205" s="14" t="s">
        <v>485</v>
      </c>
      <c r="P205" s="14">
        <v>1131</v>
      </c>
      <c r="Q205" s="14" t="s">
        <v>1413</v>
      </c>
      <c r="R205" s="14">
        <v>3</v>
      </c>
      <c r="S205" s="14">
        <v>6</v>
      </c>
      <c r="T205" s="14" t="s">
        <v>1405</v>
      </c>
      <c r="U205" s="14">
        <v>5</v>
      </c>
      <c r="V205" s="42">
        <v>2422012</v>
      </c>
      <c r="W205" s="42">
        <v>0</v>
      </c>
      <c r="X205" s="42" t="s">
        <v>1406</v>
      </c>
      <c r="Z205" s="14" t="s">
        <v>32</v>
      </c>
      <c r="AA205" s="45">
        <v>45216</v>
      </c>
      <c r="AB205" s="14">
        <v>24</v>
      </c>
      <c r="AC205" s="14">
        <v>22012</v>
      </c>
      <c r="AD205" s="14">
        <v>130</v>
      </c>
      <c r="AE205" s="14" t="s">
        <v>1401</v>
      </c>
      <c r="AF205" s="14">
        <v>130</v>
      </c>
      <c r="AG205" s="14" t="s">
        <v>1402</v>
      </c>
      <c r="AH205" s="14" t="s">
        <v>36</v>
      </c>
      <c r="AI205" s="14" t="s">
        <v>485</v>
      </c>
      <c r="AJ205" s="14">
        <v>1131</v>
      </c>
      <c r="AK205" s="14" t="s">
        <v>1407</v>
      </c>
      <c r="AL205" s="14">
        <v>28100</v>
      </c>
      <c r="AM205" s="14" t="s">
        <v>1418</v>
      </c>
      <c r="AN205" s="14" t="s">
        <v>1434</v>
      </c>
      <c r="AO205" s="14">
        <v>28</v>
      </c>
      <c r="AP205" s="14" t="s">
        <v>1416</v>
      </c>
      <c r="AQ205" s="14">
        <v>0</v>
      </c>
      <c r="AR205" s="14" t="s">
        <v>1410</v>
      </c>
      <c r="AT205" s="14" t="s">
        <v>1417</v>
      </c>
      <c r="AU205" s="14" t="s">
        <v>1412</v>
      </c>
    </row>
    <row r="206" spans="1:47" x14ac:dyDescent="0.45">
      <c r="A206" s="42">
        <v>2413050055</v>
      </c>
      <c r="B206" s="14">
        <v>130</v>
      </c>
      <c r="C206" s="14" t="s">
        <v>1401</v>
      </c>
      <c r="D206" s="14">
        <v>130</v>
      </c>
      <c r="E206" s="14" t="s">
        <v>1402</v>
      </c>
      <c r="F206" s="14" t="s">
        <v>673</v>
      </c>
      <c r="G206" s="14" t="s">
        <v>674</v>
      </c>
      <c r="H206" s="14">
        <v>2</v>
      </c>
      <c r="I206" s="14" t="s">
        <v>675</v>
      </c>
      <c r="J206" s="14" t="s">
        <v>1403</v>
      </c>
      <c r="K206" s="14">
        <v>2024</v>
      </c>
      <c r="L206" s="42">
        <v>2024</v>
      </c>
      <c r="M206" s="43">
        <v>45194</v>
      </c>
      <c r="N206" s="14" t="s">
        <v>36</v>
      </c>
      <c r="O206" s="14" t="s">
        <v>472</v>
      </c>
      <c r="P206" s="14">
        <v>1043</v>
      </c>
      <c r="Q206" s="14" t="s">
        <v>1404</v>
      </c>
      <c r="R206" s="14">
        <v>2</v>
      </c>
      <c r="S206" s="14">
        <v>6</v>
      </c>
      <c r="T206" s="14" t="s">
        <v>1405</v>
      </c>
      <c r="U206" s="14">
        <v>5</v>
      </c>
      <c r="V206" s="42">
        <v>2422016</v>
      </c>
      <c r="W206" s="42">
        <v>0</v>
      </c>
      <c r="X206" s="42" t="s">
        <v>1406</v>
      </c>
      <c r="Y206" s="59"/>
      <c r="Z206" s="14" t="s">
        <v>32</v>
      </c>
      <c r="AA206" s="45">
        <v>45216</v>
      </c>
      <c r="AB206" s="14">
        <v>24</v>
      </c>
      <c r="AC206" s="14">
        <v>22016</v>
      </c>
      <c r="AD206" s="14">
        <v>130</v>
      </c>
      <c r="AE206" s="14" t="s">
        <v>1401</v>
      </c>
      <c r="AF206" s="14">
        <v>130</v>
      </c>
      <c r="AG206" s="14" t="s">
        <v>1402</v>
      </c>
      <c r="AH206" s="14" t="s">
        <v>36</v>
      </c>
      <c r="AI206" s="14" t="s">
        <v>472</v>
      </c>
      <c r="AJ206" s="14">
        <v>1043</v>
      </c>
      <c r="AK206" s="14" t="s">
        <v>1407</v>
      </c>
      <c r="AL206" s="14">
        <v>28269</v>
      </c>
      <c r="AM206" s="14" t="s">
        <v>1421</v>
      </c>
      <c r="AN206" s="14" t="s">
        <v>1450</v>
      </c>
      <c r="AO206" s="14">
        <v>28</v>
      </c>
      <c r="AP206" s="14" t="s">
        <v>1416</v>
      </c>
      <c r="AQ206" s="14">
        <v>0</v>
      </c>
      <c r="AR206" s="14" t="s">
        <v>1410</v>
      </c>
      <c r="AT206" s="14" t="s">
        <v>1417</v>
      </c>
      <c r="AU206" s="14" t="s">
        <v>1412</v>
      </c>
    </row>
    <row r="207" spans="1:47" x14ac:dyDescent="0.45">
      <c r="A207" s="42">
        <v>2413150052</v>
      </c>
      <c r="B207" s="14">
        <v>131</v>
      </c>
      <c r="C207" s="14" t="s">
        <v>1462</v>
      </c>
      <c r="D207" s="14">
        <v>130</v>
      </c>
      <c r="E207" s="14" t="s">
        <v>1402</v>
      </c>
      <c r="F207" s="14" t="s">
        <v>879</v>
      </c>
      <c r="G207" s="14" t="s">
        <v>880</v>
      </c>
      <c r="H207" s="14">
        <v>1</v>
      </c>
      <c r="I207" s="14" t="s">
        <v>881</v>
      </c>
      <c r="J207" s="14" t="s">
        <v>1403</v>
      </c>
      <c r="K207" s="14">
        <v>2024</v>
      </c>
      <c r="L207" s="42">
        <v>2024</v>
      </c>
      <c r="M207" s="43">
        <v>45194</v>
      </c>
      <c r="N207" s="14" t="s">
        <v>36</v>
      </c>
      <c r="O207" s="14" t="s">
        <v>704</v>
      </c>
      <c r="P207" s="14">
        <v>428</v>
      </c>
      <c r="Q207" s="14" t="s">
        <v>1463</v>
      </c>
      <c r="R207" s="14">
        <v>2</v>
      </c>
      <c r="S207" s="14">
        <v>2</v>
      </c>
      <c r="T207" s="14" t="s">
        <v>1464</v>
      </c>
      <c r="U207" s="14">
        <v>1</v>
      </c>
      <c r="V207" s="42">
        <v>2422526</v>
      </c>
      <c r="W207" s="42">
        <v>0</v>
      </c>
      <c r="X207" s="42" t="s">
        <v>1406</v>
      </c>
      <c r="Z207" s="14" t="s">
        <v>32</v>
      </c>
      <c r="AA207" s="45">
        <v>45216</v>
      </c>
      <c r="AB207" s="14">
        <v>24</v>
      </c>
      <c r="AC207" s="14">
        <v>22526</v>
      </c>
      <c r="AD207" s="14">
        <v>131</v>
      </c>
      <c r="AE207" s="14" t="s">
        <v>1462</v>
      </c>
      <c r="AF207" s="14">
        <v>130</v>
      </c>
      <c r="AG207" s="14" t="s">
        <v>1402</v>
      </c>
      <c r="AH207" s="14" t="s">
        <v>36</v>
      </c>
      <c r="AI207" s="14" t="s">
        <v>704</v>
      </c>
      <c r="AJ207" s="14">
        <v>428</v>
      </c>
      <c r="AK207" s="14" t="s">
        <v>1407</v>
      </c>
      <c r="AL207" s="14">
        <v>28094</v>
      </c>
      <c r="AM207" s="14" t="s">
        <v>1421</v>
      </c>
      <c r="AN207" s="14" t="s">
        <v>1437</v>
      </c>
      <c r="AO207" s="14">
        <v>28</v>
      </c>
      <c r="AP207" s="14" t="s">
        <v>1416</v>
      </c>
      <c r="AQ207" s="14">
        <v>0</v>
      </c>
      <c r="AR207" s="14" t="s">
        <v>1410</v>
      </c>
      <c r="AT207" s="14" t="s">
        <v>1417</v>
      </c>
      <c r="AU207" s="14" t="s">
        <v>1412</v>
      </c>
    </row>
    <row r="208" spans="1:47" x14ac:dyDescent="0.45">
      <c r="A208" s="42">
        <v>2413150023</v>
      </c>
      <c r="B208" s="14">
        <v>131</v>
      </c>
      <c r="C208" s="14" t="s">
        <v>1462</v>
      </c>
      <c r="D208" s="14">
        <v>130</v>
      </c>
      <c r="E208" s="14" t="s">
        <v>1402</v>
      </c>
      <c r="F208" s="14" t="s">
        <v>785</v>
      </c>
      <c r="G208" s="14" t="s">
        <v>786</v>
      </c>
      <c r="H208" s="14">
        <v>2</v>
      </c>
      <c r="I208" s="14" t="s">
        <v>787</v>
      </c>
      <c r="J208" s="14" t="s">
        <v>1403</v>
      </c>
      <c r="K208" s="14">
        <v>2024</v>
      </c>
      <c r="L208" s="42">
        <v>2024</v>
      </c>
      <c r="M208" s="43">
        <v>45190</v>
      </c>
      <c r="N208" s="14" t="s">
        <v>36</v>
      </c>
      <c r="O208" s="14" t="s">
        <v>704</v>
      </c>
      <c r="P208" s="14">
        <v>260</v>
      </c>
      <c r="Q208" s="14" t="s">
        <v>1519</v>
      </c>
      <c r="R208" s="14">
        <v>2</v>
      </c>
      <c r="S208" s="14">
        <v>2</v>
      </c>
      <c r="T208" s="14" t="s">
        <v>1464</v>
      </c>
      <c r="U208" s="14">
        <v>1</v>
      </c>
      <c r="V208" s="42">
        <v>2422524</v>
      </c>
      <c r="W208" s="42">
        <v>0</v>
      </c>
      <c r="X208" s="42" t="s">
        <v>1406</v>
      </c>
      <c r="Z208" s="14" t="s">
        <v>32</v>
      </c>
      <c r="AA208" s="45">
        <v>45216</v>
      </c>
      <c r="AB208" s="14">
        <v>24</v>
      </c>
      <c r="AC208" s="14">
        <v>22524</v>
      </c>
      <c r="AD208" s="14">
        <v>131</v>
      </c>
      <c r="AE208" s="14" t="s">
        <v>1462</v>
      </c>
      <c r="AF208" s="14">
        <v>130</v>
      </c>
      <c r="AG208" s="14" t="s">
        <v>1402</v>
      </c>
      <c r="AH208" s="14" t="s">
        <v>36</v>
      </c>
      <c r="AI208" s="14" t="s">
        <v>704</v>
      </c>
      <c r="AJ208" s="14">
        <v>260</v>
      </c>
      <c r="AK208" s="14" t="s">
        <v>1407</v>
      </c>
      <c r="AL208" s="14">
        <v>28099</v>
      </c>
      <c r="AM208" s="14" t="s">
        <v>1418</v>
      </c>
      <c r="AN208" s="14" t="s">
        <v>1447</v>
      </c>
      <c r="AO208" s="14">
        <v>28</v>
      </c>
      <c r="AP208" s="14" t="s">
        <v>1416</v>
      </c>
      <c r="AQ208" s="14">
        <v>0</v>
      </c>
      <c r="AR208" s="14" t="s">
        <v>1410</v>
      </c>
      <c r="AT208" s="14" t="s">
        <v>1417</v>
      </c>
      <c r="AU208" s="14" t="s">
        <v>1412</v>
      </c>
    </row>
    <row r="209" spans="1:47" x14ac:dyDescent="0.45">
      <c r="A209" s="42">
        <v>2413150104</v>
      </c>
      <c r="B209" s="14">
        <v>131</v>
      </c>
      <c r="C209" s="14" t="s">
        <v>1462</v>
      </c>
      <c r="D209" s="14">
        <v>130</v>
      </c>
      <c r="E209" s="14" t="s">
        <v>1402</v>
      </c>
      <c r="F209" s="14" t="s">
        <v>1033</v>
      </c>
      <c r="G209" s="14" t="s">
        <v>1034</v>
      </c>
      <c r="H209" s="14">
        <v>1</v>
      </c>
      <c r="I209" s="14" t="s">
        <v>831</v>
      </c>
      <c r="J209" s="14" t="s">
        <v>1403</v>
      </c>
      <c r="K209" s="14">
        <v>2024</v>
      </c>
      <c r="L209" s="42">
        <v>2024</v>
      </c>
      <c r="M209" s="43">
        <v>45190</v>
      </c>
      <c r="N209" s="14" t="s">
        <v>36</v>
      </c>
      <c r="O209" s="14" t="s">
        <v>704</v>
      </c>
      <c r="P209" s="14">
        <v>427</v>
      </c>
      <c r="Q209" s="14" t="s">
        <v>1479</v>
      </c>
      <c r="R209" s="14">
        <v>2</v>
      </c>
      <c r="S209" s="14">
        <v>2</v>
      </c>
      <c r="T209" s="14" t="s">
        <v>1464</v>
      </c>
      <c r="U209" s="14">
        <v>1</v>
      </c>
      <c r="V209" s="42">
        <v>2422527</v>
      </c>
      <c r="W209" s="42">
        <v>0</v>
      </c>
      <c r="X209" s="42" t="s">
        <v>1406</v>
      </c>
      <c r="Z209" s="14" t="s">
        <v>32</v>
      </c>
      <c r="AA209" s="45">
        <v>45216</v>
      </c>
      <c r="AB209" s="14">
        <v>24</v>
      </c>
      <c r="AC209" s="14">
        <v>22527</v>
      </c>
      <c r="AD209" s="14">
        <v>131</v>
      </c>
      <c r="AE209" s="14" t="s">
        <v>1462</v>
      </c>
      <c r="AF209" s="14">
        <v>130</v>
      </c>
      <c r="AG209" s="14" t="s">
        <v>1402</v>
      </c>
      <c r="AH209" s="14" t="s">
        <v>36</v>
      </c>
      <c r="AI209" s="14" t="s">
        <v>704</v>
      </c>
      <c r="AJ209" s="14">
        <v>427</v>
      </c>
      <c r="AK209" s="14" t="s">
        <v>1407</v>
      </c>
      <c r="AL209" s="14">
        <v>28015</v>
      </c>
      <c r="AM209" s="14" t="s">
        <v>1421</v>
      </c>
      <c r="AN209" s="14" t="s">
        <v>1525</v>
      </c>
      <c r="AO209" s="14">
        <v>28</v>
      </c>
      <c r="AP209" s="14" t="s">
        <v>1416</v>
      </c>
      <c r="AQ209" s="14">
        <v>0</v>
      </c>
      <c r="AR209" s="14" t="s">
        <v>1410</v>
      </c>
      <c r="AT209" s="14" t="s">
        <v>1417</v>
      </c>
      <c r="AU209" s="14" t="s">
        <v>1412</v>
      </c>
    </row>
    <row r="210" spans="1:47" x14ac:dyDescent="0.45">
      <c r="A210" s="42">
        <v>2413150119</v>
      </c>
      <c r="B210" s="14">
        <v>131</v>
      </c>
      <c r="C210" s="14" t="s">
        <v>1462</v>
      </c>
      <c r="D210" s="14">
        <v>130</v>
      </c>
      <c r="E210" s="14" t="s">
        <v>1402</v>
      </c>
      <c r="F210" s="14" t="s">
        <v>1076</v>
      </c>
      <c r="G210" s="14" t="s">
        <v>1077</v>
      </c>
      <c r="H210" s="14">
        <v>1</v>
      </c>
      <c r="I210" s="14" t="s">
        <v>1078</v>
      </c>
      <c r="J210" s="14" t="s">
        <v>1403</v>
      </c>
      <c r="K210" s="14">
        <v>2024</v>
      </c>
      <c r="L210" s="42">
        <v>2024</v>
      </c>
      <c r="M210" s="43">
        <v>45183</v>
      </c>
      <c r="N210" s="14" t="s">
        <v>36</v>
      </c>
      <c r="O210" s="14" t="s">
        <v>704</v>
      </c>
      <c r="P210" s="14">
        <v>428</v>
      </c>
      <c r="Q210" s="14" t="s">
        <v>1463</v>
      </c>
      <c r="R210" s="14">
        <v>2</v>
      </c>
      <c r="S210" s="14">
        <v>2</v>
      </c>
      <c r="T210" s="14" t="s">
        <v>1464</v>
      </c>
      <c r="U210" s="14">
        <v>1</v>
      </c>
      <c r="V210" s="42">
        <v>2422525</v>
      </c>
      <c r="W210" s="42">
        <v>0</v>
      </c>
      <c r="X210" s="42" t="s">
        <v>1406</v>
      </c>
      <c r="Z210" s="14" t="s">
        <v>32</v>
      </c>
      <c r="AA210" s="45">
        <v>45216</v>
      </c>
      <c r="AB210" s="14">
        <v>24</v>
      </c>
      <c r="AC210" s="14">
        <v>22525</v>
      </c>
      <c r="AD210" s="14">
        <v>131</v>
      </c>
      <c r="AE210" s="14" t="s">
        <v>1462</v>
      </c>
      <c r="AF210" s="14">
        <v>130</v>
      </c>
      <c r="AG210" s="14" t="s">
        <v>1402</v>
      </c>
      <c r="AH210" s="14" t="s">
        <v>36</v>
      </c>
      <c r="AI210" s="14" t="s">
        <v>704</v>
      </c>
      <c r="AJ210" s="14">
        <v>428</v>
      </c>
      <c r="AK210" s="14" t="s">
        <v>1407</v>
      </c>
      <c r="AL210" s="14">
        <v>28174</v>
      </c>
      <c r="AM210" s="14" t="s">
        <v>1418</v>
      </c>
      <c r="AN210" s="14" t="s">
        <v>1543</v>
      </c>
      <c r="AO210" s="14">
        <v>28</v>
      </c>
      <c r="AP210" s="14" t="s">
        <v>1416</v>
      </c>
      <c r="AQ210" s="14">
        <v>0</v>
      </c>
      <c r="AR210" s="14" t="s">
        <v>1410</v>
      </c>
      <c r="AT210" s="14" t="s">
        <v>1417</v>
      </c>
      <c r="AU210" s="14" t="s">
        <v>1412</v>
      </c>
    </row>
    <row r="211" spans="1:47" x14ac:dyDescent="0.45">
      <c r="A211" s="42">
        <v>2413150105</v>
      </c>
      <c r="B211" s="14">
        <v>131</v>
      </c>
      <c r="C211" s="14" t="s">
        <v>1462</v>
      </c>
      <c r="D211" s="14">
        <v>130</v>
      </c>
      <c r="E211" s="14" t="s">
        <v>1402</v>
      </c>
      <c r="F211" s="14" t="s">
        <v>1037</v>
      </c>
      <c r="G211" s="14" t="s">
        <v>1038</v>
      </c>
      <c r="H211" s="14">
        <v>2</v>
      </c>
      <c r="I211" s="14" t="s">
        <v>1039</v>
      </c>
      <c r="J211" s="14" t="s">
        <v>1540</v>
      </c>
      <c r="K211" s="14">
        <v>2024</v>
      </c>
      <c r="L211" s="42">
        <v>2024</v>
      </c>
      <c r="M211" s="43">
        <v>45177</v>
      </c>
      <c r="N211" s="14" t="s">
        <v>36</v>
      </c>
      <c r="O211" s="14" t="s">
        <v>741</v>
      </c>
      <c r="P211" s="14">
        <v>581</v>
      </c>
      <c r="Q211" s="14" t="s">
        <v>1489</v>
      </c>
      <c r="R211" s="14">
        <v>2</v>
      </c>
      <c r="S211" s="14">
        <v>10</v>
      </c>
      <c r="T211" s="14" t="s">
        <v>1490</v>
      </c>
      <c r="U211" s="14">
        <v>9</v>
      </c>
      <c r="V211" s="42">
        <v>2422523</v>
      </c>
      <c r="W211" s="42">
        <v>0</v>
      </c>
      <c r="X211" s="42" t="s">
        <v>1406</v>
      </c>
      <c r="Z211" s="14" t="s">
        <v>32</v>
      </c>
      <c r="AA211" s="45">
        <v>45216</v>
      </c>
      <c r="AB211" s="14">
        <v>24</v>
      </c>
      <c r="AC211" s="14">
        <v>22523</v>
      </c>
      <c r="AD211" s="14">
        <v>131</v>
      </c>
      <c r="AE211" s="14" t="s">
        <v>1462</v>
      </c>
      <c r="AF211" s="14">
        <v>130</v>
      </c>
      <c r="AG211" s="14" t="s">
        <v>1402</v>
      </c>
      <c r="AH211" s="14" t="s">
        <v>36</v>
      </c>
      <c r="AI211" s="14" t="s">
        <v>741</v>
      </c>
      <c r="AJ211" s="14">
        <v>581</v>
      </c>
      <c r="AK211" s="14" t="s">
        <v>1407</v>
      </c>
      <c r="AL211" s="14">
        <v>16056</v>
      </c>
      <c r="AM211" s="14" t="s">
        <v>1418</v>
      </c>
      <c r="AN211" s="14" t="s">
        <v>1541</v>
      </c>
      <c r="AO211" s="14">
        <v>16</v>
      </c>
      <c r="AP211" s="14" t="s">
        <v>1542</v>
      </c>
      <c r="AQ211" s="14">
        <v>0</v>
      </c>
      <c r="AR211" s="14" t="s">
        <v>1410</v>
      </c>
      <c r="AT211" s="14" t="s">
        <v>1417</v>
      </c>
      <c r="AU211" s="14" t="s">
        <v>1412</v>
      </c>
    </row>
    <row r="212" spans="1:47" x14ac:dyDescent="0.45">
      <c r="A212" s="42">
        <v>2413150114</v>
      </c>
      <c r="B212" s="14">
        <v>131</v>
      </c>
      <c r="C212" s="14" t="s">
        <v>1462</v>
      </c>
      <c r="D212" s="14">
        <v>130</v>
      </c>
      <c r="E212" s="14" t="s">
        <v>1402</v>
      </c>
      <c r="F212" s="14" t="s">
        <v>1064</v>
      </c>
      <c r="G212" s="14" t="s">
        <v>1065</v>
      </c>
      <c r="H212" s="14">
        <v>2</v>
      </c>
      <c r="I212" s="14" t="s">
        <v>543</v>
      </c>
      <c r="J212" s="14" t="s">
        <v>1403</v>
      </c>
      <c r="K212" s="14">
        <v>2024</v>
      </c>
      <c r="L212" s="42">
        <v>2024</v>
      </c>
      <c r="M212" s="43">
        <v>45176</v>
      </c>
      <c r="N212" s="14" t="s">
        <v>36</v>
      </c>
      <c r="O212" s="14" t="s">
        <v>698</v>
      </c>
      <c r="P212" s="14">
        <v>502</v>
      </c>
      <c r="Q212" s="14" t="s">
        <v>1500</v>
      </c>
      <c r="R212" s="14">
        <v>2</v>
      </c>
      <c r="S212" s="14">
        <v>5</v>
      </c>
      <c r="T212" s="14" t="s">
        <v>1470</v>
      </c>
      <c r="U212" s="14">
        <v>15</v>
      </c>
      <c r="V212" s="42">
        <v>2422522</v>
      </c>
      <c r="W212" s="42">
        <v>0</v>
      </c>
      <c r="X212" s="42" t="s">
        <v>1406</v>
      </c>
      <c r="Z212" s="14" t="s">
        <v>32</v>
      </c>
      <c r="AA212" s="45">
        <v>45216</v>
      </c>
      <c r="AB212" s="14">
        <v>24</v>
      </c>
      <c r="AC212" s="14">
        <v>22522</v>
      </c>
      <c r="AD212" s="14">
        <v>131</v>
      </c>
      <c r="AE212" s="14" t="s">
        <v>1462</v>
      </c>
      <c r="AF212" s="14">
        <v>130</v>
      </c>
      <c r="AG212" s="14" t="s">
        <v>1402</v>
      </c>
      <c r="AH212" s="14" t="s">
        <v>36</v>
      </c>
      <c r="AI212" s="14" t="s">
        <v>698</v>
      </c>
      <c r="AJ212" s="14">
        <v>502</v>
      </c>
      <c r="AK212" s="14" t="s">
        <v>1407</v>
      </c>
      <c r="AL212" s="14">
        <v>28032</v>
      </c>
      <c r="AM212" s="14" t="s">
        <v>1421</v>
      </c>
      <c r="AN212" s="14" t="s">
        <v>1545</v>
      </c>
      <c r="AO212" s="14">
        <v>28</v>
      </c>
      <c r="AP212" s="14" t="s">
        <v>1416</v>
      </c>
      <c r="AQ212" s="14">
        <v>0</v>
      </c>
      <c r="AR212" s="14" t="s">
        <v>1410</v>
      </c>
      <c r="AT212" s="14" t="s">
        <v>1417</v>
      </c>
      <c r="AU212" s="14" t="s">
        <v>1412</v>
      </c>
    </row>
    <row r="213" spans="1:47" x14ac:dyDescent="0.45">
      <c r="A213" s="42">
        <v>2413150005</v>
      </c>
      <c r="B213" s="14">
        <v>131</v>
      </c>
      <c r="C213" s="14" t="s">
        <v>1462</v>
      </c>
      <c r="D213" s="14">
        <v>130</v>
      </c>
      <c r="E213" s="14" t="s">
        <v>1402</v>
      </c>
      <c r="F213" s="14" t="s">
        <v>719</v>
      </c>
      <c r="G213" s="14" t="s">
        <v>720</v>
      </c>
      <c r="H213" s="14">
        <v>2</v>
      </c>
      <c r="I213" s="14" t="s">
        <v>721</v>
      </c>
      <c r="J213" s="14" t="s">
        <v>1403</v>
      </c>
      <c r="K213" s="14">
        <v>2024</v>
      </c>
      <c r="L213" s="42">
        <v>2024</v>
      </c>
      <c r="M213" s="43">
        <v>45173</v>
      </c>
      <c r="N213" s="14" t="s">
        <v>36</v>
      </c>
      <c r="O213" s="14" t="s">
        <v>708</v>
      </c>
      <c r="P213" s="14">
        <v>202</v>
      </c>
      <c r="Q213" s="14" t="s">
        <v>1504</v>
      </c>
      <c r="R213" s="14">
        <v>2</v>
      </c>
      <c r="S213" s="14">
        <v>8</v>
      </c>
      <c r="T213" s="14" t="s">
        <v>1503</v>
      </c>
      <c r="U213" s="14">
        <v>6</v>
      </c>
      <c r="V213" s="42">
        <v>2422528</v>
      </c>
      <c r="W213" s="42">
        <v>0</v>
      </c>
      <c r="X213" s="42" t="s">
        <v>1406</v>
      </c>
      <c r="Z213" s="14" t="s">
        <v>32</v>
      </c>
      <c r="AA213" s="45">
        <v>45216</v>
      </c>
      <c r="AB213" s="14">
        <v>24</v>
      </c>
      <c r="AC213" s="14">
        <v>22528</v>
      </c>
      <c r="AD213" s="14">
        <v>131</v>
      </c>
      <c r="AE213" s="14" t="s">
        <v>1462</v>
      </c>
      <c r="AF213" s="14">
        <v>130</v>
      </c>
      <c r="AG213" s="14" t="s">
        <v>1402</v>
      </c>
      <c r="AH213" s="14" t="s">
        <v>36</v>
      </c>
      <c r="AI213" s="14" t="s">
        <v>708</v>
      </c>
      <c r="AJ213" s="14">
        <v>202</v>
      </c>
      <c r="AK213" s="14" t="s">
        <v>1407</v>
      </c>
      <c r="AL213" s="14">
        <v>28103</v>
      </c>
      <c r="AM213" s="14" t="s">
        <v>1418</v>
      </c>
      <c r="AN213" s="14" t="s">
        <v>1505</v>
      </c>
      <c r="AO213" s="14">
        <v>28</v>
      </c>
      <c r="AP213" s="14" t="s">
        <v>1416</v>
      </c>
      <c r="AQ213" s="14">
        <v>0</v>
      </c>
      <c r="AR213" s="14" t="s">
        <v>1410</v>
      </c>
      <c r="AT213" s="14" t="s">
        <v>1417</v>
      </c>
      <c r="AU213" s="14" t="s">
        <v>1412</v>
      </c>
    </row>
    <row r="214" spans="1:47" x14ac:dyDescent="0.45">
      <c r="A214" s="42">
        <v>2413050011</v>
      </c>
      <c r="B214" s="14">
        <v>130</v>
      </c>
      <c r="C214" s="14" t="s">
        <v>1401</v>
      </c>
      <c r="D214" s="14">
        <v>130</v>
      </c>
      <c r="E214" s="14" t="s">
        <v>1402</v>
      </c>
      <c r="F214" s="14" t="s">
        <v>517</v>
      </c>
      <c r="G214" s="14" t="s">
        <v>518</v>
      </c>
      <c r="H214" s="14">
        <v>1</v>
      </c>
      <c r="I214" s="14" t="s">
        <v>519</v>
      </c>
      <c r="J214" s="14" t="s">
        <v>1403</v>
      </c>
      <c r="K214" s="14">
        <v>2024</v>
      </c>
      <c r="L214" s="42">
        <v>2024</v>
      </c>
      <c r="M214" s="43">
        <v>45170</v>
      </c>
      <c r="N214" s="14" t="s">
        <v>36</v>
      </c>
      <c r="O214" s="14" t="s">
        <v>501</v>
      </c>
      <c r="P214" s="14">
        <v>1726</v>
      </c>
      <c r="Q214" s="14" t="s">
        <v>1430</v>
      </c>
      <c r="R214" s="14">
        <v>2</v>
      </c>
      <c r="S214" s="14">
        <v>34</v>
      </c>
      <c r="T214" s="14" t="s">
        <v>1431</v>
      </c>
      <c r="U214" s="14">
        <v>12</v>
      </c>
      <c r="V214" s="42">
        <v>2422013</v>
      </c>
      <c r="W214" s="42">
        <v>0</v>
      </c>
      <c r="X214" s="42" t="s">
        <v>1406</v>
      </c>
      <c r="Z214" s="14" t="s">
        <v>32</v>
      </c>
      <c r="AA214" s="45">
        <v>45216</v>
      </c>
      <c r="AB214" s="14">
        <v>24</v>
      </c>
      <c r="AC214" s="14">
        <v>22013</v>
      </c>
      <c r="AD214" s="14">
        <v>130</v>
      </c>
      <c r="AE214" s="14" t="s">
        <v>1401</v>
      </c>
      <c r="AF214" s="14">
        <v>130</v>
      </c>
      <c r="AG214" s="14" t="s">
        <v>1402</v>
      </c>
      <c r="AH214" s="14" t="s">
        <v>36</v>
      </c>
      <c r="AI214" s="14" t="s">
        <v>501</v>
      </c>
      <c r="AJ214" s="14">
        <v>1726</v>
      </c>
      <c r="AK214" s="14" t="s">
        <v>1407</v>
      </c>
      <c r="AL214" s="14">
        <v>28185</v>
      </c>
      <c r="AM214" s="14" t="s">
        <v>1418</v>
      </c>
      <c r="AN214" s="14" t="s">
        <v>1438</v>
      </c>
      <c r="AO214" s="14">
        <v>28</v>
      </c>
      <c r="AP214" s="14" t="s">
        <v>1416</v>
      </c>
      <c r="AQ214" s="14">
        <v>0</v>
      </c>
      <c r="AR214" s="14" t="s">
        <v>1410</v>
      </c>
      <c r="AT214" s="14" t="s">
        <v>1417</v>
      </c>
      <c r="AU214" s="14" t="s">
        <v>1412</v>
      </c>
    </row>
    <row r="215" spans="1:47" x14ac:dyDescent="0.45">
      <c r="A215" s="42">
        <v>2413150098</v>
      </c>
      <c r="B215" s="14">
        <v>131</v>
      </c>
      <c r="C215" s="14" t="s">
        <v>1462</v>
      </c>
      <c r="D215" s="14">
        <v>130</v>
      </c>
      <c r="E215" s="14" t="s">
        <v>1402</v>
      </c>
      <c r="F215" s="14" t="s">
        <v>1014</v>
      </c>
      <c r="G215" s="14" t="s">
        <v>1015</v>
      </c>
      <c r="H215" s="14">
        <v>1</v>
      </c>
      <c r="I215" s="14" t="s">
        <v>1016</v>
      </c>
      <c r="J215" s="14" t="s">
        <v>1403</v>
      </c>
      <c r="K215" s="14">
        <v>2024</v>
      </c>
      <c r="L215" s="42">
        <v>2024</v>
      </c>
      <c r="M215" s="43">
        <v>45194</v>
      </c>
      <c r="N215" s="14" t="s">
        <v>36</v>
      </c>
      <c r="O215" s="14" t="s">
        <v>704</v>
      </c>
      <c r="P215" s="14">
        <v>968</v>
      </c>
      <c r="Q215" s="14" t="s">
        <v>1474</v>
      </c>
      <c r="R215" s="14">
        <v>2</v>
      </c>
      <c r="S215" s="14">
        <v>2</v>
      </c>
      <c r="T215" s="14" t="s">
        <v>1464</v>
      </c>
      <c r="U215" s="14">
        <v>1</v>
      </c>
      <c r="V215" s="42">
        <v>2422521</v>
      </c>
      <c r="W215" s="42">
        <v>0</v>
      </c>
      <c r="X215" s="42" t="s">
        <v>1406</v>
      </c>
      <c r="Z215" s="14" t="s">
        <v>32</v>
      </c>
      <c r="AA215" s="45">
        <v>45211</v>
      </c>
      <c r="AB215" s="14">
        <v>24</v>
      </c>
      <c r="AC215" s="14">
        <v>22521</v>
      </c>
      <c r="AD215" s="14">
        <v>131</v>
      </c>
      <c r="AE215" s="14" t="s">
        <v>1462</v>
      </c>
      <c r="AF215" s="14">
        <v>130</v>
      </c>
      <c r="AG215" s="14" t="s">
        <v>1402</v>
      </c>
      <c r="AH215" s="14" t="s">
        <v>36</v>
      </c>
      <c r="AI215" s="14" t="s">
        <v>704</v>
      </c>
      <c r="AJ215" s="14">
        <v>968</v>
      </c>
      <c r="AK215" s="14" t="s">
        <v>1407</v>
      </c>
      <c r="AL215" s="14">
        <v>28205</v>
      </c>
      <c r="AM215" s="14" t="s">
        <v>1418</v>
      </c>
      <c r="AN215" s="14" t="s">
        <v>1436</v>
      </c>
      <c r="AO215" s="14">
        <v>28</v>
      </c>
      <c r="AP215" s="14" t="s">
        <v>1416</v>
      </c>
      <c r="AQ215" s="14">
        <v>0</v>
      </c>
      <c r="AR215" s="14" t="s">
        <v>1410</v>
      </c>
      <c r="AT215" s="14" t="s">
        <v>1417</v>
      </c>
      <c r="AU215" s="14" t="s">
        <v>1412</v>
      </c>
    </row>
    <row r="216" spans="1:47" x14ac:dyDescent="0.45">
      <c r="A216" s="42">
        <v>2413050028</v>
      </c>
      <c r="B216" s="14">
        <v>130</v>
      </c>
      <c r="C216" s="14" t="s">
        <v>1401</v>
      </c>
      <c r="D216" s="14">
        <v>130</v>
      </c>
      <c r="E216" s="14" t="s">
        <v>1402</v>
      </c>
      <c r="F216" s="14" t="s">
        <v>580</v>
      </c>
      <c r="G216" s="14" t="s">
        <v>581</v>
      </c>
      <c r="H216" s="14">
        <v>1</v>
      </c>
      <c r="I216" s="14" t="s">
        <v>582</v>
      </c>
      <c r="J216" s="14" t="s">
        <v>1403</v>
      </c>
      <c r="K216" s="14">
        <v>2024</v>
      </c>
      <c r="L216" s="42">
        <v>2024</v>
      </c>
      <c r="M216" s="43">
        <v>45170</v>
      </c>
      <c r="N216" s="14" t="s">
        <v>36</v>
      </c>
      <c r="O216" s="14" t="s">
        <v>501</v>
      </c>
      <c r="P216" s="14">
        <v>1726</v>
      </c>
      <c r="Q216" s="14" t="s">
        <v>1430</v>
      </c>
      <c r="R216" s="14">
        <v>2</v>
      </c>
      <c r="S216" s="14">
        <v>34</v>
      </c>
      <c r="T216" s="14" t="s">
        <v>1431</v>
      </c>
      <c r="U216" s="14">
        <v>12</v>
      </c>
      <c r="V216" s="42">
        <v>2422011</v>
      </c>
      <c r="W216" s="42">
        <v>0</v>
      </c>
      <c r="X216" s="42" t="s">
        <v>1406</v>
      </c>
      <c r="Z216" s="14" t="s">
        <v>32</v>
      </c>
      <c r="AA216" s="45">
        <v>45211</v>
      </c>
      <c r="AB216" s="14">
        <v>24</v>
      </c>
      <c r="AC216" s="14">
        <v>22011</v>
      </c>
      <c r="AD216" s="14">
        <v>130</v>
      </c>
      <c r="AE216" s="14" t="s">
        <v>1401</v>
      </c>
      <c r="AF216" s="14">
        <v>130</v>
      </c>
      <c r="AG216" s="14" t="s">
        <v>1402</v>
      </c>
      <c r="AH216" s="14" t="s">
        <v>36</v>
      </c>
      <c r="AI216" s="14" t="s">
        <v>501</v>
      </c>
      <c r="AJ216" s="14">
        <v>1726</v>
      </c>
      <c r="AK216" s="14" t="s">
        <v>1407</v>
      </c>
      <c r="AL216" s="14">
        <v>28185</v>
      </c>
      <c r="AM216" s="14" t="s">
        <v>1418</v>
      </c>
      <c r="AN216" s="14" t="s">
        <v>1438</v>
      </c>
      <c r="AO216" s="14">
        <v>28</v>
      </c>
      <c r="AP216" s="14" t="s">
        <v>1416</v>
      </c>
      <c r="AQ216" s="14">
        <v>0</v>
      </c>
      <c r="AR216" s="14" t="s">
        <v>1410</v>
      </c>
      <c r="AT216" s="14" t="s">
        <v>1417</v>
      </c>
      <c r="AU216" s="14" t="s">
        <v>1412</v>
      </c>
    </row>
    <row r="217" spans="1:47" x14ac:dyDescent="0.45">
      <c r="A217" s="42">
        <v>2413150004</v>
      </c>
      <c r="B217" s="14">
        <v>131</v>
      </c>
      <c r="C217" s="14" t="s">
        <v>1462</v>
      </c>
      <c r="D217" s="14">
        <v>130</v>
      </c>
      <c r="E217" s="14" t="s">
        <v>1402</v>
      </c>
      <c r="F217" s="14" t="s">
        <v>714</v>
      </c>
      <c r="G217" s="14" t="s">
        <v>715</v>
      </c>
      <c r="H217" s="14">
        <v>2</v>
      </c>
      <c r="I217" s="14" t="s">
        <v>716</v>
      </c>
      <c r="J217" s="14" t="s">
        <v>1403</v>
      </c>
      <c r="K217" s="14">
        <v>2024</v>
      </c>
      <c r="L217" s="42">
        <v>2024</v>
      </c>
      <c r="M217" s="43">
        <v>45194</v>
      </c>
      <c r="N217" s="14" t="s">
        <v>36</v>
      </c>
      <c r="O217" s="14" t="s">
        <v>708</v>
      </c>
      <c r="P217" s="14">
        <v>121</v>
      </c>
      <c r="Q217" s="14" t="s">
        <v>1502</v>
      </c>
      <c r="R217" s="14">
        <v>2</v>
      </c>
      <c r="S217" s="14">
        <v>8</v>
      </c>
      <c r="T217" s="14" t="s">
        <v>1503</v>
      </c>
      <c r="U217" s="14">
        <v>6</v>
      </c>
      <c r="V217" s="42">
        <v>2422517</v>
      </c>
      <c r="W217" s="42">
        <v>0</v>
      </c>
      <c r="X217" s="42" t="s">
        <v>1406</v>
      </c>
      <c r="Z217" s="14" t="s">
        <v>32</v>
      </c>
      <c r="AA217" s="45">
        <v>45209</v>
      </c>
      <c r="AB217" s="14">
        <v>24</v>
      </c>
      <c r="AC217" s="14">
        <v>22517</v>
      </c>
      <c r="AD217" s="14">
        <v>131</v>
      </c>
      <c r="AE217" s="14" t="s">
        <v>1462</v>
      </c>
      <c r="AF217" s="14">
        <v>130</v>
      </c>
      <c r="AG217" s="14" t="s">
        <v>1402</v>
      </c>
      <c r="AH217" s="14" t="s">
        <v>36</v>
      </c>
      <c r="AI217" s="14" t="s">
        <v>708</v>
      </c>
      <c r="AJ217" s="14">
        <v>121</v>
      </c>
      <c r="AK217" s="14" t="s">
        <v>1407</v>
      </c>
      <c r="AL217" s="14">
        <v>28107</v>
      </c>
      <c r="AM217" s="14" t="s">
        <v>1418</v>
      </c>
      <c r="AN217" s="14" t="s">
        <v>1484</v>
      </c>
      <c r="AO217" s="14">
        <v>28</v>
      </c>
      <c r="AP217" s="14" t="s">
        <v>1416</v>
      </c>
      <c r="AQ217" s="14">
        <v>0</v>
      </c>
      <c r="AR217" s="14" t="s">
        <v>1410</v>
      </c>
      <c r="AT217" s="14" t="s">
        <v>1417</v>
      </c>
      <c r="AU217" s="14" t="s">
        <v>1412</v>
      </c>
    </row>
    <row r="218" spans="1:47" x14ac:dyDescent="0.45">
      <c r="A218" s="42">
        <v>2413050047</v>
      </c>
      <c r="B218" s="14">
        <v>130</v>
      </c>
      <c r="C218" s="14" t="s">
        <v>1401</v>
      </c>
      <c r="D218" s="14">
        <v>130</v>
      </c>
      <c r="E218" s="14" t="s">
        <v>1402</v>
      </c>
      <c r="F218" s="14" t="s">
        <v>646</v>
      </c>
      <c r="G218" s="14" t="s">
        <v>647</v>
      </c>
      <c r="H218" s="14">
        <v>1</v>
      </c>
      <c r="I218" s="14" t="s">
        <v>648</v>
      </c>
      <c r="J218" s="14" t="s">
        <v>1403</v>
      </c>
      <c r="K218" s="14">
        <v>2024</v>
      </c>
      <c r="L218" s="42">
        <v>2024</v>
      </c>
      <c r="M218" s="43">
        <v>45184</v>
      </c>
      <c r="N218" s="14" t="s">
        <v>36</v>
      </c>
      <c r="O218" s="14" t="s">
        <v>472</v>
      </c>
      <c r="P218" s="14">
        <v>1043</v>
      </c>
      <c r="Q218" s="14" t="s">
        <v>1404</v>
      </c>
      <c r="R218" s="14">
        <v>2</v>
      </c>
      <c r="S218" s="14">
        <v>6</v>
      </c>
      <c r="T218" s="14" t="s">
        <v>1405</v>
      </c>
      <c r="U218" s="14">
        <v>5</v>
      </c>
      <c r="V218" s="42">
        <v>2422008</v>
      </c>
      <c r="W218" s="42">
        <v>0</v>
      </c>
      <c r="X218" s="42" t="s">
        <v>1406</v>
      </c>
      <c r="Z218" s="14" t="s">
        <v>32</v>
      </c>
      <c r="AA218" s="45">
        <v>45209</v>
      </c>
      <c r="AB218" s="14">
        <v>24</v>
      </c>
      <c r="AC218" s="14">
        <v>22008</v>
      </c>
      <c r="AD218" s="14">
        <v>130</v>
      </c>
      <c r="AE218" s="14" t="s">
        <v>1401</v>
      </c>
      <c r="AF218" s="14">
        <v>130</v>
      </c>
      <c r="AG218" s="14" t="s">
        <v>1402</v>
      </c>
      <c r="AH218" s="14" t="s">
        <v>36</v>
      </c>
      <c r="AI218" s="14" t="s">
        <v>472</v>
      </c>
      <c r="AJ218" s="14">
        <v>1043</v>
      </c>
      <c r="AK218" s="14" t="s">
        <v>1407</v>
      </c>
      <c r="AL218" s="14">
        <v>28173</v>
      </c>
      <c r="AM218" s="14" t="s">
        <v>1418</v>
      </c>
      <c r="AN218" s="14" t="s">
        <v>1456</v>
      </c>
      <c r="AO218" s="14">
        <v>28</v>
      </c>
      <c r="AP218" s="14" t="s">
        <v>1416</v>
      </c>
      <c r="AQ218" s="14">
        <v>0</v>
      </c>
      <c r="AR218" s="14" t="s">
        <v>1410</v>
      </c>
      <c r="AT218" s="14" t="s">
        <v>1417</v>
      </c>
      <c r="AU218" s="14" t="s">
        <v>1412</v>
      </c>
    </row>
    <row r="219" spans="1:47" x14ac:dyDescent="0.45">
      <c r="A219" s="42">
        <v>2413150059</v>
      </c>
      <c r="B219" s="14">
        <v>131</v>
      </c>
      <c r="C219" s="14" t="s">
        <v>1462</v>
      </c>
      <c r="D219" s="14">
        <v>130</v>
      </c>
      <c r="E219" s="14" t="s">
        <v>1402</v>
      </c>
      <c r="F219" s="14" t="s">
        <v>903</v>
      </c>
      <c r="G219" s="14" t="s">
        <v>904</v>
      </c>
      <c r="H219" s="14">
        <v>1</v>
      </c>
      <c r="I219" s="14" t="s">
        <v>905</v>
      </c>
      <c r="J219" s="14" t="s">
        <v>1403</v>
      </c>
      <c r="K219" s="14">
        <v>2024</v>
      </c>
      <c r="L219" s="42">
        <v>2024</v>
      </c>
      <c r="M219" s="43">
        <v>45183</v>
      </c>
      <c r="N219" s="14" t="s">
        <v>36</v>
      </c>
      <c r="O219" s="14" t="s">
        <v>704</v>
      </c>
      <c r="P219" s="14">
        <v>852</v>
      </c>
      <c r="Q219" s="14" t="s">
        <v>1472</v>
      </c>
      <c r="R219" s="14">
        <v>2</v>
      </c>
      <c r="S219" s="14">
        <v>2</v>
      </c>
      <c r="T219" s="14" t="s">
        <v>1464</v>
      </c>
      <c r="U219" s="14">
        <v>1</v>
      </c>
      <c r="V219" s="42">
        <v>2422519</v>
      </c>
      <c r="W219" s="42">
        <v>0</v>
      </c>
      <c r="X219" s="42" t="s">
        <v>1406</v>
      </c>
      <c r="Z219" s="14" t="s">
        <v>32</v>
      </c>
      <c r="AA219" s="45">
        <v>45209</v>
      </c>
      <c r="AB219" s="14">
        <v>24</v>
      </c>
      <c r="AC219" s="14">
        <v>22519</v>
      </c>
      <c r="AD219" s="14">
        <v>131</v>
      </c>
      <c r="AE219" s="14" t="s">
        <v>1462</v>
      </c>
      <c r="AF219" s="14">
        <v>130</v>
      </c>
      <c r="AG219" s="14" t="s">
        <v>1402</v>
      </c>
      <c r="AH219" s="14" t="s">
        <v>36</v>
      </c>
      <c r="AI219" s="14" t="s">
        <v>704</v>
      </c>
      <c r="AJ219" s="14">
        <v>852</v>
      </c>
      <c r="AK219" s="14" t="s">
        <v>1407</v>
      </c>
      <c r="AL219" s="14">
        <v>28094</v>
      </c>
      <c r="AM219" s="14" t="s">
        <v>1421</v>
      </c>
      <c r="AN219" s="14" t="s">
        <v>1437</v>
      </c>
      <c r="AO219" s="14">
        <v>28</v>
      </c>
      <c r="AP219" s="14" t="s">
        <v>1416</v>
      </c>
      <c r="AQ219" s="14">
        <v>0</v>
      </c>
      <c r="AR219" s="14" t="s">
        <v>1410</v>
      </c>
      <c r="AT219" s="14" t="s">
        <v>1417</v>
      </c>
      <c r="AU219" s="14" t="s">
        <v>1412</v>
      </c>
    </row>
    <row r="220" spans="1:47" x14ac:dyDescent="0.45">
      <c r="A220" s="42">
        <v>2413150021</v>
      </c>
      <c r="B220" s="14">
        <v>131</v>
      </c>
      <c r="C220" s="14" t="s">
        <v>1462</v>
      </c>
      <c r="D220" s="14">
        <v>130</v>
      </c>
      <c r="E220" s="14" t="s">
        <v>1402</v>
      </c>
      <c r="F220" s="14" t="s">
        <v>779</v>
      </c>
      <c r="G220" s="14" t="s">
        <v>780</v>
      </c>
      <c r="H220" s="14">
        <v>2</v>
      </c>
      <c r="I220" s="14" t="s">
        <v>781</v>
      </c>
      <c r="J220" s="14" t="s">
        <v>1403</v>
      </c>
      <c r="K220" s="14">
        <v>2024</v>
      </c>
      <c r="L220" s="42">
        <v>2024</v>
      </c>
      <c r="M220" s="43">
        <v>45182</v>
      </c>
      <c r="N220" s="14" t="s">
        <v>36</v>
      </c>
      <c r="O220" s="14" t="s">
        <v>704</v>
      </c>
      <c r="P220" s="14">
        <v>968</v>
      </c>
      <c r="Q220" s="14" t="s">
        <v>1474</v>
      </c>
      <c r="R220" s="14">
        <v>2</v>
      </c>
      <c r="S220" s="14">
        <v>2</v>
      </c>
      <c r="T220" s="14" t="s">
        <v>1464</v>
      </c>
      <c r="U220" s="14">
        <v>1</v>
      </c>
      <c r="V220" s="42">
        <v>2422518</v>
      </c>
      <c r="W220" s="42">
        <v>0</v>
      </c>
      <c r="X220" s="42" t="s">
        <v>1406</v>
      </c>
      <c r="Z220" s="14" t="s">
        <v>32</v>
      </c>
      <c r="AA220" s="45">
        <v>45209</v>
      </c>
      <c r="AB220" s="14">
        <v>24</v>
      </c>
      <c r="AC220" s="14">
        <v>22518</v>
      </c>
      <c r="AD220" s="14">
        <v>131</v>
      </c>
      <c r="AE220" s="14" t="s">
        <v>1462</v>
      </c>
      <c r="AF220" s="14">
        <v>130</v>
      </c>
      <c r="AG220" s="14" t="s">
        <v>1402</v>
      </c>
      <c r="AH220" s="14" t="s">
        <v>36</v>
      </c>
      <c r="AI220" s="14" t="s">
        <v>704</v>
      </c>
      <c r="AJ220" s="14">
        <v>968</v>
      </c>
      <c r="AK220" s="14" t="s">
        <v>1407</v>
      </c>
      <c r="AL220" s="14">
        <v>28088</v>
      </c>
      <c r="AM220" s="14" t="s">
        <v>1418</v>
      </c>
      <c r="AN220" s="14" t="s">
        <v>1497</v>
      </c>
      <c r="AO220" s="14">
        <v>28</v>
      </c>
      <c r="AP220" s="14" t="s">
        <v>1416</v>
      </c>
      <c r="AQ220" s="14">
        <v>0</v>
      </c>
      <c r="AR220" s="14" t="s">
        <v>1410</v>
      </c>
      <c r="AT220" s="14" t="s">
        <v>1417</v>
      </c>
      <c r="AU220" s="14" t="s">
        <v>1412</v>
      </c>
    </row>
    <row r="221" spans="1:47" x14ac:dyDescent="0.45">
      <c r="A221" s="42">
        <v>2413150045</v>
      </c>
      <c r="B221" s="14">
        <v>131</v>
      </c>
      <c r="C221" s="14" t="s">
        <v>1462</v>
      </c>
      <c r="D221" s="14">
        <v>130</v>
      </c>
      <c r="E221" s="14" t="s">
        <v>1402</v>
      </c>
      <c r="F221" s="14" t="s">
        <v>857</v>
      </c>
      <c r="G221" s="14" t="s">
        <v>858</v>
      </c>
      <c r="H221" s="14">
        <v>1</v>
      </c>
      <c r="I221" s="14" t="s">
        <v>859</v>
      </c>
      <c r="J221" s="14" t="s">
        <v>1403</v>
      </c>
      <c r="K221" s="14">
        <v>2024</v>
      </c>
      <c r="L221" s="42">
        <v>2024</v>
      </c>
      <c r="M221" s="43">
        <v>45181</v>
      </c>
      <c r="N221" s="14" t="s">
        <v>36</v>
      </c>
      <c r="O221" s="14" t="s">
        <v>704</v>
      </c>
      <c r="P221" s="14">
        <v>588</v>
      </c>
      <c r="Q221" s="14" t="s">
        <v>1524</v>
      </c>
      <c r="R221" s="14">
        <v>2</v>
      </c>
      <c r="S221" s="14">
        <v>2</v>
      </c>
      <c r="T221" s="14" t="s">
        <v>1464</v>
      </c>
      <c r="U221" s="14">
        <v>1</v>
      </c>
      <c r="V221" s="42">
        <v>2422514</v>
      </c>
      <c r="W221" s="42">
        <v>0</v>
      </c>
      <c r="X221" s="42" t="s">
        <v>1406</v>
      </c>
      <c r="Z221" s="14" t="s">
        <v>32</v>
      </c>
      <c r="AA221" s="45">
        <v>45209</v>
      </c>
      <c r="AB221" s="14">
        <v>24</v>
      </c>
      <c r="AC221" s="14">
        <v>22514</v>
      </c>
      <c r="AD221" s="14">
        <v>131</v>
      </c>
      <c r="AE221" s="14" t="s">
        <v>1462</v>
      </c>
      <c r="AF221" s="14">
        <v>130</v>
      </c>
      <c r="AG221" s="14" t="s">
        <v>1402</v>
      </c>
      <c r="AH221" s="14" t="s">
        <v>36</v>
      </c>
      <c r="AI221" s="14" t="s">
        <v>704</v>
      </c>
      <c r="AJ221" s="14">
        <v>588</v>
      </c>
      <c r="AK221" s="14" t="s">
        <v>1407</v>
      </c>
      <c r="AL221" s="14">
        <v>28015</v>
      </c>
      <c r="AM221" s="14" t="s">
        <v>1421</v>
      </c>
      <c r="AN221" s="14" t="s">
        <v>1525</v>
      </c>
      <c r="AO221" s="14">
        <v>28</v>
      </c>
      <c r="AP221" s="14" t="s">
        <v>1416</v>
      </c>
      <c r="AQ221" s="14">
        <v>0</v>
      </c>
      <c r="AR221" s="14" t="s">
        <v>1410</v>
      </c>
      <c r="AT221" s="14" t="s">
        <v>1417</v>
      </c>
      <c r="AU221" s="14" t="s">
        <v>1412</v>
      </c>
    </row>
    <row r="222" spans="1:47" x14ac:dyDescent="0.45">
      <c r="A222" s="42">
        <v>2413150115</v>
      </c>
      <c r="B222" s="14">
        <v>131</v>
      </c>
      <c r="C222" s="14" t="s">
        <v>1462</v>
      </c>
      <c r="D222" s="14">
        <v>130</v>
      </c>
      <c r="E222" s="14" t="s">
        <v>1402</v>
      </c>
      <c r="F222" s="14" t="s">
        <v>1066</v>
      </c>
      <c r="G222" s="14" t="s">
        <v>1067</v>
      </c>
      <c r="H222" s="14">
        <v>2</v>
      </c>
      <c r="I222" s="14" t="s">
        <v>848</v>
      </c>
      <c r="J222" s="14" t="s">
        <v>1403</v>
      </c>
      <c r="K222" s="14">
        <v>2024</v>
      </c>
      <c r="L222" s="42">
        <v>2024</v>
      </c>
      <c r="M222" s="43">
        <v>45180</v>
      </c>
      <c r="N222" s="14" t="s">
        <v>36</v>
      </c>
      <c r="O222" s="14" t="s">
        <v>708</v>
      </c>
      <c r="P222" s="14">
        <v>1044</v>
      </c>
      <c r="Q222" s="14" t="s">
        <v>1476</v>
      </c>
      <c r="R222" s="14">
        <v>2</v>
      </c>
      <c r="S222" s="14">
        <v>3</v>
      </c>
      <c r="T222" s="14" t="s">
        <v>1477</v>
      </c>
      <c r="U222" s="14">
        <v>4</v>
      </c>
      <c r="V222" s="42">
        <v>2422516</v>
      </c>
      <c r="W222" s="42">
        <v>0</v>
      </c>
      <c r="X222" s="42" t="s">
        <v>1406</v>
      </c>
      <c r="Z222" s="14" t="s">
        <v>32</v>
      </c>
      <c r="AA222" s="45">
        <v>45209</v>
      </c>
      <c r="AB222" s="14">
        <v>24</v>
      </c>
      <c r="AC222" s="14">
        <v>22516</v>
      </c>
      <c r="AD222" s="14">
        <v>131</v>
      </c>
      <c r="AE222" s="14" t="s">
        <v>1462</v>
      </c>
      <c r="AF222" s="14">
        <v>130</v>
      </c>
      <c r="AG222" s="14" t="s">
        <v>1402</v>
      </c>
      <c r="AH222" s="14" t="s">
        <v>36</v>
      </c>
      <c r="AI222" s="14" t="s">
        <v>708</v>
      </c>
      <c r="AJ222" s="14">
        <v>1044</v>
      </c>
      <c r="AK222" s="14" t="s">
        <v>1407</v>
      </c>
      <c r="AL222" s="14">
        <v>28091</v>
      </c>
      <c r="AM222" s="14" t="s">
        <v>1421</v>
      </c>
      <c r="AN222" s="14" t="s">
        <v>1452</v>
      </c>
      <c r="AO222" s="14">
        <v>28</v>
      </c>
      <c r="AP222" s="14" t="s">
        <v>1416</v>
      </c>
      <c r="AQ222" s="14">
        <v>0</v>
      </c>
      <c r="AR222" s="14" t="s">
        <v>1410</v>
      </c>
      <c r="AT222" s="14" t="s">
        <v>1417</v>
      </c>
      <c r="AU222" s="14" t="s">
        <v>1412</v>
      </c>
    </row>
    <row r="223" spans="1:47" x14ac:dyDescent="0.45">
      <c r="A223" s="42">
        <v>2413150090</v>
      </c>
      <c r="B223" s="14">
        <v>131</v>
      </c>
      <c r="C223" s="14" t="s">
        <v>1462</v>
      </c>
      <c r="D223" s="14">
        <v>130</v>
      </c>
      <c r="E223" s="14" t="s">
        <v>1402</v>
      </c>
      <c r="F223" s="14" t="s">
        <v>992</v>
      </c>
      <c r="G223" s="14" t="s">
        <v>993</v>
      </c>
      <c r="H223" s="14">
        <v>2</v>
      </c>
      <c r="I223" s="14" t="s">
        <v>224</v>
      </c>
      <c r="J223" s="14" t="s">
        <v>1403</v>
      </c>
      <c r="K223" s="14">
        <v>2024</v>
      </c>
      <c r="L223" s="42">
        <v>2024</v>
      </c>
      <c r="M223" s="43">
        <v>45177</v>
      </c>
      <c r="N223" s="14" t="s">
        <v>36</v>
      </c>
      <c r="O223" s="14" t="s">
        <v>708</v>
      </c>
      <c r="P223" s="14">
        <v>273</v>
      </c>
      <c r="Q223" s="14" t="s">
        <v>1506</v>
      </c>
      <c r="R223" s="14">
        <v>2</v>
      </c>
      <c r="S223" s="14">
        <v>8</v>
      </c>
      <c r="T223" s="14" t="s">
        <v>1503</v>
      </c>
      <c r="U223" s="14">
        <v>6</v>
      </c>
      <c r="V223" s="42">
        <v>2422520</v>
      </c>
      <c r="W223" s="42">
        <v>0</v>
      </c>
      <c r="X223" s="42" t="s">
        <v>1406</v>
      </c>
      <c r="Z223" s="14" t="s">
        <v>32</v>
      </c>
      <c r="AA223" s="45">
        <v>45209</v>
      </c>
      <c r="AB223" s="14">
        <v>24</v>
      </c>
      <c r="AC223" s="14">
        <v>22520</v>
      </c>
      <c r="AD223" s="14">
        <v>131</v>
      </c>
      <c r="AE223" s="14" t="s">
        <v>1462</v>
      </c>
      <c r="AF223" s="14">
        <v>130</v>
      </c>
      <c r="AG223" s="14" t="s">
        <v>1402</v>
      </c>
      <c r="AH223" s="14" t="s">
        <v>36</v>
      </c>
      <c r="AI223" s="14" t="s">
        <v>708</v>
      </c>
      <c r="AJ223" s="14">
        <v>273</v>
      </c>
      <c r="AK223" s="14" t="s">
        <v>1407</v>
      </c>
      <c r="AL223" s="14">
        <v>33133</v>
      </c>
      <c r="AM223" s="14" t="s">
        <v>1421</v>
      </c>
      <c r="AN223" s="14" t="s">
        <v>1426</v>
      </c>
      <c r="AO223" s="14">
        <v>33</v>
      </c>
      <c r="AP223" s="14" t="s">
        <v>1427</v>
      </c>
      <c r="AQ223" s="14">
        <v>0</v>
      </c>
      <c r="AR223" s="14" t="s">
        <v>1410</v>
      </c>
      <c r="AT223" s="14" t="s">
        <v>1417</v>
      </c>
      <c r="AU223" s="14" t="s">
        <v>1412</v>
      </c>
    </row>
    <row r="224" spans="1:47" x14ac:dyDescent="0.45">
      <c r="A224" s="42">
        <v>2413050004</v>
      </c>
      <c r="B224" s="14">
        <v>130</v>
      </c>
      <c r="C224" s="14" t="s">
        <v>1401</v>
      </c>
      <c r="D224" s="14">
        <v>130</v>
      </c>
      <c r="E224" s="14" t="s">
        <v>1402</v>
      </c>
      <c r="F224" s="14" t="s">
        <v>492</v>
      </c>
      <c r="G224" s="14" t="s">
        <v>493</v>
      </c>
      <c r="H224" s="14">
        <v>1</v>
      </c>
      <c r="I224" s="14" t="s">
        <v>494</v>
      </c>
      <c r="J224" s="14" t="s">
        <v>1403</v>
      </c>
      <c r="K224" s="14">
        <v>2024</v>
      </c>
      <c r="L224" s="42">
        <v>2024</v>
      </c>
      <c r="M224" s="43">
        <v>45176</v>
      </c>
      <c r="N224" s="14" t="s">
        <v>36</v>
      </c>
      <c r="O224" s="14" t="s">
        <v>485</v>
      </c>
      <c r="P224" s="14">
        <v>1131</v>
      </c>
      <c r="Q224" s="14" t="s">
        <v>1413</v>
      </c>
      <c r="R224" s="14">
        <v>3</v>
      </c>
      <c r="S224" s="14">
        <v>6</v>
      </c>
      <c r="T224" s="14" t="s">
        <v>1405</v>
      </c>
      <c r="U224" s="14">
        <v>5</v>
      </c>
      <c r="V224" s="42">
        <v>2422009</v>
      </c>
      <c r="W224" s="42">
        <v>0</v>
      </c>
      <c r="X224" s="42" t="s">
        <v>1406</v>
      </c>
      <c r="Z224" s="14" t="s">
        <v>32</v>
      </c>
      <c r="AA224" s="45">
        <v>45209</v>
      </c>
      <c r="AB224" s="14">
        <v>24</v>
      </c>
      <c r="AC224" s="14">
        <v>22009</v>
      </c>
      <c r="AD224" s="14">
        <v>130</v>
      </c>
      <c r="AE224" s="14" t="s">
        <v>1401</v>
      </c>
      <c r="AF224" s="14">
        <v>130</v>
      </c>
      <c r="AG224" s="14" t="s">
        <v>1402</v>
      </c>
      <c r="AH224" s="14" t="s">
        <v>36</v>
      </c>
      <c r="AI224" s="14" t="s">
        <v>485</v>
      </c>
      <c r="AJ224" s="14">
        <v>1131</v>
      </c>
      <c r="AK224" s="14" t="s">
        <v>1407</v>
      </c>
      <c r="AL224" s="14">
        <v>28095</v>
      </c>
      <c r="AM224" s="14" t="s">
        <v>1421</v>
      </c>
      <c r="AN224" s="14" t="s">
        <v>1435</v>
      </c>
      <c r="AO224" s="14">
        <v>28</v>
      </c>
      <c r="AP224" s="14" t="s">
        <v>1416</v>
      </c>
      <c r="AQ224" s="14">
        <v>0</v>
      </c>
      <c r="AR224" s="14" t="s">
        <v>1410</v>
      </c>
      <c r="AT224" s="14" t="s">
        <v>1417</v>
      </c>
      <c r="AU224" s="14" t="s">
        <v>1412</v>
      </c>
    </row>
    <row r="225" spans="1:47" x14ac:dyDescent="0.45">
      <c r="A225" s="42">
        <v>2413050006</v>
      </c>
      <c r="B225" s="14">
        <v>130</v>
      </c>
      <c r="C225" s="14" t="s">
        <v>1401</v>
      </c>
      <c r="D225" s="14">
        <v>130</v>
      </c>
      <c r="E225" s="14" t="s">
        <v>1402</v>
      </c>
      <c r="F225" s="14" t="s">
        <v>498</v>
      </c>
      <c r="G225" s="14" t="s">
        <v>499</v>
      </c>
      <c r="H225" s="14">
        <v>1</v>
      </c>
      <c r="I225" s="14" t="s">
        <v>500</v>
      </c>
      <c r="J225" s="14" t="s">
        <v>1403</v>
      </c>
      <c r="K225" s="14">
        <v>2024</v>
      </c>
      <c r="L225" s="42">
        <v>2024</v>
      </c>
      <c r="M225" s="43">
        <v>45170</v>
      </c>
      <c r="N225" s="14" t="s">
        <v>36</v>
      </c>
      <c r="O225" s="14" t="s">
        <v>472</v>
      </c>
      <c r="P225" s="14">
        <v>1043</v>
      </c>
      <c r="Q225" s="14" t="s">
        <v>1404</v>
      </c>
      <c r="R225" s="14">
        <v>2</v>
      </c>
      <c r="S225" s="14">
        <v>6</v>
      </c>
      <c r="T225" s="14" t="s">
        <v>1405</v>
      </c>
      <c r="U225" s="14">
        <v>5</v>
      </c>
      <c r="V225" s="42">
        <v>2422010</v>
      </c>
      <c r="W225" s="42">
        <v>0</v>
      </c>
      <c r="X225" s="42" t="s">
        <v>1406</v>
      </c>
      <c r="Z225" s="14" t="s">
        <v>32</v>
      </c>
      <c r="AA225" s="45">
        <v>45209</v>
      </c>
      <c r="AB225" s="14">
        <v>24</v>
      </c>
      <c r="AC225" s="14">
        <v>22010</v>
      </c>
      <c r="AD225" s="14">
        <v>130</v>
      </c>
      <c r="AE225" s="14" t="s">
        <v>1401</v>
      </c>
      <c r="AF225" s="14">
        <v>130</v>
      </c>
      <c r="AG225" s="14" t="s">
        <v>1402</v>
      </c>
      <c r="AH225" s="14" t="s">
        <v>36</v>
      </c>
      <c r="AI225" s="14" t="s">
        <v>472</v>
      </c>
      <c r="AJ225" s="14">
        <v>1043</v>
      </c>
      <c r="AK225" s="14" t="s">
        <v>1407</v>
      </c>
      <c r="AL225" s="14">
        <v>28095</v>
      </c>
      <c r="AM225" s="14" t="s">
        <v>1421</v>
      </c>
      <c r="AN225" s="14" t="s">
        <v>1435</v>
      </c>
      <c r="AO225" s="14">
        <v>28</v>
      </c>
      <c r="AP225" s="14" t="s">
        <v>1416</v>
      </c>
      <c r="AQ225" s="14">
        <v>0</v>
      </c>
      <c r="AR225" s="14" t="s">
        <v>1410</v>
      </c>
      <c r="AT225" s="14" t="s">
        <v>1417</v>
      </c>
      <c r="AU225" s="14" t="s">
        <v>1412</v>
      </c>
    </row>
    <row r="226" spans="1:47" x14ac:dyDescent="0.45">
      <c r="A226" s="42">
        <v>2413150007</v>
      </c>
      <c r="B226" s="14">
        <v>131</v>
      </c>
      <c r="C226" s="14" t="s">
        <v>1462</v>
      </c>
      <c r="D226" s="14">
        <v>130</v>
      </c>
      <c r="E226" s="14" t="s">
        <v>1402</v>
      </c>
      <c r="F226" s="14" t="s">
        <v>725</v>
      </c>
      <c r="G226" s="14" t="s">
        <v>726</v>
      </c>
      <c r="H226" s="14">
        <v>2</v>
      </c>
      <c r="I226" s="14" t="s">
        <v>727</v>
      </c>
      <c r="J226" s="14" t="s">
        <v>1403</v>
      </c>
      <c r="K226" s="14">
        <v>2024</v>
      </c>
      <c r="L226" s="42">
        <v>2024</v>
      </c>
      <c r="M226" s="43">
        <v>45170</v>
      </c>
      <c r="N226" s="14" t="s">
        <v>36</v>
      </c>
      <c r="O226" s="14" t="s">
        <v>708</v>
      </c>
      <c r="P226" s="14">
        <v>121</v>
      </c>
      <c r="Q226" s="14" t="s">
        <v>1502</v>
      </c>
      <c r="R226" s="14">
        <v>2</v>
      </c>
      <c r="S226" s="14">
        <v>8</v>
      </c>
      <c r="T226" s="14" t="s">
        <v>1503</v>
      </c>
      <c r="U226" s="14">
        <v>6</v>
      </c>
      <c r="V226" s="42">
        <v>2422515</v>
      </c>
      <c r="W226" s="42">
        <v>0</v>
      </c>
      <c r="X226" s="42" t="s">
        <v>1406</v>
      </c>
      <c r="Y226" s="59"/>
      <c r="Z226" s="14" t="s">
        <v>32</v>
      </c>
      <c r="AA226" s="45">
        <v>45209</v>
      </c>
      <c r="AB226" s="14">
        <v>24</v>
      </c>
      <c r="AC226" s="14">
        <v>22515</v>
      </c>
      <c r="AD226" s="14">
        <v>131</v>
      </c>
      <c r="AE226" s="14" t="s">
        <v>1462</v>
      </c>
      <c r="AF226" s="14">
        <v>130</v>
      </c>
      <c r="AG226" s="14" t="s">
        <v>1402</v>
      </c>
      <c r="AH226" s="14" t="s">
        <v>36</v>
      </c>
      <c r="AI226" s="14" t="s">
        <v>708</v>
      </c>
      <c r="AJ226" s="14">
        <v>121</v>
      </c>
      <c r="AK226" s="14" t="s">
        <v>1407</v>
      </c>
      <c r="AL226" s="14">
        <v>28178</v>
      </c>
      <c r="AM226" s="14" t="s">
        <v>1418</v>
      </c>
      <c r="AN226" s="14" t="s">
        <v>1507</v>
      </c>
      <c r="AO226" s="14">
        <v>28</v>
      </c>
      <c r="AP226" s="14" t="s">
        <v>1416</v>
      </c>
      <c r="AQ226" s="14">
        <v>0</v>
      </c>
      <c r="AR226" s="14" t="s">
        <v>1410</v>
      </c>
      <c r="AT226" s="14" t="s">
        <v>1417</v>
      </c>
      <c r="AU226" s="14" t="s">
        <v>1412</v>
      </c>
    </row>
    <row r="227" spans="1:47" x14ac:dyDescent="0.45">
      <c r="A227" s="42">
        <v>2413150028</v>
      </c>
      <c r="B227" s="14">
        <v>131</v>
      </c>
      <c r="C227" s="14" t="s">
        <v>1462</v>
      </c>
      <c r="D227" s="14">
        <v>130</v>
      </c>
      <c r="E227" s="14" t="s">
        <v>1402</v>
      </c>
      <c r="F227" s="14" t="s">
        <v>801</v>
      </c>
      <c r="G227" s="14" t="s">
        <v>802</v>
      </c>
      <c r="H227" s="14">
        <v>2</v>
      </c>
      <c r="I227" s="14" t="s">
        <v>803</v>
      </c>
      <c r="J227" s="14" t="s">
        <v>1403</v>
      </c>
      <c r="K227" s="14">
        <v>2024</v>
      </c>
      <c r="L227" s="42">
        <v>2024</v>
      </c>
      <c r="M227" s="43">
        <v>45191</v>
      </c>
      <c r="N227" s="14" t="s">
        <v>36</v>
      </c>
      <c r="O227" s="14" t="s">
        <v>708</v>
      </c>
      <c r="P227" s="14">
        <v>273</v>
      </c>
      <c r="Q227" s="14" t="s">
        <v>1506</v>
      </c>
      <c r="R227" s="14">
        <v>2</v>
      </c>
      <c r="S227" s="14">
        <v>8</v>
      </c>
      <c r="T227" s="14" t="s">
        <v>1503</v>
      </c>
      <c r="U227" s="14">
        <v>6</v>
      </c>
      <c r="V227" s="42">
        <v>2422513</v>
      </c>
      <c r="W227" s="42">
        <v>0</v>
      </c>
      <c r="X227" s="42" t="s">
        <v>1406</v>
      </c>
      <c r="Y227" s="59"/>
      <c r="Z227" s="14" t="s">
        <v>32</v>
      </c>
      <c r="AA227" s="45">
        <v>45205</v>
      </c>
      <c r="AB227" s="14">
        <v>24</v>
      </c>
      <c r="AC227" s="14">
        <v>22513</v>
      </c>
      <c r="AD227" s="14">
        <v>131</v>
      </c>
      <c r="AE227" s="14" t="s">
        <v>1462</v>
      </c>
      <c r="AF227" s="14">
        <v>130</v>
      </c>
      <c r="AG227" s="14" t="s">
        <v>1402</v>
      </c>
      <c r="AH227" s="14" t="s">
        <v>36</v>
      </c>
      <c r="AI227" s="14" t="s">
        <v>708</v>
      </c>
      <c r="AJ227" s="14">
        <v>273</v>
      </c>
      <c r="AK227" s="14" t="s">
        <v>1407</v>
      </c>
      <c r="AL227" s="14">
        <v>28168</v>
      </c>
      <c r="AM227" s="14" t="s">
        <v>1418</v>
      </c>
      <c r="AN227" s="14" t="s">
        <v>1475</v>
      </c>
      <c r="AO227" s="14">
        <v>28</v>
      </c>
      <c r="AP227" s="14" t="s">
        <v>1416</v>
      </c>
      <c r="AQ227" s="14">
        <v>0</v>
      </c>
      <c r="AR227" s="14" t="s">
        <v>1410</v>
      </c>
      <c r="AT227" s="14" t="s">
        <v>1417</v>
      </c>
      <c r="AU227" s="14" t="s">
        <v>1412</v>
      </c>
    </row>
    <row r="228" spans="1:47" x14ac:dyDescent="0.45">
      <c r="A228" s="42">
        <v>2413150011</v>
      </c>
      <c r="B228" s="14">
        <v>131</v>
      </c>
      <c r="C228" s="14" t="s">
        <v>1462</v>
      </c>
      <c r="D228" s="14">
        <v>130</v>
      </c>
      <c r="E228" s="14" t="s">
        <v>1402</v>
      </c>
      <c r="F228" s="14" t="s">
        <v>738</v>
      </c>
      <c r="G228" s="14" t="s">
        <v>739</v>
      </c>
      <c r="H228" s="14">
        <v>1</v>
      </c>
      <c r="I228" s="14" t="s">
        <v>740</v>
      </c>
      <c r="J228" s="14" t="s">
        <v>1403</v>
      </c>
      <c r="K228" s="14">
        <v>2024</v>
      </c>
      <c r="L228" s="42">
        <v>2024</v>
      </c>
      <c r="M228" s="43">
        <v>45181</v>
      </c>
      <c r="N228" s="14" t="s">
        <v>36</v>
      </c>
      <c r="O228" s="14" t="s">
        <v>698</v>
      </c>
      <c r="P228" s="14">
        <v>502</v>
      </c>
      <c r="Q228" s="14" t="s">
        <v>1500</v>
      </c>
      <c r="R228" s="14">
        <v>2</v>
      </c>
      <c r="S228" s="14">
        <v>5</v>
      </c>
      <c r="T228" s="14" t="s">
        <v>1470</v>
      </c>
      <c r="U228" s="14">
        <v>15</v>
      </c>
      <c r="V228" s="42">
        <v>2422512</v>
      </c>
      <c r="W228" s="42">
        <v>0</v>
      </c>
      <c r="X228" s="42" t="s">
        <v>1406</v>
      </c>
      <c r="Y228" s="59"/>
      <c r="Z228" s="14" t="s">
        <v>32</v>
      </c>
      <c r="AA228" s="45">
        <v>45205</v>
      </c>
      <c r="AB228" s="14">
        <v>24</v>
      </c>
      <c r="AC228" s="14">
        <v>22512</v>
      </c>
      <c r="AD228" s="14">
        <v>131</v>
      </c>
      <c r="AE228" s="14" t="s">
        <v>1462</v>
      </c>
      <c r="AF228" s="14">
        <v>130</v>
      </c>
      <c r="AG228" s="14" t="s">
        <v>1402</v>
      </c>
      <c r="AH228" s="14" t="s">
        <v>36</v>
      </c>
      <c r="AI228" s="14" t="s">
        <v>698</v>
      </c>
      <c r="AJ228" s="14">
        <v>502</v>
      </c>
      <c r="AK228" s="14" t="s">
        <v>1407</v>
      </c>
      <c r="AL228" s="14">
        <v>28094</v>
      </c>
      <c r="AM228" s="14" t="s">
        <v>1421</v>
      </c>
      <c r="AN228" s="14" t="s">
        <v>1437</v>
      </c>
      <c r="AO228" s="14">
        <v>28</v>
      </c>
      <c r="AP228" s="14" t="s">
        <v>1416</v>
      </c>
      <c r="AQ228" s="14">
        <v>0</v>
      </c>
      <c r="AR228" s="14" t="s">
        <v>1410</v>
      </c>
      <c r="AT228" s="14" t="s">
        <v>1417</v>
      </c>
      <c r="AU228" s="14" t="s">
        <v>1412</v>
      </c>
    </row>
    <row r="229" spans="1:47" x14ac:dyDescent="0.45">
      <c r="A229" s="42">
        <v>2413050038</v>
      </c>
      <c r="B229" s="14">
        <v>130</v>
      </c>
      <c r="C229" s="14" t="s">
        <v>1401</v>
      </c>
      <c r="D229" s="14">
        <v>130</v>
      </c>
      <c r="E229" s="14" t="s">
        <v>1402</v>
      </c>
      <c r="F229" s="14" t="s">
        <v>612</v>
      </c>
      <c r="G229" s="14" t="s">
        <v>613</v>
      </c>
      <c r="H229" s="14">
        <v>1</v>
      </c>
      <c r="I229" s="14" t="s">
        <v>614</v>
      </c>
      <c r="J229" s="14" t="s">
        <v>1403</v>
      </c>
      <c r="K229" s="14">
        <v>2024</v>
      </c>
      <c r="L229" s="42">
        <v>2024</v>
      </c>
      <c r="M229" s="43">
        <v>45180</v>
      </c>
      <c r="N229" s="14" t="s">
        <v>36</v>
      </c>
      <c r="O229" s="14" t="s">
        <v>472</v>
      </c>
      <c r="P229" s="14">
        <v>1043</v>
      </c>
      <c r="Q229" s="14" t="s">
        <v>1404</v>
      </c>
      <c r="R229" s="14">
        <v>2</v>
      </c>
      <c r="S229" s="14">
        <v>6</v>
      </c>
      <c r="T229" s="14" t="s">
        <v>1405</v>
      </c>
      <c r="U229" s="14">
        <v>5</v>
      </c>
      <c r="V229" s="42">
        <v>2422006</v>
      </c>
      <c r="W229" s="42">
        <v>0</v>
      </c>
      <c r="X229" s="42" t="s">
        <v>1406</v>
      </c>
      <c r="Y229" s="59"/>
      <c r="Z229" s="14" t="s">
        <v>32</v>
      </c>
      <c r="AA229" s="45">
        <v>45205</v>
      </c>
      <c r="AB229" s="14">
        <v>24</v>
      </c>
      <c r="AC229" s="14">
        <v>22006</v>
      </c>
      <c r="AD229" s="14">
        <v>130</v>
      </c>
      <c r="AE229" s="14" t="s">
        <v>1401</v>
      </c>
      <c r="AF229" s="14">
        <v>130</v>
      </c>
      <c r="AG229" s="14" t="s">
        <v>1402</v>
      </c>
      <c r="AH229" s="14" t="s">
        <v>36</v>
      </c>
      <c r="AI229" s="14" t="s">
        <v>472</v>
      </c>
      <c r="AJ229" s="14">
        <v>1043</v>
      </c>
      <c r="AK229" s="14" t="s">
        <v>1407</v>
      </c>
      <c r="AL229" s="14">
        <v>28094</v>
      </c>
      <c r="AM229" s="14" t="s">
        <v>1421</v>
      </c>
      <c r="AN229" s="14" t="s">
        <v>1437</v>
      </c>
      <c r="AO229" s="14">
        <v>28</v>
      </c>
      <c r="AP229" s="14" t="s">
        <v>1416</v>
      </c>
      <c r="AQ229" s="14">
        <v>0</v>
      </c>
      <c r="AR229" s="14" t="s">
        <v>1410</v>
      </c>
      <c r="AT229" s="14" t="s">
        <v>1417</v>
      </c>
      <c r="AU229" s="14" t="s">
        <v>1412</v>
      </c>
    </row>
    <row r="230" spans="1:47" x14ac:dyDescent="0.45">
      <c r="A230" s="42">
        <v>2413050017</v>
      </c>
      <c r="B230" s="14">
        <v>130</v>
      </c>
      <c r="C230" s="14" t="s">
        <v>1401</v>
      </c>
      <c r="D230" s="14">
        <v>130</v>
      </c>
      <c r="E230" s="14" t="s">
        <v>1402</v>
      </c>
      <c r="F230" s="14" t="s">
        <v>541</v>
      </c>
      <c r="G230" s="14" t="s">
        <v>542</v>
      </c>
      <c r="H230" s="14">
        <v>1</v>
      </c>
      <c r="I230" s="14" t="s">
        <v>543</v>
      </c>
      <c r="J230" s="14" t="s">
        <v>1403</v>
      </c>
      <c r="K230" s="14">
        <v>2024</v>
      </c>
      <c r="L230" s="42">
        <v>2024</v>
      </c>
      <c r="M230" s="43">
        <v>45173</v>
      </c>
      <c r="N230" s="14" t="s">
        <v>36</v>
      </c>
      <c r="O230" s="14" t="s">
        <v>472</v>
      </c>
      <c r="P230" s="14">
        <v>1043</v>
      </c>
      <c r="Q230" s="14" t="s">
        <v>1404</v>
      </c>
      <c r="R230" s="14">
        <v>2</v>
      </c>
      <c r="S230" s="14">
        <v>6</v>
      </c>
      <c r="T230" s="14" t="s">
        <v>1405</v>
      </c>
      <c r="U230" s="14">
        <v>5</v>
      </c>
      <c r="V230" s="42">
        <v>2422007</v>
      </c>
      <c r="W230" s="42">
        <v>0</v>
      </c>
      <c r="X230" s="42" t="s">
        <v>1406</v>
      </c>
      <c r="Y230" s="59"/>
      <c r="Z230" s="14" t="s">
        <v>32</v>
      </c>
      <c r="AA230" s="45">
        <v>45205</v>
      </c>
      <c r="AB230" s="14">
        <v>24</v>
      </c>
      <c r="AC230" s="14">
        <v>22007</v>
      </c>
      <c r="AD230" s="14">
        <v>130</v>
      </c>
      <c r="AE230" s="14" t="s">
        <v>1401</v>
      </c>
      <c r="AF230" s="14">
        <v>130</v>
      </c>
      <c r="AG230" s="14" t="s">
        <v>1402</v>
      </c>
      <c r="AH230" s="14" t="s">
        <v>36</v>
      </c>
      <c r="AI230" s="14" t="s">
        <v>472</v>
      </c>
      <c r="AJ230" s="14">
        <v>1043</v>
      </c>
      <c r="AK230" s="14" t="s">
        <v>1407</v>
      </c>
      <c r="AL230" s="14">
        <v>28142</v>
      </c>
      <c r="AM230" s="14" t="s">
        <v>1418</v>
      </c>
      <c r="AN230" s="14" t="s">
        <v>1444</v>
      </c>
      <c r="AO230" s="14">
        <v>28</v>
      </c>
      <c r="AP230" s="14" t="s">
        <v>1416</v>
      </c>
      <c r="AQ230" s="14">
        <v>0</v>
      </c>
      <c r="AR230" s="14" t="s">
        <v>1410</v>
      </c>
      <c r="AT230" s="14" t="s">
        <v>1417</v>
      </c>
      <c r="AU230" s="14" t="s">
        <v>1412</v>
      </c>
    </row>
    <row r="231" spans="1:47" x14ac:dyDescent="0.45">
      <c r="A231" s="42">
        <v>2413150038</v>
      </c>
      <c r="B231" s="14">
        <v>131</v>
      </c>
      <c r="C231" s="14" t="s">
        <v>1462</v>
      </c>
      <c r="D231" s="14">
        <v>130</v>
      </c>
      <c r="E231" s="14" t="s">
        <v>1402</v>
      </c>
      <c r="F231" s="14" t="s">
        <v>832</v>
      </c>
      <c r="G231" s="14" t="s">
        <v>833</v>
      </c>
      <c r="H231" s="14">
        <v>2</v>
      </c>
      <c r="I231" s="14" t="s">
        <v>566</v>
      </c>
      <c r="J231" s="14" t="s">
        <v>1403</v>
      </c>
      <c r="K231" s="14">
        <v>2024</v>
      </c>
      <c r="L231" s="42">
        <v>2024</v>
      </c>
      <c r="M231" s="43">
        <v>45194</v>
      </c>
      <c r="N231" s="14" t="s">
        <v>36</v>
      </c>
      <c r="O231" s="14" t="s">
        <v>698</v>
      </c>
      <c r="P231" s="14">
        <v>502</v>
      </c>
      <c r="Q231" s="14" t="s">
        <v>1500</v>
      </c>
      <c r="R231" s="14">
        <v>2</v>
      </c>
      <c r="S231" s="14">
        <v>5</v>
      </c>
      <c r="T231" s="14" t="s">
        <v>1470</v>
      </c>
      <c r="U231" s="14">
        <v>15</v>
      </c>
      <c r="V231" s="42">
        <v>2422509</v>
      </c>
      <c r="W231" s="42">
        <v>0</v>
      </c>
      <c r="X231" s="42" t="s">
        <v>1406</v>
      </c>
      <c r="Y231" s="59"/>
      <c r="Z231" s="14" t="s">
        <v>32</v>
      </c>
      <c r="AA231" s="45">
        <v>45202</v>
      </c>
      <c r="AB231" s="14">
        <v>24</v>
      </c>
      <c r="AC231" s="14">
        <v>22509</v>
      </c>
      <c r="AD231" s="14">
        <v>131</v>
      </c>
      <c r="AE231" s="14" t="s">
        <v>1462</v>
      </c>
      <c r="AF231" s="14">
        <v>130</v>
      </c>
      <c r="AG231" s="14" t="s">
        <v>1402</v>
      </c>
      <c r="AH231" s="14" t="s">
        <v>36</v>
      </c>
      <c r="AI231" s="14" t="s">
        <v>698</v>
      </c>
      <c r="AJ231" s="14">
        <v>502</v>
      </c>
      <c r="AK231" s="14" t="s">
        <v>1407</v>
      </c>
      <c r="AL231" s="14">
        <v>28107</v>
      </c>
      <c r="AM231" s="14" t="s">
        <v>1418</v>
      </c>
      <c r="AN231" s="14" t="s">
        <v>1484</v>
      </c>
      <c r="AO231" s="14">
        <v>28</v>
      </c>
      <c r="AP231" s="14" t="s">
        <v>1416</v>
      </c>
      <c r="AQ231" s="14">
        <v>0</v>
      </c>
      <c r="AR231" s="14" t="s">
        <v>1410</v>
      </c>
      <c r="AT231" s="14" t="s">
        <v>1417</v>
      </c>
      <c r="AU231" s="14" t="s">
        <v>1412</v>
      </c>
    </row>
    <row r="232" spans="1:47" x14ac:dyDescent="0.45">
      <c r="A232" s="42">
        <v>2413050053</v>
      </c>
      <c r="B232" s="14">
        <v>130</v>
      </c>
      <c r="C232" s="14" t="s">
        <v>1401</v>
      </c>
      <c r="D232" s="14">
        <v>130</v>
      </c>
      <c r="E232" s="14" t="s">
        <v>1402</v>
      </c>
      <c r="F232" s="14" t="s">
        <v>667</v>
      </c>
      <c r="G232" s="14" t="s">
        <v>668</v>
      </c>
      <c r="H232" s="14">
        <v>1</v>
      </c>
      <c r="I232" s="14" t="s">
        <v>669</v>
      </c>
      <c r="J232" s="14" t="s">
        <v>1403</v>
      </c>
      <c r="K232" s="14">
        <v>2024</v>
      </c>
      <c r="L232" s="42">
        <v>2024</v>
      </c>
      <c r="M232" s="43">
        <v>45184</v>
      </c>
      <c r="N232" s="14" t="s">
        <v>36</v>
      </c>
      <c r="O232" s="14" t="s">
        <v>501</v>
      </c>
      <c r="P232" s="14">
        <v>1726</v>
      </c>
      <c r="Q232" s="14" t="s">
        <v>1430</v>
      </c>
      <c r="R232" s="14">
        <v>2</v>
      </c>
      <c r="S232" s="14">
        <v>34</v>
      </c>
      <c r="T232" s="14" t="s">
        <v>1431</v>
      </c>
      <c r="U232" s="14">
        <v>12</v>
      </c>
      <c r="V232" s="42">
        <v>2422005</v>
      </c>
      <c r="W232" s="42">
        <v>0</v>
      </c>
      <c r="X232" s="42" t="s">
        <v>1406</v>
      </c>
      <c r="Y232" s="59"/>
      <c r="Z232" s="14" t="s">
        <v>32</v>
      </c>
      <c r="AA232" s="45">
        <v>45202</v>
      </c>
      <c r="AB232" s="14">
        <v>24</v>
      </c>
      <c r="AC232" s="14">
        <v>22005</v>
      </c>
      <c r="AD232" s="14">
        <v>130</v>
      </c>
      <c r="AE232" s="14" t="s">
        <v>1401</v>
      </c>
      <c r="AF232" s="14">
        <v>130</v>
      </c>
      <c r="AG232" s="14" t="s">
        <v>1402</v>
      </c>
      <c r="AH232" s="14" t="s">
        <v>36</v>
      </c>
      <c r="AI232" s="14" t="s">
        <v>501</v>
      </c>
      <c r="AJ232" s="14">
        <v>1726</v>
      </c>
      <c r="AK232" s="14" t="s">
        <v>1407</v>
      </c>
      <c r="AL232" s="14">
        <v>28098</v>
      </c>
      <c r="AM232" s="14" t="s">
        <v>1418</v>
      </c>
      <c r="AN232" s="14" t="s">
        <v>1448</v>
      </c>
      <c r="AO232" s="14">
        <v>28</v>
      </c>
      <c r="AP232" s="14" t="s">
        <v>1416</v>
      </c>
      <c r="AQ232" s="14">
        <v>0</v>
      </c>
      <c r="AR232" s="14" t="s">
        <v>1410</v>
      </c>
      <c r="AT232" s="14" t="s">
        <v>1417</v>
      </c>
      <c r="AU232" s="14" t="s">
        <v>1412</v>
      </c>
    </row>
    <row r="233" spans="1:47" x14ac:dyDescent="0.45">
      <c r="A233" s="42">
        <v>2413150106</v>
      </c>
      <c r="B233" s="14">
        <v>131</v>
      </c>
      <c r="C233" s="14" t="s">
        <v>1462</v>
      </c>
      <c r="D233" s="14">
        <v>130</v>
      </c>
      <c r="E233" s="14" t="s">
        <v>1402</v>
      </c>
      <c r="F233" s="14" t="s">
        <v>1041</v>
      </c>
      <c r="G233" s="14" t="s">
        <v>1042</v>
      </c>
      <c r="H233" s="14">
        <v>2</v>
      </c>
      <c r="I233" s="14" t="s">
        <v>1043</v>
      </c>
      <c r="J233" s="14" t="s">
        <v>1403</v>
      </c>
      <c r="K233" s="14">
        <v>2024</v>
      </c>
      <c r="L233" s="42">
        <v>2024</v>
      </c>
      <c r="M233" s="43">
        <v>45183</v>
      </c>
      <c r="N233" s="14" t="s">
        <v>36</v>
      </c>
      <c r="O233" s="14" t="s">
        <v>708</v>
      </c>
      <c r="P233" s="14">
        <v>121</v>
      </c>
      <c r="Q233" s="14" t="s">
        <v>1502</v>
      </c>
      <c r="R233" s="14">
        <v>2</v>
      </c>
      <c r="S233" s="14">
        <v>8</v>
      </c>
      <c r="T233" s="14" t="s">
        <v>1503</v>
      </c>
      <c r="U233" s="14">
        <v>6</v>
      </c>
      <c r="V233" s="42">
        <v>2422510</v>
      </c>
      <c r="W233" s="42">
        <v>0</v>
      </c>
      <c r="X233" s="42" t="s">
        <v>1406</v>
      </c>
      <c r="Y233" s="59"/>
      <c r="Z233" s="14" t="s">
        <v>32</v>
      </c>
      <c r="AA233" s="45">
        <v>45202</v>
      </c>
      <c r="AB233" s="14">
        <v>24</v>
      </c>
      <c r="AC233" s="14">
        <v>22510</v>
      </c>
      <c r="AD233" s="14">
        <v>131</v>
      </c>
      <c r="AE233" s="14" t="s">
        <v>1462</v>
      </c>
      <c r="AF233" s="14">
        <v>130</v>
      </c>
      <c r="AG233" s="14" t="s">
        <v>1402</v>
      </c>
      <c r="AH233" s="14" t="s">
        <v>36</v>
      </c>
      <c r="AI233" s="14" t="s">
        <v>708</v>
      </c>
      <c r="AJ233" s="14">
        <v>121</v>
      </c>
      <c r="AK233" s="14" t="s">
        <v>1407</v>
      </c>
      <c r="AL233" s="14">
        <v>28205</v>
      </c>
      <c r="AM233" s="14" t="s">
        <v>1418</v>
      </c>
      <c r="AN233" s="14" t="s">
        <v>1436</v>
      </c>
      <c r="AO233" s="14">
        <v>28</v>
      </c>
      <c r="AP233" s="14" t="s">
        <v>1416</v>
      </c>
      <c r="AQ233" s="14">
        <v>0</v>
      </c>
      <c r="AR233" s="14" t="s">
        <v>1410</v>
      </c>
      <c r="AT233" s="14" t="s">
        <v>1417</v>
      </c>
      <c r="AU233" s="14" t="s">
        <v>1412</v>
      </c>
    </row>
    <row r="234" spans="1:47" x14ac:dyDescent="0.45">
      <c r="A234" s="42">
        <v>2413050023</v>
      </c>
      <c r="B234" s="14">
        <v>130</v>
      </c>
      <c r="C234" s="14" t="s">
        <v>1401</v>
      </c>
      <c r="D234" s="14">
        <v>130</v>
      </c>
      <c r="E234" s="14" t="s">
        <v>1402</v>
      </c>
      <c r="F234" s="14" t="s">
        <v>564</v>
      </c>
      <c r="G234" s="14" t="s">
        <v>565</v>
      </c>
      <c r="H234" s="14">
        <v>1</v>
      </c>
      <c r="I234" s="14" t="s">
        <v>566</v>
      </c>
      <c r="J234" s="14" t="s">
        <v>1403</v>
      </c>
      <c r="K234" s="14">
        <v>2024</v>
      </c>
      <c r="L234" s="42">
        <v>2024</v>
      </c>
      <c r="M234" s="43">
        <v>45181</v>
      </c>
      <c r="N234" s="14" t="s">
        <v>36</v>
      </c>
      <c r="O234" s="14" t="s">
        <v>501</v>
      </c>
      <c r="P234" s="14">
        <v>1726</v>
      </c>
      <c r="Q234" s="14" t="s">
        <v>1430</v>
      </c>
      <c r="R234" s="14">
        <v>2</v>
      </c>
      <c r="S234" s="14">
        <v>34</v>
      </c>
      <c r="T234" s="14" t="s">
        <v>1431</v>
      </c>
      <c r="U234" s="14">
        <v>12</v>
      </c>
      <c r="V234" s="42">
        <v>2422004</v>
      </c>
      <c r="W234" s="42">
        <v>0</v>
      </c>
      <c r="X234" s="42" t="s">
        <v>1406</v>
      </c>
      <c r="Y234" s="59"/>
      <c r="Z234" s="14" t="s">
        <v>32</v>
      </c>
      <c r="AA234" s="45">
        <v>45202</v>
      </c>
      <c r="AB234" s="14">
        <v>24</v>
      </c>
      <c r="AC234" s="14">
        <v>22004</v>
      </c>
      <c r="AD234" s="14">
        <v>130</v>
      </c>
      <c r="AE234" s="14" t="s">
        <v>1401</v>
      </c>
      <c r="AF234" s="14">
        <v>130</v>
      </c>
      <c r="AG234" s="14" t="s">
        <v>1402</v>
      </c>
      <c r="AH234" s="14" t="s">
        <v>36</v>
      </c>
      <c r="AI234" s="14" t="s">
        <v>501</v>
      </c>
      <c r="AJ234" s="14">
        <v>1726</v>
      </c>
      <c r="AK234" s="14" t="s">
        <v>1407</v>
      </c>
      <c r="AL234" s="14">
        <v>28098</v>
      </c>
      <c r="AM234" s="14" t="s">
        <v>1418</v>
      </c>
      <c r="AN234" s="14" t="s">
        <v>1448</v>
      </c>
      <c r="AO234" s="14">
        <v>28</v>
      </c>
      <c r="AP234" s="14" t="s">
        <v>1416</v>
      </c>
      <c r="AQ234" s="14">
        <v>0</v>
      </c>
      <c r="AR234" s="14" t="s">
        <v>1410</v>
      </c>
      <c r="AT234" s="14" t="s">
        <v>1417</v>
      </c>
      <c r="AU234" s="14" t="s">
        <v>1412</v>
      </c>
    </row>
    <row r="235" spans="1:47" x14ac:dyDescent="0.45">
      <c r="A235" s="42">
        <v>2413150001</v>
      </c>
      <c r="B235" s="14">
        <v>131</v>
      </c>
      <c r="C235" s="14" t="s">
        <v>1462</v>
      </c>
      <c r="D235" s="14">
        <v>130</v>
      </c>
      <c r="E235" s="14" t="s">
        <v>1402</v>
      </c>
      <c r="F235" s="14" t="s">
        <v>701</v>
      </c>
      <c r="G235" s="14" t="s">
        <v>702</v>
      </c>
      <c r="H235" s="14">
        <v>1</v>
      </c>
      <c r="I235" s="14" t="s">
        <v>703</v>
      </c>
      <c r="J235" s="14" t="s">
        <v>1403</v>
      </c>
      <c r="K235" s="14">
        <v>2024</v>
      </c>
      <c r="L235" s="42">
        <v>2024</v>
      </c>
      <c r="M235" s="43">
        <v>45180</v>
      </c>
      <c r="N235" s="14" t="s">
        <v>36</v>
      </c>
      <c r="O235" s="14" t="s">
        <v>698</v>
      </c>
      <c r="P235" s="14">
        <v>502</v>
      </c>
      <c r="Q235" s="14" t="s">
        <v>1500</v>
      </c>
      <c r="R235" s="14">
        <v>2</v>
      </c>
      <c r="S235" s="14">
        <v>5</v>
      </c>
      <c r="T235" s="14" t="s">
        <v>1470</v>
      </c>
      <c r="U235" s="14">
        <v>15</v>
      </c>
      <c r="V235" s="42">
        <v>2422507</v>
      </c>
      <c r="W235" s="42">
        <v>166</v>
      </c>
      <c r="X235" s="42" t="s">
        <v>1501</v>
      </c>
      <c r="Y235" s="59"/>
      <c r="Z235" s="14" t="s">
        <v>32</v>
      </c>
      <c r="AA235" s="45">
        <v>45202</v>
      </c>
      <c r="AB235" s="14">
        <v>24</v>
      </c>
      <c r="AC235" s="14">
        <v>22507</v>
      </c>
      <c r="AD235" s="14">
        <v>131</v>
      </c>
      <c r="AE235" s="14" t="s">
        <v>1462</v>
      </c>
      <c r="AF235" s="14">
        <v>130</v>
      </c>
      <c r="AG235" s="14" t="s">
        <v>1402</v>
      </c>
      <c r="AH235" s="14" t="s">
        <v>36</v>
      </c>
      <c r="AI235" s="14" t="s">
        <v>698</v>
      </c>
      <c r="AJ235" s="14">
        <v>502</v>
      </c>
      <c r="AK235" s="14" t="s">
        <v>1407</v>
      </c>
      <c r="AL235" s="14">
        <v>28088</v>
      </c>
      <c r="AM235" s="14" t="s">
        <v>1418</v>
      </c>
      <c r="AN235" s="14" t="s">
        <v>1497</v>
      </c>
      <c r="AO235" s="14">
        <v>28</v>
      </c>
      <c r="AP235" s="14" t="s">
        <v>1416</v>
      </c>
      <c r="AQ235" s="14">
        <v>0</v>
      </c>
      <c r="AR235" s="14" t="s">
        <v>1410</v>
      </c>
      <c r="AT235" s="14" t="s">
        <v>1417</v>
      </c>
      <c r="AU235" s="14" t="s">
        <v>1412</v>
      </c>
    </row>
    <row r="236" spans="1:47" x14ac:dyDescent="0.45">
      <c r="A236" s="42">
        <v>2413150051</v>
      </c>
      <c r="B236" s="14">
        <v>131</v>
      </c>
      <c r="C236" s="14" t="s">
        <v>1462</v>
      </c>
      <c r="D236" s="14">
        <v>130</v>
      </c>
      <c r="E236" s="14" t="s">
        <v>1402</v>
      </c>
      <c r="F236" s="14" t="s">
        <v>876</v>
      </c>
      <c r="G236" s="14" t="s">
        <v>877</v>
      </c>
      <c r="H236" s="14">
        <v>1</v>
      </c>
      <c r="I236" s="14" t="s">
        <v>878</v>
      </c>
      <c r="J236" s="14" t="s">
        <v>1403</v>
      </c>
      <c r="K236" s="14">
        <v>2024</v>
      </c>
      <c r="L236" s="42">
        <v>2024</v>
      </c>
      <c r="M236" s="43">
        <v>45176</v>
      </c>
      <c r="N236" s="14" t="s">
        <v>36</v>
      </c>
      <c r="O236" s="14" t="s">
        <v>704</v>
      </c>
      <c r="P236" s="14">
        <v>968</v>
      </c>
      <c r="Q236" s="14" t="s">
        <v>1474</v>
      </c>
      <c r="R236" s="14">
        <v>2</v>
      </c>
      <c r="S236" s="14">
        <v>2</v>
      </c>
      <c r="T236" s="14" t="s">
        <v>1464</v>
      </c>
      <c r="U236" s="14">
        <v>1</v>
      </c>
      <c r="V236" s="42">
        <v>2422506</v>
      </c>
      <c r="W236" s="42">
        <v>0</v>
      </c>
      <c r="X236" s="42" t="s">
        <v>1406</v>
      </c>
      <c r="Y236" s="59"/>
      <c r="Z236" s="14" t="s">
        <v>32</v>
      </c>
      <c r="AA236" s="45">
        <v>45202</v>
      </c>
      <c r="AB236" s="14">
        <v>24</v>
      </c>
      <c r="AC236" s="14">
        <v>22506</v>
      </c>
      <c r="AD236" s="14">
        <v>131</v>
      </c>
      <c r="AE236" s="14" t="s">
        <v>1462</v>
      </c>
      <c r="AF236" s="14">
        <v>130</v>
      </c>
      <c r="AG236" s="14" t="s">
        <v>1402</v>
      </c>
      <c r="AH236" s="14" t="s">
        <v>36</v>
      </c>
      <c r="AI236" s="14" t="s">
        <v>704</v>
      </c>
      <c r="AJ236" s="14">
        <v>968</v>
      </c>
      <c r="AK236" s="14" t="s">
        <v>1407</v>
      </c>
      <c r="AL236" s="14">
        <v>28095</v>
      </c>
      <c r="AM236" s="14" t="s">
        <v>1421</v>
      </c>
      <c r="AN236" s="14" t="s">
        <v>1435</v>
      </c>
      <c r="AO236" s="14">
        <v>28</v>
      </c>
      <c r="AP236" s="14" t="s">
        <v>1416</v>
      </c>
      <c r="AQ236" s="14">
        <v>0</v>
      </c>
      <c r="AR236" s="14" t="s">
        <v>1410</v>
      </c>
      <c r="AT236" s="14" t="s">
        <v>1417</v>
      </c>
      <c r="AU236" s="14" t="s">
        <v>1412</v>
      </c>
    </row>
    <row r="237" spans="1:47" x14ac:dyDescent="0.45">
      <c r="A237" s="42">
        <v>2413050008</v>
      </c>
      <c r="B237" s="14">
        <v>130</v>
      </c>
      <c r="C237" s="14" t="s">
        <v>1401</v>
      </c>
      <c r="D237" s="14">
        <v>130</v>
      </c>
      <c r="E237" s="14" t="s">
        <v>1402</v>
      </c>
      <c r="F237" s="14" t="s">
        <v>508</v>
      </c>
      <c r="G237" s="14" t="s">
        <v>509</v>
      </c>
      <c r="H237" s="14">
        <v>1</v>
      </c>
      <c r="I237" s="14" t="s">
        <v>510</v>
      </c>
      <c r="J237" s="14" t="s">
        <v>1403</v>
      </c>
      <c r="K237" s="14">
        <v>2024</v>
      </c>
      <c r="L237" s="42">
        <v>2024</v>
      </c>
      <c r="M237" s="43">
        <v>45173</v>
      </c>
      <c r="N237" s="14" t="s">
        <v>36</v>
      </c>
      <c r="O237" s="14" t="s">
        <v>501</v>
      </c>
      <c r="P237" s="14">
        <v>1726</v>
      </c>
      <c r="Q237" s="14" t="s">
        <v>1430</v>
      </c>
      <c r="R237" s="14">
        <v>2</v>
      </c>
      <c r="S237" s="14">
        <v>34</v>
      </c>
      <c r="T237" s="14" t="s">
        <v>1431</v>
      </c>
      <c r="U237" s="14">
        <v>12</v>
      </c>
      <c r="V237" s="42">
        <v>2422002</v>
      </c>
      <c r="W237" s="42">
        <v>0</v>
      </c>
      <c r="X237" s="42" t="s">
        <v>1406</v>
      </c>
      <c r="Z237" s="14" t="s">
        <v>32</v>
      </c>
      <c r="AA237" s="45">
        <v>45202</v>
      </c>
      <c r="AB237" s="14">
        <v>24</v>
      </c>
      <c r="AC237" s="14">
        <v>22002</v>
      </c>
      <c r="AD237" s="14">
        <v>130</v>
      </c>
      <c r="AE237" s="14" t="s">
        <v>1401</v>
      </c>
      <c r="AF237" s="14">
        <v>130</v>
      </c>
      <c r="AG237" s="14" t="s">
        <v>1402</v>
      </c>
      <c r="AH237" s="14" t="s">
        <v>36</v>
      </c>
      <c r="AI237" s="14" t="s">
        <v>501</v>
      </c>
      <c r="AJ237" s="14">
        <v>1726</v>
      </c>
      <c r="AK237" s="14" t="s">
        <v>1407</v>
      </c>
      <c r="AL237" s="14">
        <v>28247</v>
      </c>
      <c r="AM237" s="14" t="s">
        <v>1418</v>
      </c>
      <c r="AN237" s="14" t="s">
        <v>1419</v>
      </c>
      <c r="AO237" s="14">
        <v>28</v>
      </c>
      <c r="AP237" s="14" t="s">
        <v>1416</v>
      </c>
      <c r="AQ237" s="14">
        <v>0</v>
      </c>
      <c r="AR237" s="14" t="s">
        <v>1410</v>
      </c>
      <c r="AT237" s="14" t="s">
        <v>1417</v>
      </c>
      <c r="AU237" s="14" t="s">
        <v>1412</v>
      </c>
    </row>
    <row r="238" spans="1:47" x14ac:dyDescent="0.45">
      <c r="A238" s="42">
        <v>2413050039</v>
      </c>
      <c r="B238" s="14">
        <v>130</v>
      </c>
      <c r="C238" s="14" t="s">
        <v>1401</v>
      </c>
      <c r="D238" s="14">
        <v>130</v>
      </c>
      <c r="E238" s="14" t="s">
        <v>1402</v>
      </c>
      <c r="F238" s="14" t="s">
        <v>615</v>
      </c>
      <c r="G238" s="14" t="s">
        <v>616</v>
      </c>
      <c r="H238" s="14">
        <v>1</v>
      </c>
      <c r="I238" s="14" t="s">
        <v>617</v>
      </c>
      <c r="J238" s="14" t="s">
        <v>1403</v>
      </c>
      <c r="K238" s="14">
        <v>2024</v>
      </c>
      <c r="L238" s="42">
        <v>2024</v>
      </c>
      <c r="M238" s="43">
        <v>45173</v>
      </c>
      <c r="N238" s="14" t="s">
        <v>36</v>
      </c>
      <c r="O238" s="14" t="s">
        <v>501</v>
      </c>
      <c r="P238" s="14">
        <v>1726</v>
      </c>
      <c r="Q238" s="14" t="s">
        <v>1430</v>
      </c>
      <c r="R238" s="14">
        <v>2</v>
      </c>
      <c r="S238" s="14">
        <v>34</v>
      </c>
      <c r="T238" s="14" t="s">
        <v>1431</v>
      </c>
      <c r="U238" s="14">
        <v>12</v>
      </c>
      <c r="V238" s="42">
        <v>2422003</v>
      </c>
      <c r="W238" s="42">
        <v>0</v>
      </c>
      <c r="X238" s="42" t="s">
        <v>1406</v>
      </c>
      <c r="Z238" s="14" t="s">
        <v>32</v>
      </c>
      <c r="AA238" s="45">
        <v>45202</v>
      </c>
      <c r="AB238" s="14">
        <v>24</v>
      </c>
      <c r="AC238" s="14">
        <v>22003</v>
      </c>
      <c r="AD238" s="14">
        <v>130</v>
      </c>
      <c r="AE238" s="14" t="s">
        <v>1401</v>
      </c>
      <c r="AF238" s="14">
        <v>130</v>
      </c>
      <c r="AG238" s="14" t="s">
        <v>1402</v>
      </c>
      <c r="AH238" s="14" t="s">
        <v>36</v>
      </c>
      <c r="AI238" s="14" t="s">
        <v>501</v>
      </c>
      <c r="AJ238" s="14">
        <v>1726</v>
      </c>
      <c r="AK238" s="14" t="s">
        <v>1407</v>
      </c>
      <c r="AL238" s="14">
        <v>28029</v>
      </c>
      <c r="AM238" s="14" t="s">
        <v>1421</v>
      </c>
      <c r="AN238" s="14" t="s">
        <v>1441</v>
      </c>
      <c r="AO238" s="14">
        <v>28</v>
      </c>
      <c r="AP238" s="14" t="s">
        <v>1416</v>
      </c>
      <c r="AQ238" s="14">
        <v>0</v>
      </c>
      <c r="AR238" s="14" t="s">
        <v>1410</v>
      </c>
      <c r="AT238" s="14" t="s">
        <v>1417</v>
      </c>
      <c r="AU238" s="14" t="s">
        <v>1412</v>
      </c>
    </row>
    <row r="239" spans="1:47" x14ac:dyDescent="0.45">
      <c r="A239" s="42">
        <v>2413150006</v>
      </c>
      <c r="B239" s="14">
        <v>131</v>
      </c>
      <c r="C239" s="14" t="s">
        <v>1462</v>
      </c>
      <c r="D239" s="14">
        <v>130</v>
      </c>
      <c r="E239" s="14" t="s">
        <v>1402</v>
      </c>
      <c r="F239" s="14" t="s">
        <v>723</v>
      </c>
      <c r="G239" s="14" t="s">
        <v>724</v>
      </c>
      <c r="H239" s="14">
        <v>2</v>
      </c>
      <c r="I239" s="14" t="s">
        <v>576</v>
      </c>
      <c r="J239" s="14" t="s">
        <v>1403</v>
      </c>
      <c r="K239" s="14">
        <v>2024</v>
      </c>
      <c r="L239" s="42">
        <v>2024</v>
      </c>
      <c r="M239" s="43">
        <v>45173</v>
      </c>
      <c r="N239" s="14" t="s">
        <v>36</v>
      </c>
      <c r="O239" s="14" t="s">
        <v>708</v>
      </c>
      <c r="P239" s="14">
        <v>273</v>
      </c>
      <c r="Q239" s="14" t="s">
        <v>1506</v>
      </c>
      <c r="R239" s="14">
        <v>2</v>
      </c>
      <c r="S239" s="14">
        <v>8</v>
      </c>
      <c r="T239" s="14" t="s">
        <v>1503</v>
      </c>
      <c r="U239" s="14">
        <v>6</v>
      </c>
      <c r="V239" s="42">
        <v>2422505</v>
      </c>
      <c r="W239" s="42">
        <v>0</v>
      </c>
      <c r="X239" s="42" t="s">
        <v>1406</v>
      </c>
      <c r="Z239" s="14" t="s">
        <v>32</v>
      </c>
      <c r="AA239" s="45">
        <v>45202</v>
      </c>
      <c r="AB239" s="14">
        <v>24</v>
      </c>
      <c r="AC239" s="14">
        <v>22505</v>
      </c>
      <c r="AD239" s="14">
        <v>131</v>
      </c>
      <c r="AE239" s="14" t="s">
        <v>1462</v>
      </c>
      <c r="AF239" s="14">
        <v>130</v>
      </c>
      <c r="AG239" s="14" t="s">
        <v>1402</v>
      </c>
      <c r="AH239" s="14" t="s">
        <v>36</v>
      </c>
      <c r="AI239" s="14" t="s">
        <v>708</v>
      </c>
      <c r="AJ239" s="14">
        <v>273</v>
      </c>
      <c r="AK239" s="14" t="s">
        <v>1407</v>
      </c>
      <c r="AL239" s="14">
        <v>28091</v>
      </c>
      <c r="AM239" s="14" t="s">
        <v>1421</v>
      </c>
      <c r="AN239" s="14" t="s">
        <v>1452</v>
      </c>
      <c r="AO239" s="14">
        <v>28</v>
      </c>
      <c r="AP239" s="14" t="s">
        <v>1416</v>
      </c>
      <c r="AQ239" s="14">
        <v>0</v>
      </c>
      <c r="AR239" s="14" t="s">
        <v>1410</v>
      </c>
      <c r="AT239" s="14" t="s">
        <v>1417</v>
      </c>
      <c r="AU239" s="14" t="s">
        <v>1412</v>
      </c>
    </row>
    <row r="240" spans="1:47" x14ac:dyDescent="0.45">
      <c r="A240" s="42">
        <v>2413150015</v>
      </c>
      <c r="B240" s="14">
        <v>131</v>
      </c>
      <c r="C240" s="14" t="s">
        <v>1462</v>
      </c>
      <c r="D240" s="14">
        <v>130</v>
      </c>
      <c r="E240" s="14" t="s">
        <v>1402</v>
      </c>
      <c r="F240" s="14" t="s">
        <v>760</v>
      </c>
      <c r="G240" s="14" t="s">
        <v>761</v>
      </c>
      <c r="H240" s="14">
        <v>1</v>
      </c>
      <c r="I240" s="14" t="s">
        <v>762</v>
      </c>
      <c r="J240" s="14" t="s">
        <v>1403</v>
      </c>
      <c r="K240" s="14">
        <v>2024</v>
      </c>
      <c r="L240" s="42">
        <v>2024</v>
      </c>
      <c r="M240" s="43">
        <v>45173</v>
      </c>
      <c r="N240" s="14" t="s">
        <v>36</v>
      </c>
      <c r="O240" s="14" t="s">
        <v>741</v>
      </c>
      <c r="P240" s="14">
        <v>581</v>
      </c>
      <c r="Q240" s="14" t="s">
        <v>1489</v>
      </c>
      <c r="R240" s="14">
        <v>2</v>
      </c>
      <c r="S240" s="14">
        <v>10</v>
      </c>
      <c r="T240" s="14" t="s">
        <v>1490</v>
      </c>
      <c r="U240" s="14">
        <v>9</v>
      </c>
      <c r="V240" s="42">
        <v>2422511</v>
      </c>
      <c r="W240" s="42">
        <v>0</v>
      </c>
      <c r="X240" s="42" t="s">
        <v>1406</v>
      </c>
      <c r="Z240" s="14" t="s">
        <v>32</v>
      </c>
      <c r="AA240" s="45">
        <v>45202</v>
      </c>
      <c r="AB240" s="14">
        <v>24</v>
      </c>
      <c r="AC240" s="14">
        <v>22511</v>
      </c>
      <c r="AD240" s="14">
        <v>131</v>
      </c>
      <c r="AE240" s="14" t="s">
        <v>1462</v>
      </c>
      <c r="AF240" s="14">
        <v>130</v>
      </c>
      <c r="AG240" s="14" t="s">
        <v>1402</v>
      </c>
      <c r="AH240" s="14" t="s">
        <v>36</v>
      </c>
      <c r="AI240" s="14" t="s">
        <v>741</v>
      </c>
      <c r="AJ240" s="14">
        <v>581</v>
      </c>
      <c r="AK240" s="14" t="s">
        <v>1407</v>
      </c>
      <c r="AL240" s="14">
        <v>42097</v>
      </c>
      <c r="AM240" s="14" t="s">
        <v>1421</v>
      </c>
      <c r="AN240" s="14" t="s">
        <v>1515</v>
      </c>
      <c r="AO240" s="14">
        <v>42</v>
      </c>
      <c r="AP240" s="14" t="s">
        <v>1516</v>
      </c>
      <c r="AQ240" s="14">
        <v>0</v>
      </c>
      <c r="AR240" s="14" t="s">
        <v>1410</v>
      </c>
      <c r="AT240" s="14" t="s">
        <v>1417</v>
      </c>
      <c r="AU240" s="14" t="s">
        <v>1412</v>
      </c>
    </row>
    <row r="241" spans="1:47" x14ac:dyDescent="0.45">
      <c r="A241" s="42">
        <v>2413150054</v>
      </c>
      <c r="B241" s="14">
        <v>131</v>
      </c>
      <c r="C241" s="14" t="s">
        <v>1462</v>
      </c>
      <c r="D241" s="14">
        <v>130</v>
      </c>
      <c r="E241" s="14" t="s">
        <v>1402</v>
      </c>
      <c r="F241" s="14" t="s">
        <v>887</v>
      </c>
      <c r="G241" s="14" t="s">
        <v>888</v>
      </c>
      <c r="H241" s="14">
        <v>1</v>
      </c>
      <c r="I241" s="14" t="s">
        <v>889</v>
      </c>
      <c r="J241" s="14" t="s">
        <v>1403</v>
      </c>
      <c r="K241" s="14">
        <v>2024</v>
      </c>
      <c r="L241" s="42">
        <v>2024</v>
      </c>
      <c r="M241" s="43">
        <v>45170</v>
      </c>
      <c r="N241" s="14" t="s">
        <v>36</v>
      </c>
      <c r="O241" s="14" t="s">
        <v>698</v>
      </c>
      <c r="P241" s="14">
        <v>628</v>
      </c>
      <c r="Q241" s="14" t="s">
        <v>1530</v>
      </c>
      <c r="R241" s="14">
        <v>2</v>
      </c>
      <c r="S241" s="14">
        <v>5</v>
      </c>
      <c r="T241" s="14" t="s">
        <v>1470</v>
      </c>
      <c r="U241" s="14">
        <v>15</v>
      </c>
      <c r="V241" s="42">
        <v>2422508</v>
      </c>
      <c r="W241" s="42">
        <v>0</v>
      </c>
      <c r="X241" s="42" t="s">
        <v>1406</v>
      </c>
      <c r="Z241" s="14" t="s">
        <v>32</v>
      </c>
      <c r="AA241" s="45">
        <v>45202</v>
      </c>
      <c r="AB241" s="14">
        <v>24</v>
      </c>
      <c r="AC241" s="14">
        <v>22508</v>
      </c>
      <c r="AD241" s="14">
        <v>131</v>
      </c>
      <c r="AE241" s="14" t="s">
        <v>1462</v>
      </c>
      <c r="AF241" s="14">
        <v>130</v>
      </c>
      <c r="AG241" s="14" t="s">
        <v>1402</v>
      </c>
      <c r="AH241" s="14" t="s">
        <v>36</v>
      </c>
      <c r="AI241" s="14" t="s">
        <v>698</v>
      </c>
      <c r="AJ241" s="14">
        <v>628</v>
      </c>
      <c r="AK241" s="14" t="s">
        <v>1407</v>
      </c>
      <c r="AL241" s="14">
        <v>28097</v>
      </c>
      <c r="AM241" s="14" t="s">
        <v>1418</v>
      </c>
      <c r="AN241" s="14" t="s">
        <v>1531</v>
      </c>
      <c r="AO241" s="14">
        <v>28</v>
      </c>
      <c r="AP241" s="14" t="s">
        <v>1416</v>
      </c>
      <c r="AQ241" s="14">
        <v>0</v>
      </c>
      <c r="AR241" s="14" t="s">
        <v>1410</v>
      </c>
      <c r="AT241" s="14" t="s">
        <v>1417</v>
      </c>
      <c r="AU241" s="14" t="s">
        <v>1412</v>
      </c>
    </row>
    <row r="242" spans="1:47" x14ac:dyDescent="0.45">
      <c r="A242" s="42">
        <v>2413150024</v>
      </c>
      <c r="B242" s="14">
        <v>131</v>
      </c>
      <c r="C242" s="14" t="s">
        <v>1462</v>
      </c>
      <c r="D242" s="14">
        <v>130</v>
      </c>
      <c r="E242" s="14" t="s">
        <v>1402</v>
      </c>
      <c r="F242" s="14" t="s">
        <v>788</v>
      </c>
      <c r="G242" s="14" t="s">
        <v>789</v>
      </c>
      <c r="H242" s="14">
        <v>2</v>
      </c>
      <c r="I242" s="14" t="s">
        <v>686</v>
      </c>
      <c r="J242" s="14" t="s">
        <v>1403</v>
      </c>
      <c r="K242" s="14">
        <v>2024</v>
      </c>
      <c r="L242" s="42">
        <v>2024</v>
      </c>
      <c r="M242" s="43">
        <v>45174</v>
      </c>
      <c r="N242" s="14" t="s">
        <v>36</v>
      </c>
      <c r="O242" s="14" t="s">
        <v>708</v>
      </c>
      <c r="P242" s="14">
        <v>1044</v>
      </c>
      <c r="Q242" s="14" t="s">
        <v>1476</v>
      </c>
      <c r="R242" s="14">
        <v>2</v>
      </c>
      <c r="S242" s="14">
        <v>3</v>
      </c>
      <c r="T242" s="14" t="s">
        <v>1477</v>
      </c>
      <c r="U242" s="14">
        <v>4</v>
      </c>
      <c r="V242" s="42">
        <v>2422503</v>
      </c>
      <c r="W242" s="42">
        <v>0</v>
      </c>
      <c r="X242" s="42" t="s">
        <v>1406</v>
      </c>
      <c r="Z242" s="14" t="s">
        <v>32</v>
      </c>
      <c r="AA242" s="45">
        <v>45197</v>
      </c>
      <c r="AB242" s="14">
        <v>24</v>
      </c>
      <c r="AC242" s="14">
        <v>22503</v>
      </c>
      <c r="AD242" s="14">
        <v>131</v>
      </c>
      <c r="AE242" s="14" t="s">
        <v>1462</v>
      </c>
      <c r="AF242" s="14">
        <v>130</v>
      </c>
      <c r="AG242" s="14" t="s">
        <v>1402</v>
      </c>
      <c r="AH242" s="14" t="s">
        <v>36</v>
      </c>
      <c r="AI242" s="14" t="s">
        <v>708</v>
      </c>
      <c r="AJ242" s="14">
        <v>1044</v>
      </c>
      <c r="AK242" s="14" t="s">
        <v>1407</v>
      </c>
      <c r="AL242" s="14">
        <v>28247</v>
      </c>
      <c r="AM242" s="14" t="s">
        <v>1418</v>
      </c>
      <c r="AN242" s="14" t="s">
        <v>1419</v>
      </c>
      <c r="AO242" s="14">
        <v>28</v>
      </c>
      <c r="AP242" s="14" t="s">
        <v>1416</v>
      </c>
      <c r="AQ242" s="14">
        <v>0</v>
      </c>
      <c r="AR242" s="14" t="s">
        <v>1410</v>
      </c>
      <c r="AT242" s="14" t="s">
        <v>1417</v>
      </c>
      <c r="AU242" s="14" t="s">
        <v>1412</v>
      </c>
    </row>
    <row r="243" spans="1:47" x14ac:dyDescent="0.45">
      <c r="A243" s="42">
        <v>2413150020</v>
      </c>
      <c r="B243" s="14">
        <v>131</v>
      </c>
      <c r="C243" s="14" t="s">
        <v>1462</v>
      </c>
      <c r="D243" s="14">
        <v>130</v>
      </c>
      <c r="E243" s="14" t="s">
        <v>1402</v>
      </c>
      <c r="F243" s="14" t="s">
        <v>776</v>
      </c>
      <c r="G243" s="14" t="s">
        <v>777</v>
      </c>
      <c r="H243" s="14">
        <v>2</v>
      </c>
      <c r="I243" s="14" t="s">
        <v>778</v>
      </c>
      <c r="J243" s="14" t="s">
        <v>1403</v>
      </c>
      <c r="K243" s="14">
        <v>2024</v>
      </c>
      <c r="L243" s="42">
        <v>2024</v>
      </c>
      <c r="M243" s="43">
        <v>45173</v>
      </c>
      <c r="N243" s="14" t="s">
        <v>36</v>
      </c>
      <c r="O243" s="14" t="s">
        <v>704</v>
      </c>
      <c r="P243" s="14">
        <v>968</v>
      </c>
      <c r="Q243" s="14" t="s">
        <v>1474</v>
      </c>
      <c r="R243" s="14">
        <v>2</v>
      </c>
      <c r="S243" s="14">
        <v>2</v>
      </c>
      <c r="T243" s="14" t="s">
        <v>1464</v>
      </c>
      <c r="U243" s="14">
        <v>1</v>
      </c>
      <c r="V243" s="42">
        <v>2422504</v>
      </c>
      <c r="W243" s="42">
        <v>0</v>
      </c>
      <c r="X243" s="42" t="s">
        <v>1406</v>
      </c>
      <c r="Z243" s="14" t="s">
        <v>32</v>
      </c>
      <c r="AA243" s="45">
        <v>45197</v>
      </c>
      <c r="AB243" s="14">
        <v>24</v>
      </c>
      <c r="AC243" s="14">
        <v>22504</v>
      </c>
      <c r="AD243" s="14">
        <v>131</v>
      </c>
      <c r="AE243" s="14" t="s">
        <v>1462</v>
      </c>
      <c r="AF243" s="14">
        <v>130</v>
      </c>
      <c r="AG243" s="14" t="s">
        <v>1402</v>
      </c>
      <c r="AH243" s="14" t="s">
        <v>36</v>
      </c>
      <c r="AI243" s="14" t="s">
        <v>704</v>
      </c>
      <c r="AJ243" s="14">
        <v>968</v>
      </c>
      <c r="AK243" s="14" t="s">
        <v>1407</v>
      </c>
      <c r="AL243" s="14">
        <v>28157</v>
      </c>
      <c r="AM243" s="14" t="s">
        <v>1414</v>
      </c>
      <c r="AN243" s="14" t="s">
        <v>1415</v>
      </c>
      <c r="AO243" s="14">
        <v>28</v>
      </c>
      <c r="AP243" s="14" t="s">
        <v>1416</v>
      </c>
      <c r="AQ243" s="14">
        <v>0</v>
      </c>
      <c r="AR243" s="14" t="s">
        <v>1410</v>
      </c>
      <c r="AT243" s="14" t="s">
        <v>1417</v>
      </c>
      <c r="AU243" s="14" t="s">
        <v>1412</v>
      </c>
    </row>
    <row r="244" spans="1:47" x14ac:dyDescent="0.45">
      <c r="A244" s="42">
        <v>2413150003</v>
      </c>
      <c r="B244" s="14">
        <v>131</v>
      </c>
      <c r="C244" s="14" t="s">
        <v>1462</v>
      </c>
      <c r="D244" s="14">
        <v>130</v>
      </c>
      <c r="E244" s="14" t="s">
        <v>1402</v>
      </c>
      <c r="F244" s="14" t="s">
        <v>709</v>
      </c>
      <c r="G244" s="14" t="s">
        <v>710</v>
      </c>
      <c r="H244" s="14">
        <v>2</v>
      </c>
      <c r="I244" s="14" t="s">
        <v>711</v>
      </c>
      <c r="J244" s="14" t="s">
        <v>1403</v>
      </c>
      <c r="K244" s="14">
        <v>2024</v>
      </c>
      <c r="L244" s="42">
        <v>2024</v>
      </c>
      <c r="M244" s="43">
        <v>45173</v>
      </c>
      <c r="N244" s="14" t="s">
        <v>36</v>
      </c>
      <c r="O244" s="14" t="s">
        <v>708</v>
      </c>
      <c r="P244" s="14">
        <v>1044</v>
      </c>
      <c r="Q244" s="14" t="s">
        <v>1476</v>
      </c>
      <c r="R244" s="14">
        <v>2</v>
      </c>
      <c r="S244" s="14">
        <v>3</v>
      </c>
      <c r="T244" s="14" t="s">
        <v>1477</v>
      </c>
      <c r="U244" s="14">
        <v>4</v>
      </c>
      <c r="V244" s="42">
        <v>2422502</v>
      </c>
      <c r="W244" s="42">
        <v>0</v>
      </c>
      <c r="X244" s="42" t="s">
        <v>1406</v>
      </c>
      <c r="Z244" s="14" t="s">
        <v>32</v>
      </c>
      <c r="AA244" s="45">
        <v>45194</v>
      </c>
      <c r="AB244" s="14">
        <v>24</v>
      </c>
      <c r="AC244" s="14">
        <v>22502</v>
      </c>
      <c r="AD244" s="14">
        <v>131</v>
      </c>
      <c r="AE244" s="14" t="s">
        <v>1462</v>
      </c>
      <c r="AF244" s="14">
        <v>130</v>
      </c>
      <c r="AG244" s="14" t="s">
        <v>1402</v>
      </c>
      <c r="AH244" s="14" t="s">
        <v>36</v>
      </c>
      <c r="AI244" s="14" t="s">
        <v>708</v>
      </c>
      <c r="AJ244" s="14">
        <v>1044</v>
      </c>
      <c r="AK244" s="14" t="s">
        <v>1407</v>
      </c>
      <c r="AL244" s="14">
        <v>28091</v>
      </c>
      <c r="AM244" s="14" t="s">
        <v>1421</v>
      </c>
      <c r="AN244" s="14" t="s">
        <v>1452</v>
      </c>
      <c r="AO244" s="14">
        <v>28</v>
      </c>
      <c r="AP244" s="14" t="s">
        <v>1416</v>
      </c>
      <c r="AQ244" s="14">
        <v>0</v>
      </c>
      <c r="AR244" s="14" t="s">
        <v>1410</v>
      </c>
      <c r="AT244" s="14" t="s">
        <v>1417</v>
      </c>
      <c r="AU244" s="14" t="s">
        <v>1412</v>
      </c>
    </row>
    <row r="245" spans="1:47" x14ac:dyDescent="0.45">
      <c r="A245" s="42">
        <v>2413050015</v>
      </c>
      <c r="B245" s="14">
        <v>130</v>
      </c>
      <c r="C245" s="14" t="s">
        <v>1401</v>
      </c>
      <c r="D245" s="14">
        <v>130</v>
      </c>
      <c r="E245" s="14" t="s">
        <v>1402</v>
      </c>
      <c r="F245" s="14" t="s">
        <v>532</v>
      </c>
      <c r="G245" s="14" t="s">
        <v>533</v>
      </c>
      <c r="H245" s="14">
        <v>1</v>
      </c>
      <c r="I245" s="14" t="s">
        <v>534</v>
      </c>
      <c r="J245" s="14" t="s">
        <v>1403</v>
      </c>
      <c r="K245" s="14">
        <v>2024</v>
      </c>
      <c r="L245" s="42">
        <v>2024</v>
      </c>
      <c r="M245" s="43">
        <v>45170</v>
      </c>
      <c r="N245" s="14" t="s">
        <v>36</v>
      </c>
      <c r="O245" s="14" t="s">
        <v>501</v>
      </c>
      <c r="P245" s="14">
        <v>1726</v>
      </c>
      <c r="Q245" s="14" t="s">
        <v>1430</v>
      </c>
      <c r="R245" s="14">
        <v>2</v>
      </c>
      <c r="S245" s="14">
        <v>34</v>
      </c>
      <c r="T245" s="14" t="s">
        <v>1431</v>
      </c>
      <c r="U245" s="14">
        <v>12</v>
      </c>
      <c r="V245" s="42">
        <v>2422001</v>
      </c>
      <c r="W245" s="42">
        <v>0</v>
      </c>
      <c r="X245" s="42" t="s">
        <v>1406</v>
      </c>
      <c r="Z245" s="14" t="s">
        <v>32</v>
      </c>
      <c r="AA245" s="45">
        <v>45194</v>
      </c>
      <c r="AB245" s="14">
        <v>24</v>
      </c>
      <c r="AC245" s="14">
        <v>22001</v>
      </c>
      <c r="AD245" s="14">
        <v>130</v>
      </c>
      <c r="AE245" s="14" t="s">
        <v>1401</v>
      </c>
      <c r="AF245" s="14">
        <v>130</v>
      </c>
      <c r="AG245" s="14" t="s">
        <v>1402</v>
      </c>
      <c r="AH245" s="14" t="s">
        <v>36</v>
      </c>
      <c r="AI245" s="14" t="s">
        <v>501</v>
      </c>
      <c r="AJ245" s="14">
        <v>1726</v>
      </c>
      <c r="AK245" s="14" t="s">
        <v>1407</v>
      </c>
      <c r="AL245" s="14">
        <v>28029</v>
      </c>
      <c r="AM245" s="14" t="s">
        <v>1421</v>
      </c>
      <c r="AN245" s="14" t="s">
        <v>1441</v>
      </c>
      <c r="AO245" s="14">
        <v>28</v>
      </c>
      <c r="AP245" s="14" t="s">
        <v>1416</v>
      </c>
      <c r="AQ245" s="14">
        <v>0</v>
      </c>
      <c r="AR245" s="14" t="s">
        <v>1410</v>
      </c>
      <c r="AT245" s="14" t="s">
        <v>1417</v>
      </c>
      <c r="AU245" s="14" t="s">
        <v>1412</v>
      </c>
    </row>
    <row r="246" spans="1:47" x14ac:dyDescent="0.45">
      <c r="A246" s="42">
        <v>2413150029</v>
      </c>
      <c r="B246" s="14">
        <v>131</v>
      </c>
      <c r="C246" s="14" t="s">
        <v>1462</v>
      </c>
      <c r="D246" s="14">
        <v>130</v>
      </c>
      <c r="E246" s="14" t="s">
        <v>1402</v>
      </c>
      <c r="F246" s="14" t="s">
        <v>805</v>
      </c>
      <c r="G246" s="14" t="s">
        <v>806</v>
      </c>
      <c r="H246" s="14">
        <v>2</v>
      </c>
      <c r="I246" s="14" t="s">
        <v>807</v>
      </c>
      <c r="J246" s="14" t="s">
        <v>1485</v>
      </c>
      <c r="K246" s="14">
        <v>2024</v>
      </c>
      <c r="L246" s="42">
        <v>2024</v>
      </c>
      <c r="M246" s="43">
        <v>45173</v>
      </c>
      <c r="N246" s="14" t="s">
        <v>36</v>
      </c>
      <c r="O246" s="14" t="s">
        <v>704</v>
      </c>
      <c r="P246" s="14">
        <v>859</v>
      </c>
      <c r="Q246" s="14" t="s">
        <v>1494</v>
      </c>
      <c r="R246" s="14">
        <v>2</v>
      </c>
      <c r="S246" s="14">
        <v>2</v>
      </c>
      <c r="T246" s="14" t="s">
        <v>1464</v>
      </c>
      <c r="U246" s="14">
        <v>1</v>
      </c>
      <c r="V246" s="42">
        <v>2422501</v>
      </c>
      <c r="W246" s="42">
        <v>0</v>
      </c>
      <c r="X246" s="42" t="s">
        <v>1406</v>
      </c>
      <c r="Z246" s="14" t="s">
        <v>32</v>
      </c>
      <c r="AA246" s="45">
        <v>45190</v>
      </c>
      <c r="AB246" s="14">
        <v>24</v>
      </c>
      <c r="AC246" s="14">
        <v>22501</v>
      </c>
      <c r="AD246" s="14">
        <v>131</v>
      </c>
      <c r="AE246" s="14" t="s">
        <v>1462</v>
      </c>
      <c r="AF246" s="14">
        <v>130</v>
      </c>
      <c r="AG246" s="14" t="s">
        <v>1402</v>
      </c>
      <c r="AH246" s="14" t="s">
        <v>36</v>
      </c>
      <c r="AI246" s="14" t="s">
        <v>704</v>
      </c>
      <c r="AJ246" s="14">
        <v>859</v>
      </c>
      <c r="AK246" s="14" t="s">
        <v>1407</v>
      </c>
      <c r="AL246" s="14">
        <v>28970</v>
      </c>
      <c r="AM246" s="14" t="s">
        <v>1421</v>
      </c>
      <c r="AN246" s="14" t="s">
        <v>1521</v>
      </c>
      <c r="AO246" s="14">
        <v>28</v>
      </c>
      <c r="AP246" s="14" t="s">
        <v>1416</v>
      </c>
      <c r="AQ246" s="14">
        <v>0</v>
      </c>
      <c r="AR246" s="14" t="s">
        <v>1410</v>
      </c>
      <c r="AT246" s="14" t="s">
        <v>1417</v>
      </c>
      <c r="AU246" s="14" t="s">
        <v>1412</v>
      </c>
    </row>
    <row r="247" spans="1:47" x14ac:dyDescent="0.45">
      <c r="A247" s="42">
        <v>2413150097</v>
      </c>
      <c r="B247" s="14">
        <v>131</v>
      </c>
      <c r="C247" s="14" t="s">
        <v>1462</v>
      </c>
      <c r="D247" s="14">
        <v>130</v>
      </c>
      <c r="E247" s="14" t="s">
        <v>1402</v>
      </c>
      <c r="F247" s="14" t="s">
        <v>1011</v>
      </c>
      <c r="G247" s="14" t="s">
        <v>1012</v>
      </c>
      <c r="H247" s="14">
        <v>2</v>
      </c>
      <c r="I247" s="14" t="s">
        <v>1013</v>
      </c>
      <c r="J247" s="14" t="s">
        <v>1403</v>
      </c>
      <c r="K247" s="14">
        <v>2024</v>
      </c>
      <c r="L247" s="42">
        <v>2024</v>
      </c>
      <c r="M247" s="43">
        <v>45231</v>
      </c>
      <c r="N247" s="14" t="s">
        <v>36</v>
      </c>
      <c r="O247" s="14" t="s">
        <v>704</v>
      </c>
      <c r="P247" s="14">
        <v>859</v>
      </c>
      <c r="Q247" s="14" t="s">
        <v>1494</v>
      </c>
      <c r="R247" s="14">
        <v>2</v>
      </c>
      <c r="S247" s="14">
        <v>2</v>
      </c>
      <c r="T247" s="14" t="s">
        <v>1464</v>
      </c>
      <c r="U247" s="14">
        <v>1</v>
      </c>
      <c r="V247" s="42">
        <v>0</v>
      </c>
      <c r="W247" s="42">
        <v>0</v>
      </c>
      <c r="X247" s="42" t="s">
        <v>1406</v>
      </c>
      <c r="Y247" s="60">
        <v>45250</v>
      </c>
      <c r="Z247" s="14" t="s">
        <v>32</v>
      </c>
      <c r="AB247" s="14">
        <v>0</v>
      </c>
      <c r="AC247" s="14">
        <v>0</v>
      </c>
      <c r="AD247" s="14">
        <v>0</v>
      </c>
      <c r="AE247" s="14" t="s">
        <v>1446</v>
      </c>
      <c r="AG247" s="14" t="s">
        <v>1446</v>
      </c>
      <c r="AJ247" s="14">
        <v>0</v>
      </c>
      <c r="AK247" s="14" t="s">
        <v>1473</v>
      </c>
      <c r="AL247" s="14">
        <v>28098</v>
      </c>
      <c r="AM247" s="14" t="s">
        <v>1418</v>
      </c>
      <c r="AN247" s="14" t="s">
        <v>1448</v>
      </c>
      <c r="AO247" s="14">
        <v>28</v>
      </c>
      <c r="AP247" s="14" t="s">
        <v>1416</v>
      </c>
      <c r="AQ247" s="14">
        <v>0</v>
      </c>
      <c r="AR247" s="14" t="s">
        <v>1410</v>
      </c>
      <c r="AT247" s="14" t="s">
        <v>1417</v>
      </c>
      <c r="AU247" s="14" t="s">
        <v>1412</v>
      </c>
    </row>
    <row r="248" spans="1:47" x14ac:dyDescent="0.45">
      <c r="A248" s="42">
        <v>2413150062</v>
      </c>
      <c r="B248" s="14">
        <v>131</v>
      </c>
      <c r="C248" s="14" t="s">
        <v>1462</v>
      </c>
      <c r="D248" s="14">
        <v>130</v>
      </c>
      <c r="E248" s="14" t="s">
        <v>1402</v>
      </c>
      <c r="F248" s="14" t="s">
        <v>911</v>
      </c>
      <c r="G248" s="14" t="s">
        <v>912</v>
      </c>
      <c r="H248" s="14">
        <v>1</v>
      </c>
      <c r="I248" s="14" t="s">
        <v>624</v>
      </c>
      <c r="J248" s="14" t="s">
        <v>1403</v>
      </c>
      <c r="K248" s="14">
        <v>2024</v>
      </c>
      <c r="L248" s="42">
        <v>2024</v>
      </c>
      <c r="M248" s="43">
        <v>45230</v>
      </c>
      <c r="N248" s="14" t="s">
        <v>36</v>
      </c>
      <c r="O248" s="14" t="s">
        <v>793</v>
      </c>
      <c r="P248" s="14">
        <v>856</v>
      </c>
      <c r="Q248" s="14" t="s">
        <v>1533</v>
      </c>
      <c r="R248" s="14">
        <v>1</v>
      </c>
      <c r="S248" s="14">
        <v>2</v>
      </c>
      <c r="T248" s="14" t="s">
        <v>1464</v>
      </c>
      <c r="U248" s="14">
        <v>1</v>
      </c>
      <c r="V248" s="42">
        <v>0</v>
      </c>
      <c r="W248" s="42">
        <v>0</v>
      </c>
      <c r="X248" s="42" t="s">
        <v>1406</v>
      </c>
      <c r="Y248" s="60">
        <v>45257</v>
      </c>
      <c r="Z248" s="14" t="s">
        <v>32</v>
      </c>
      <c r="AB248" s="14">
        <v>0</v>
      </c>
      <c r="AC248" s="14">
        <v>0</v>
      </c>
      <c r="AD248" s="14">
        <v>0</v>
      </c>
      <c r="AE248" s="14" t="s">
        <v>1446</v>
      </c>
      <c r="AG248" s="14" t="s">
        <v>1446</v>
      </c>
      <c r="AJ248" s="14">
        <v>0</v>
      </c>
      <c r="AK248" s="14" t="s">
        <v>1473</v>
      </c>
      <c r="AL248" s="14">
        <v>28108</v>
      </c>
      <c r="AM248" s="14" t="s">
        <v>1418</v>
      </c>
      <c r="AN248" s="14" t="s">
        <v>1534</v>
      </c>
      <c r="AO248" s="14">
        <v>28</v>
      </c>
      <c r="AP248" s="14" t="s">
        <v>1416</v>
      </c>
      <c r="AQ248" s="14">
        <v>0</v>
      </c>
      <c r="AR248" s="14" t="s">
        <v>1410</v>
      </c>
      <c r="AT248" s="14" t="s">
        <v>1417</v>
      </c>
      <c r="AU248" s="14" t="s">
        <v>1412</v>
      </c>
    </row>
    <row r="249" spans="1:47" x14ac:dyDescent="0.45">
      <c r="A249" s="42">
        <v>2413150016</v>
      </c>
      <c r="B249" s="14">
        <v>131</v>
      </c>
      <c r="C249" s="14" t="s">
        <v>1462</v>
      </c>
      <c r="D249" s="14">
        <v>130</v>
      </c>
      <c r="E249" s="14" t="s">
        <v>1402</v>
      </c>
      <c r="F249" s="14" t="s">
        <v>763</v>
      </c>
      <c r="G249" s="14" t="s">
        <v>764</v>
      </c>
      <c r="H249" s="14">
        <v>1</v>
      </c>
      <c r="I249" s="14" t="s">
        <v>765</v>
      </c>
      <c r="J249" s="14" t="s">
        <v>1403</v>
      </c>
      <c r="K249" s="14">
        <v>2024</v>
      </c>
      <c r="L249" s="42">
        <v>2024</v>
      </c>
      <c r="M249" s="43">
        <v>45229</v>
      </c>
      <c r="N249" s="14" t="s">
        <v>36</v>
      </c>
      <c r="O249" s="14" t="s">
        <v>704</v>
      </c>
      <c r="P249" s="14">
        <v>852</v>
      </c>
      <c r="Q249" s="14" t="s">
        <v>1472</v>
      </c>
      <c r="R249" s="14">
        <v>2</v>
      </c>
      <c r="S249" s="14">
        <v>2</v>
      </c>
      <c r="T249" s="14" t="s">
        <v>1464</v>
      </c>
      <c r="U249" s="14">
        <v>1</v>
      </c>
      <c r="V249" s="42">
        <v>0</v>
      </c>
      <c r="W249" s="42">
        <v>0</v>
      </c>
      <c r="X249" s="42" t="s">
        <v>1406</v>
      </c>
      <c r="Y249" s="60">
        <v>45302</v>
      </c>
      <c r="Z249" s="14" t="s">
        <v>32</v>
      </c>
      <c r="AB249" s="14">
        <v>0</v>
      </c>
      <c r="AC249" s="14">
        <v>0</v>
      </c>
      <c r="AD249" s="14">
        <v>0</v>
      </c>
      <c r="AE249" s="14" t="s">
        <v>1446</v>
      </c>
      <c r="AG249" s="14" t="s">
        <v>1446</v>
      </c>
      <c r="AJ249" s="14">
        <v>0</v>
      </c>
      <c r="AK249" s="14" t="s">
        <v>1473</v>
      </c>
      <c r="AL249" s="14">
        <v>28231</v>
      </c>
      <c r="AM249" s="14" t="s">
        <v>1418</v>
      </c>
      <c r="AN249" s="14" t="s">
        <v>1517</v>
      </c>
      <c r="AO249" s="14">
        <v>28</v>
      </c>
      <c r="AP249" s="14" t="s">
        <v>1416</v>
      </c>
      <c r="AQ249" s="14">
        <v>0</v>
      </c>
      <c r="AR249" s="14" t="s">
        <v>1410</v>
      </c>
      <c r="AT249" s="14" t="s">
        <v>1417</v>
      </c>
      <c r="AU249" s="14" t="s">
        <v>1412</v>
      </c>
    </row>
    <row r="250" spans="1:47" x14ac:dyDescent="0.45">
      <c r="A250" s="42">
        <v>2413150064</v>
      </c>
      <c r="B250" s="14">
        <v>131</v>
      </c>
      <c r="C250" s="14" t="s">
        <v>1462</v>
      </c>
      <c r="D250" s="14">
        <v>130</v>
      </c>
      <c r="E250" s="14" t="s">
        <v>1402</v>
      </c>
      <c r="F250" s="14" t="s">
        <v>916</v>
      </c>
      <c r="G250" s="14" t="s">
        <v>917</v>
      </c>
      <c r="H250" s="14">
        <v>1</v>
      </c>
      <c r="I250" s="14" t="s">
        <v>918</v>
      </c>
      <c r="J250" s="14" t="s">
        <v>1403</v>
      </c>
      <c r="K250" s="14">
        <v>2024</v>
      </c>
      <c r="L250" s="42">
        <v>2024</v>
      </c>
      <c r="M250" s="43">
        <v>45229</v>
      </c>
      <c r="N250" s="14" t="s">
        <v>36</v>
      </c>
      <c r="O250" s="14" t="s">
        <v>793</v>
      </c>
      <c r="P250" s="14">
        <v>427</v>
      </c>
      <c r="Q250" s="14" t="s">
        <v>1479</v>
      </c>
      <c r="R250" s="14">
        <v>1</v>
      </c>
      <c r="S250" s="14">
        <v>2</v>
      </c>
      <c r="T250" s="14" t="s">
        <v>1464</v>
      </c>
      <c r="U250" s="14">
        <v>1</v>
      </c>
      <c r="V250" s="42">
        <v>0</v>
      </c>
      <c r="W250" s="42">
        <v>0</v>
      </c>
      <c r="X250" s="42" t="s">
        <v>1406</v>
      </c>
      <c r="Y250" s="60">
        <v>45372</v>
      </c>
      <c r="Z250" s="14" t="s">
        <v>32</v>
      </c>
      <c r="AB250" s="14">
        <v>0</v>
      </c>
      <c r="AC250" s="14">
        <v>0</v>
      </c>
      <c r="AD250" s="14">
        <v>0</v>
      </c>
      <c r="AE250" s="14" t="s">
        <v>1446</v>
      </c>
      <c r="AG250" s="14" t="s">
        <v>1446</v>
      </c>
      <c r="AJ250" s="14">
        <v>0</v>
      </c>
      <c r="AK250" s="14" t="s">
        <v>1473</v>
      </c>
      <c r="AL250" s="14">
        <v>28024</v>
      </c>
      <c r="AM250" s="14" t="s">
        <v>1421</v>
      </c>
      <c r="AN250" s="14" t="s">
        <v>1535</v>
      </c>
      <c r="AO250" s="14">
        <v>28</v>
      </c>
      <c r="AP250" s="14" t="s">
        <v>1416</v>
      </c>
      <c r="AQ250" s="14">
        <v>0</v>
      </c>
      <c r="AR250" s="14" t="s">
        <v>1410</v>
      </c>
      <c r="AT250" s="14" t="s">
        <v>1417</v>
      </c>
      <c r="AU250" s="14" t="s">
        <v>1412</v>
      </c>
    </row>
    <row r="251" spans="1:47" x14ac:dyDescent="0.45">
      <c r="A251" s="42">
        <v>2413150095</v>
      </c>
      <c r="B251" s="14">
        <v>131</v>
      </c>
      <c r="C251" s="14" t="s">
        <v>1462</v>
      </c>
      <c r="D251" s="14">
        <v>130</v>
      </c>
      <c r="E251" s="14" t="s">
        <v>1402</v>
      </c>
      <c r="F251" s="14" t="s">
        <v>1005</v>
      </c>
      <c r="G251" s="14" t="s">
        <v>1006</v>
      </c>
      <c r="H251" s="14">
        <v>2</v>
      </c>
      <c r="I251" s="14" t="s">
        <v>1007</v>
      </c>
      <c r="J251" s="14" t="s">
        <v>1403</v>
      </c>
      <c r="K251" s="14">
        <v>2024</v>
      </c>
      <c r="L251" s="42">
        <v>2024</v>
      </c>
      <c r="M251" s="43">
        <v>45229</v>
      </c>
      <c r="N251" s="14" t="s">
        <v>36</v>
      </c>
      <c r="O251" s="14" t="s">
        <v>793</v>
      </c>
      <c r="P251" s="14">
        <v>428</v>
      </c>
      <c r="Q251" s="14" t="s">
        <v>1463</v>
      </c>
      <c r="R251" s="14">
        <v>1</v>
      </c>
      <c r="S251" s="14">
        <v>2</v>
      </c>
      <c r="T251" s="14" t="s">
        <v>1464</v>
      </c>
      <c r="U251" s="14">
        <v>1</v>
      </c>
      <c r="V251" s="42">
        <v>0</v>
      </c>
      <c r="W251" s="42">
        <v>0</v>
      </c>
      <c r="X251" s="42" t="s">
        <v>1406</v>
      </c>
      <c r="Y251" s="60">
        <v>45257</v>
      </c>
      <c r="Z251" s="14" t="s">
        <v>32</v>
      </c>
      <c r="AB251" s="14">
        <v>0</v>
      </c>
      <c r="AC251" s="14">
        <v>0</v>
      </c>
      <c r="AD251" s="14">
        <v>0</v>
      </c>
      <c r="AE251" s="14" t="s">
        <v>1446</v>
      </c>
      <c r="AG251" s="14" t="s">
        <v>1446</v>
      </c>
      <c r="AJ251" s="14">
        <v>0</v>
      </c>
      <c r="AK251" s="14" t="s">
        <v>1473</v>
      </c>
      <c r="AL251" s="14">
        <v>28200</v>
      </c>
      <c r="AM251" s="14" t="s">
        <v>1418</v>
      </c>
      <c r="AN251" s="14" t="s">
        <v>1520</v>
      </c>
      <c r="AO251" s="14">
        <v>28</v>
      </c>
      <c r="AP251" s="14" t="s">
        <v>1416</v>
      </c>
      <c r="AQ251" s="14">
        <v>0</v>
      </c>
      <c r="AR251" s="14" t="s">
        <v>1410</v>
      </c>
      <c r="AT251" s="14" t="s">
        <v>1417</v>
      </c>
      <c r="AU251" s="14" t="s">
        <v>1412</v>
      </c>
    </row>
    <row r="252" spans="1:47" x14ac:dyDescent="0.45">
      <c r="A252" s="42">
        <v>2413150121</v>
      </c>
      <c r="B252" s="14">
        <v>131</v>
      </c>
      <c r="C252" s="14" t="s">
        <v>1462</v>
      </c>
      <c r="D252" s="14">
        <v>130</v>
      </c>
      <c r="E252" s="14" t="s">
        <v>1402</v>
      </c>
      <c r="F252" s="14" t="s">
        <v>1081</v>
      </c>
      <c r="G252" s="14" t="s">
        <v>1082</v>
      </c>
      <c r="H252" s="14">
        <v>2</v>
      </c>
      <c r="I252" s="14" t="s">
        <v>1083</v>
      </c>
      <c r="J252" s="14" t="s">
        <v>1403</v>
      </c>
      <c r="K252" s="14">
        <v>2024</v>
      </c>
      <c r="L252" s="42">
        <v>2024</v>
      </c>
      <c r="M252" s="43">
        <v>45229</v>
      </c>
      <c r="N252" s="14" t="s">
        <v>36</v>
      </c>
      <c r="O252" s="14" t="s">
        <v>704</v>
      </c>
      <c r="P252" s="14">
        <v>427</v>
      </c>
      <c r="Q252" s="14" t="s">
        <v>1479</v>
      </c>
      <c r="R252" s="14">
        <v>2</v>
      </c>
      <c r="S252" s="14">
        <v>2</v>
      </c>
      <c r="T252" s="14" t="s">
        <v>1464</v>
      </c>
      <c r="U252" s="14">
        <v>1</v>
      </c>
      <c r="V252" s="42">
        <v>0</v>
      </c>
      <c r="W252" s="42">
        <v>0</v>
      </c>
      <c r="X252" s="42" t="s">
        <v>1406</v>
      </c>
      <c r="Y252" s="60">
        <v>45376</v>
      </c>
      <c r="Z252" s="14" t="s">
        <v>32</v>
      </c>
      <c r="AB252" s="14">
        <v>0</v>
      </c>
      <c r="AC252" s="14">
        <v>0</v>
      </c>
      <c r="AD252" s="14">
        <v>0</v>
      </c>
      <c r="AE252" s="14" t="s">
        <v>1446</v>
      </c>
      <c r="AG252" s="14" t="s">
        <v>1446</v>
      </c>
      <c r="AJ252" s="14">
        <v>0</v>
      </c>
      <c r="AK252" s="14" t="s">
        <v>1473</v>
      </c>
      <c r="AL252" s="14">
        <v>28175</v>
      </c>
      <c r="AM252" s="14" t="s">
        <v>1418</v>
      </c>
      <c r="AN252" s="14" t="s">
        <v>1459</v>
      </c>
      <c r="AO252" s="14">
        <v>28</v>
      </c>
      <c r="AP252" s="14" t="s">
        <v>1416</v>
      </c>
      <c r="AQ252" s="14">
        <v>0</v>
      </c>
      <c r="AR252" s="14" t="s">
        <v>1410</v>
      </c>
      <c r="AT252" s="14" t="s">
        <v>1417</v>
      </c>
      <c r="AU252" s="14" t="s">
        <v>1412</v>
      </c>
    </row>
    <row r="253" spans="1:47" x14ac:dyDescent="0.45">
      <c r="A253" s="42">
        <v>2413150075</v>
      </c>
      <c r="B253" s="14">
        <v>131</v>
      </c>
      <c r="C253" s="14" t="s">
        <v>1462</v>
      </c>
      <c r="D253" s="14">
        <v>130</v>
      </c>
      <c r="E253" s="14" t="s">
        <v>1402</v>
      </c>
      <c r="F253" s="14" t="s">
        <v>947</v>
      </c>
      <c r="G253" s="14" t="s">
        <v>948</v>
      </c>
      <c r="H253" s="14">
        <v>1</v>
      </c>
      <c r="I253" s="14" t="s">
        <v>655</v>
      </c>
      <c r="J253" s="14" t="s">
        <v>1403</v>
      </c>
      <c r="K253" s="14">
        <v>2024</v>
      </c>
      <c r="L253" s="42">
        <v>2024</v>
      </c>
      <c r="M253" s="43">
        <v>45226</v>
      </c>
      <c r="N253" s="14" t="s">
        <v>36</v>
      </c>
      <c r="O253" s="14" t="s">
        <v>793</v>
      </c>
      <c r="P253" s="14">
        <v>428</v>
      </c>
      <c r="Q253" s="14" t="s">
        <v>1463</v>
      </c>
      <c r="R253" s="14">
        <v>1</v>
      </c>
      <c r="S253" s="14">
        <v>2</v>
      </c>
      <c r="T253" s="14" t="s">
        <v>1464</v>
      </c>
      <c r="U253" s="14">
        <v>1</v>
      </c>
      <c r="V253" s="42">
        <v>0</v>
      </c>
      <c r="W253" s="42">
        <v>0</v>
      </c>
      <c r="X253" s="42" t="s">
        <v>1406</v>
      </c>
      <c r="Y253" s="60">
        <v>45279</v>
      </c>
      <c r="Z253" s="14" t="s">
        <v>32</v>
      </c>
      <c r="AB253" s="14">
        <v>0</v>
      </c>
      <c r="AC253" s="14">
        <v>0</v>
      </c>
      <c r="AD253" s="14">
        <v>0</v>
      </c>
      <c r="AE253" s="14" t="s">
        <v>1446</v>
      </c>
      <c r="AG253" s="14" t="s">
        <v>1446</v>
      </c>
      <c r="AJ253" s="14">
        <v>0</v>
      </c>
      <c r="AK253" s="14" t="s">
        <v>1473</v>
      </c>
      <c r="AL253" s="14">
        <v>28157</v>
      </c>
      <c r="AM253" s="14" t="s">
        <v>1414</v>
      </c>
      <c r="AN253" s="14" t="s">
        <v>1415</v>
      </c>
      <c r="AO253" s="14">
        <v>28</v>
      </c>
      <c r="AP253" s="14" t="s">
        <v>1416</v>
      </c>
      <c r="AQ253" s="14">
        <v>0</v>
      </c>
      <c r="AR253" s="14" t="s">
        <v>1410</v>
      </c>
      <c r="AT253" s="14" t="s">
        <v>1417</v>
      </c>
      <c r="AU253" s="14" t="s">
        <v>1412</v>
      </c>
    </row>
    <row r="254" spans="1:47" x14ac:dyDescent="0.45">
      <c r="A254" s="42">
        <v>2413150086</v>
      </c>
      <c r="B254" s="14">
        <v>131</v>
      </c>
      <c r="C254" s="14" t="s">
        <v>1462</v>
      </c>
      <c r="D254" s="14">
        <v>130</v>
      </c>
      <c r="E254" s="14" t="s">
        <v>1402</v>
      </c>
      <c r="F254" s="14" t="s">
        <v>980</v>
      </c>
      <c r="G254" s="14" t="s">
        <v>981</v>
      </c>
      <c r="H254" s="14">
        <v>1</v>
      </c>
      <c r="I254" s="14" t="s">
        <v>982</v>
      </c>
      <c r="J254" s="14" t="s">
        <v>1403</v>
      </c>
      <c r="K254" s="14">
        <v>2024</v>
      </c>
      <c r="L254" s="42">
        <v>2024</v>
      </c>
      <c r="M254" s="43">
        <v>45224</v>
      </c>
      <c r="N254" s="14" t="s">
        <v>36</v>
      </c>
      <c r="O254" s="14" t="s">
        <v>704</v>
      </c>
      <c r="P254" s="14">
        <v>968</v>
      </c>
      <c r="Q254" s="14" t="s">
        <v>1474</v>
      </c>
      <c r="R254" s="14">
        <v>2</v>
      </c>
      <c r="S254" s="14">
        <v>2</v>
      </c>
      <c r="T254" s="14" t="s">
        <v>1464</v>
      </c>
      <c r="U254" s="14">
        <v>1</v>
      </c>
      <c r="V254" s="42">
        <v>0</v>
      </c>
      <c r="W254" s="42">
        <v>0</v>
      </c>
      <c r="X254" s="42" t="s">
        <v>1406</v>
      </c>
      <c r="Y254" s="60">
        <v>45243</v>
      </c>
      <c r="Z254" s="14" t="s">
        <v>32</v>
      </c>
      <c r="AB254" s="14">
        <v>0</v>
      </c>
      <c r="AC254" s="14">
        <v>0</v>
      </c>
      <c r="AD254" s="14">
        <v>0</v>
      </c>
      <c r="AE254" s="14" t="s">
        <v>1446</v>
      </c>
      <c r="AG254" s="14" t="s">
        <v>1446</v>
      </c>
      <c r="AJ254" s="14">
        <v>0</v>
      </c>
      <c r="AK254" s="14" t="s">
        <v>1410</v>
      </c>
      <c r="AL254" s="14">
        <v>28098</v>
      </c>
      <c r="AM254" s="14" t="s">
        <v>1418</v>
      </c>
      <c r="AN254" s="14" t="s">
        <v>1448</v>
      </c>
      <c r="AO254" s="14">
        <v>28</v>
      </c>
      <c r="AP254" s="14" t="s">
        <v>1416</v>
      </c>
      <c r="AQ254" s="14">
        <v>0</v>
      </c>
      <c r="AR254" s="14" t="s">
        <v>1410</v>
      </c>
      <c r="AT254" s="14" t="s">
        <v>1417</v>
      </c>
      <c r="AU254" s="14" t="s">
        <v>1412</v>
      </c>
    </row>
    <row r="255" spans="1:47" x14ac:dyDescent="0.45">
      <c r="A255" s="42">
        <v>2413150102</v>
      </c>
      <c r="B255" s="14">
        <v>131</v>
      </c>
      <c r="C255" s="14" t="s">
        <v>1462</v>
      </c>
      <c r="D255" s="14">
        <v>130</v>
      </c>
      <c r="E255" s="14" t="s">
        <v>1402</v>
      </c>
      <c r="F255" s="14" t="s">
        <v>1028</v>
      </c>
      <c r="G255" s="14" t="s">
        <v>1029</v>
      </c>
      <c r="H255" s="14">
        <v>1</v>
      </c>
      <c r="I255" s="14" t="s">
        <v>655</v>
      </c>
      <c r="J255" s="14" t="s">
        <v>1403</v>
      </c>
      <c r="K255" s="14">
        <v>2024</v>
      </c>
      <c r="L255" s="42">
        <v>2024</v>
      </c>
      <c r="M255" s="43">
        <v>45224</v>
      </c>
      <c r="N255" s="14" t="s">
        <v>36</v>
      </c>
      <c r="O255" s="14" t="s">
        <v>704</v>
      </c>
      <c r="P255" s="14">
        <v>857</v>
      </c>
      <c r="Q255" s="14" t="s">
        <v>1481</v>
      </c>
      <c r="R255" s="14">
        <v>2</v>
      </c>
      <c r="S255" s="14">
        <v>2</v>
      </c>
      <c r="T255" s="14" t="s">
        <v>1464</v>
      </c>
      <c r="U255" s="14">
        <v>1</v>
      </c>
      <c r="V255" s="42">
        <v>0</v>
      </c>
      <c r="W255" s="42">
        <v>0</v>
      </c>
      <c r="X255" s="42" t="s">
        <v>1406</v>
      </c>
      <c r="Y255" s="60">
        <v>45365</v>
      </c>
      <c r="Z255" s="14" t="s">
        <v>32</v>
      </c>
      <c r="AB255" s="14">
        <v>0</v>
      </c>
      <c r="AC255" s="14">
        <v>0</v>
      </c>
      <c r="AD255" s="14">
        <v>0</v>
      </c>
      <c r="AE255" s="14" t="s">
        <v>1446</v>
      </c>
      <c r="AG255" s="14" t="s">
        <v>1446</v>
      </c>
      <c r="AJ255" s="14">
        <v>0</v>
      </c>
      <c r="AK255" s="14" t="s">
        <v>1410</v>
      </c>
      <c r="AL255" s="14">
        <v>28098</v>
      </c>
      <c r="AM255" s="14" t="s">
        <v>1418</v>
      </c>
      <c r="AN255" s="14" t="s">
        <v>1448</v>
      </c>
      <c r="AO255" s="14">
        <v>28</v>
      </c>
      <c r="AP255" s="14" t="s">
        <v>1416</v>
      </c>
      <c r="AQ255" s="14">
        <v>0</v>
      </c>
      <c r="AR255" s="14" t="s">
        <v>1410</v>
      </c>
      <c r="AT255" s="14" t="s">
        <v>1417</v>
      </c>
      <c r="AU255" s="14" t="s">
        <v>1412</v>
      </c>
    </row>
    <row r="256" spans="1:47" x14ac:dyDescent="0.45">
      <c r="A256" s="42">
        <v>2413150049</v>
      </c>
      <c r="B256" s="14">
        <v>131</v>
      </c>
      <c r="C256" s="14" t="s">
        <v>1462</v>
      </c>
      <c r="D256" s="14">
        <v>130</v>
      </c>
      <c r="E256" s="14" t="s">
        <v>1402</v>
      </c>
      <c r="F256" s="14" t="s">
        <v>868</v>
      </c>
      <c r="G256" s="14" t="s">
        <v>869</v>
      </c>
      <c r="H256" s="14">
        <v>1</v>
      </c>
      <c r="I256" s="14" t="s">
        <v>870</v>
      </c>
      <c r="J256" s="14" t="s">
        <v>1403</v>
      </c>
      <c r="K256" s="14">
        <v>2024</v>
      </c>
      <c r="L256" s="42">
        <v>2024</v>
      </c>
      <c r="M256" s="43">
        <v>45222</v>
      </c>
      <c r="N256" s="14" t="s">
        <v>36</v>
      </c>
      <c r="O256" s="14" t="s">
        <v>704</v>
      </c>
      <c r="P256" s="14">
        <v>427</v>
      </c>
      <c r="Q256" s="14" t="s">
        <v>1479</v>
      </c>
      <c r="R256" s="14">
        <v>2</v>
      </c>
      <c r="S256" s="14">
        <v>2</v>
      </c>
      <c r="T256" s="14" t="s">
        <v>1464</v>
      </c>
      <c r="U256" s="14">
        <v>1</v>
      </c>
      <c r="V256" s="42">
        <v>0</v>
      </c>
      <c r="W256" s="42">
        <v>0</v>
      </c>
      <c r="X256" s="42" t="s">
        <v>1406</v>
      </c>
      <c r="Y256" s="60">
        <v>45300</v>
      </c>
      <c r="Z256" s="14" t="s">
        <v>32</v>
      </c>
      <c r="AB256" s="14">
        <v>0</v>
      </c>
      <c r="AC256" s="14">
        <v>0</v>
      </c>
      <c r="AD256" s="14">
        <v>0</v>
      </c>
      <c r="AE256" s="14" t="s">
        <v>1446</v>
      </c>
      <c r="AG256" s="14" t="s">
        <v>1446</v>
      </c>
      <c r="AJ256" s="14">
        <v>0</v>
      </c>
      <c r="AK256" s="14" t="s">
        <v>1410</v>
      </c>
      <c r="AL256" s="14">
        <v>28099</v>
      </c>
      <c r="AM256" s="14" t="s">
        <v>1418</v>
      </c>
      <c r="AN256" s="14" t="s">
        <v>1447</v>
      </c>
      <c r="AO256" s="14">
        <v>28</v>
      </c>
      <c r="AP256" s="14" t="s">
        <v>1416</v>
      </c>
      <c r="AQ256" s="14">
        <v>0</v>
      </c>
      <c r="AR256" s="14" t="s">
        <v>1410</v>
      </c>
      <c r="AT256" s="14" t="s">
        <v>1417</v>
      </c>
      <c r="AU256" s="14" t="s">
        <v>1412</v>
      </c>
    </row>
    <row r="257" spans="1:47" x14ac:dyDescent="0.45">
      <c r="A257" s="42">
        <v>2413150113</v>
      </c>
      <c r="B257" s="14">
        <v>131</v>
      </c>
      <c r="C257" s="14" t="s">
        <v>1462</v>
      </c>
      <c r="D257" s="14">
        <v>130</v>
      </c>
      <c r="E257" s="14" t="s">
        <v>1402</v>
      </c>
      <c r="F257" s="14" t="s">
        <v>1061</v>
      </c>
      <c r="G257" s="14" t="s">
        <v>1062</v>
      </c>
      <c r="H257" s="14">
        <v>2</v>
      </c>
      <c r="I257" s="14" t="s">
        <v>1063</v>
      </c>
      <c r="J257" s="14" t="s">
        <v>1403</v>
      </c>
      <c r="K257" s="14">
        <v>2024</v>
      </c>
      <c r="L257" s="42">
        <v>2024</v>
      </c>
      <c r="M257" s="43">
        <v>45222</v>
      </c>
      <c r="N257" s="14" t="s">
        <v>36</v>
      </c>
      <c r="O257" s="14" t="s">
        <v>708</v>
      </c>
      <c r="P257" s="14">
        <v>645</v>
      </c>
      <c r="Q257" s="14" t="s">
        <v>1544</v>
      </c>
      <c r="R257" s="14">
        <v>2</v>
      </c>
      <c r="S257" s="14">
        <v>3</v>
      </c>
      <c r="T257" s="14" t="s">
        <v>1477</v>
      </c>
      <c r="U257" s="14">
        <v>4</v>
      </c>
      <c r="V257" s="42">
        <v>0</v>
      </c>
      <c r="W257" s="42">
        <v>0</v>
      </c>
      <c r="X257" s="42" t="s">
        <v>1406</v>
      </c>
      <c r="Y257" s="60">
        <v>45280</v>
      </c>
      <c r="Z257" s="14" t="s">
        <v>32</v>
      </c>
      <c r="AB257" s="14">
        <v>0</v>
      </c>
      <c r="AC257" s="14">
        <v>0</v>
      </c>
      <c r="AD257" s="14">
        <v>0</v>
      </c>
      <c r="AE257" s="14" t="s">
        <v>1446</v>
      </c>
      <c r="AG257" s="14" t="s">
        <v>1446</v>
      </c>
      <c r="AJ257" s="14">
        <v>0</v>
      </c>
      <c r="AK257" s="14" t="s">
        <v>1410</v>
      </c>
      <c r="AL257" s="14">
        <v>28091</v>
      </c>
      <c r="AM257" s="14" t="s">
        <v>1421</v>
      </c>
      <c r="AN257" s="14" t="s">
        <v>1452</v>
      </c>
      <c r="AO257" s="14">
        <v>28</v>
      </c>
      <c r="AP257" s="14" t="s">
        <v>1416</v>
      </c>
      <c r="AQ257" s="14">
        <v>0</v>
      </c>
      <c r="AR257" s="14" t="s">
        <v>1410</v>
      </c>
      <c r="AT257" s="14" t="s">
        <v>1417</v>
      </c>
      <c r="AU257" s="14" t="s">
        <v>1412</v>
      </c>
    </row>
    <row r="258" spans="1:47" x14ac:dyDescent="0.45">
      <c r="A258" s="42">
        <v>2413150129</v>
      </c>
      <c r="B258" s="14">
        <v>131</v>
      </c>
      <c r="C258" s="14" t="s">
        <v>1462</v>
      </c>
      <c r="D258" s="14">
        <v>130</v>
      </c>
      <c r="E258" s="14" t="s">
        <v>1402</v>
      </c>
      <c r="F258" s="14" t="s">
        <v>1103</v>
      </c>
      <c r="G258" s="14" t="s">
        <v>1104</v>
      </c>
      <c r="H258" s="14">
        <v>1</v>
      </c>
      <c r="I258" s="14" t="s">
        <v>1105</v>
      </c>
      <c r="J258" s="14" t="s">
        <v>1403</v>
      </c>
      <c r="K258" s="14">
        <v>2024</v>
      </c>
      <c r="L258" s="42">
        <v>2024</v>
      </c>
      <c r="M258" s="43">
        <v>45222</v>
      </c>
      <c r="N258" s="14" t="s">
        <v>36</v>
      </c>
      <c r="O258" s="14" t="s">
        <v>708</v>
      </c>
      <c r="P258" s="14">
        <v>266</v>
      </c>
      <c r="Q258" s="14" t="s">
        <v>1526</v>
      </c>
      <c r="R258" s="14">
        <v>2</v>
      </c>
      <c r="S258" s="14">
        <v>1</v>
      </c>
      <c r="T258" s="14" t="s">
        <v>1527</v>
      </c>
      <c r="U258" s="14">
        <v>3</v>
      </c>
      <c r="V258" s="42">
        <v>0</v>
      </c>
      <c r="W258" s="42">
        <v>0</v>
      </c>
      <c r="X258" s="42" t="s">
        <v>1406</v>
      </c>
      <c r="Y258" s="60">
        <v>45274</v>
      </c>
      <c r="Z258" s="14" t="s">
        <v>32</v>
      </c>
      <c r="AB258" s="14">
        <v>0</v>
      </c>
      <c r="AC258" s="14">
        <v>0</v>
      </c>
      <c r="AD258" s="14">
        <v>0</v>
      </c>
      <c r="AE258" s="14" t="s">
        <v>1446</v>
      </c>
      <c r="AG258" s="14" t="s">
        <v>1446</v>
      </c>
      <c r="AJ258" s="14">
        <v>0</v>
      </c>
      <c r="AK258" s="14" t="s">
        <v>1407</v>
      </c>
      <c r="AL258" s="14">
        <v>28232</v>
      </c>
      <c r="AM258" s="14" t="s">
        <v>1418</v>
      </c>
      <c r="AN258" s="14" t="s">
        <v>1548</v>
      </c>
      <c r="AO258" s="14">
        <v>28</v>
      </c>
      <c r="AP258" s="14" t="s">
        <v>1416</v>
      </c>
      <c r="AQ258" s="14">
        <v>0</v>
      </c>
      <c r="AR258" s="14" t="s">
        <v>1410</v>
      </c>
      <c r="AT258" s="14" t="s">
        <v>1417</v>
      </c>
      <c r="AU258" s="14" t="s">
        <v>1412</v>
      </c>
    </row>
    <row r="259" spans="1:47" x14ac:dyDescent="0.45">
      <c r="A259" s="42">
        <v>2413150101</v>
      </c>
      <c r="B259" s="14">
        <v>131</v>
      </c>
      <c r="C259" s="14" t="s">
        <v>1462</v>
      </c>
      <c r="D259" s="14">
        <v>130</v>
      </c>
      <c r="E259" s="14" t="s">
        <v>1402</v>
      </c>
      <c r="F259" s="14" t="s">
        <v>1025</v>
      </c>
      <c r="G259" s="14" t="s">
        <v>1026</v>
      </c>
      <c r="H259" s="14">
        <v>1</v>
      </c>
      <c r="I259" s="14" t="s">
        <v>1027</v>
      </c>
      <c r="J259" s="14" t="s">
        <v>1403</v>
      </c>
      <c r="K259" s="14">
        <v>2024</v>
      </c>
      <c r="L259" s="42">
        <v>2024</v>
      </c>
      <c r="M259" s="43">
        <v>45219</v>
      </c>
      <c r="N259" s="14" t="s">
        <v>36</v>
      </c>
      <c r="O259" s="14" t="s">
        <v>704</v>
      </c>
      <c r="P259" s="14">
        <v>428</v>
      </c>
      <c r="Q259" s="14" t="s">
        <v>1463</v>
      </c>
      <c r="R259" s="14">
        <v>2</v>
      </c>
      <c r="S259" s="14">
        <v>2</v>
      </c>
      <c r="T259" s="14" t="s">
        <v>1464</v>
      </c>
      <c r="U259" s="14">
        <v>1</v>
      </c>
      <c r="V259" s="42">
        <v>0</v>
      </c>
      <c r="W259" s="42">
        <v>0</v>
      </c>
      <c r="X259" s="42" t="s">
        <v>1406</v>
      </c>
      <c r="Y259" s="60">
        <v>45243</v>
      </c>
      <c r="Z259" s="14" t="s">
        <v>32</v>
      </c>
      <c r="AB259" s="14">
        <v>0</v>
      </c>
      <c r="AC259" s="14">
        <v>0</v>
      </c>
      <c r="AD259" s="14">
        <v>0</v>
      </c>
      <c r="AE259" s="14" t="s">
        <v>1446</v>
      </c>
      <c r="AG259" s="14" t="s">
        <v>1446</v>
      </c>
      <c r="AJ259" s="14">
        <v>0</v>
      </c>
      <c r="AK259" s="14" t="s">
        <v>1473</v>
      </c>
      <c r="AL259" s="14">
        <v>28193</v>
      </c>
      <c r="AM259" s="14" t="s">
        <v>1418</v>
      </c>
      <c r="AN259" s="14" t="s">
        <v>1439</v>
      </c>
      <c r="AO259" s="14">
        <v>28</v>
      </c>
      <c r="AP259" s="14" t="s">
        <v>1416</v>
      </c>
      <c r="AQ259" s="14">
        <v>0</v>
      </c>
      <c r="AR259" s="14" t="s">
        <v>1410</v>
      </c>
      <c r="AT259" s="14" t="s">
        <v>1417</v>
      </c>
      <c r="AU259" s="14" t="s">
        <v>1412</v>
      </c>
    </row>
    <row r="260" spans="1:47" x14ac:dyDescent="0.45">
      <c r="A260" s="42">
        <v>2413150080</v>
      </c>
      <c r="B260" s="14">
        <v>131</v>
      </c>
      <c r="C260" s="14" t="s">
        <v>1462</v>
      </c>
      <c r="D260" s="14">
        <v>130</v>
      </c>
      <c r="E260" s="14" t="s">
        <v>1402</v>
      </c>
      <c r="F260" s="14" t="s">
        <v>961</v>
      </c>
      <c r="G260" s="14" t="s">
        <v>962</v>
      </c>
      <c r="H260" s="14">
        <v>1</v>
      </c>
      <c r="I260" s="14" t="s">
        <v>963</v>
      </c>
      <c r="J260" s="14" t="s">
        <v>1403</v>
      </c>
      <c r="K260" s="14">
        <v>2024</v>
      </c>
      <c r="L260" s="42">
        <v>2024</v>
      </c>
      <c r="M260" s="43">
        <v>45215</v>
      </c>
      <c r="N260" s="14" t="s">
        <v>36</v>
      </c>
      <c r="O260" s="14" t="s">
        <v>793</v>
      </c>
      <c r="P260" s="14">
        <v>428</v>
      </c>
      <c r="Q260" s="14" t="s">
        <v>1463</v>
      </c>
      <c r="R260" s="14">
        <v>1</v>
      </c>
      <c r="S260" s="14">
        <v>2</v>
      </c>
      <c r="T260" s="14" t="s">
        <v>1464</v>
      </c>
      <c r="U260" s="14">
        <v>1</v>
      </c>
      <c r="V260" s="42">
        <v>0</v>
      </c>
      <c r="W260" s="42">
        <v>0</v>
      </c>
      <c r="X260" s="42" t="s">
        <v>1406</v>
      </c>
      <c r="Y260" s="60">
        <v>45250</v>
      </c>
      <c r="Z260" s="14" t="s">
        <v>32</v>
      </c>
      <c r="AB260" s="14">
        <v>0</v>
      </c>
      <c r="AC260" s="14">
        <v>0</v>
      </c>
      <c r="AD260" s="14">
        <v>0</v>
      </c>
      <c r="AE260" s="14" t="s">
        <v>1446</v>
      </c>
      <c r="AG260" s="14" t="s">
        <v>1446</v>
      </c>
      <c r="AJ260" s="14">
        <v>0</v>
      </c>
      <c r="AK260" s="14" t="s">
        <v>1473</v>
      </c>
      <c r="AL260" s="14">
        <v>28168</v>
      </c>
      <c r="AM260" s="14" t="s">
        <v>1418</v>
      </c>
      <c r="AN260" s="14" t="s">
        <v>1475</v>
      </c>
      <c r="AO260" s="14">
        <v>28</v>
      </c>
      <c r="AP260" s="14" t="s">
        <v>1416</v>
      </c>
      <c r="AQ260" s="14">
        <v>0</v>
      </c>
      <c r="AR260" s="14" t="s">
        <v>1410</v>
      </c>
      <c r="AT260" s="14" t="s">
        <v>1417</v>
      </c>
      <c r="AU260" s="14" t="s">
        <v>1412</v>
      </c>
    </row>
    <row r="261" spans="1:47" x14ac:dyDescent="0.45">
      <c r="A261" s="42">
        <v>2413150087</v>
      </c>
      <c r="B261" s="14">
        <v>131</v>
      </c>
      <c r="C261" s="14" t="s">
        <v>1462</v>
      </c>
      <c r="D261" s="14">
        <v>130</v>
      </c>
      <c r="E261" s="14" t="s">
        <v>1402</v>
      </c>
      <c r="F261" s="14" t="s">
        <v>983</v>
      </c>
      <c r="G261" s="14" t="s">
        <v>984</v>
      </c>
      <c r="H261" s="14">
        <v>1</v>
      </c>
      <c r="I261" s="14" t="s">
        <v>985</v>
      </c>
      <c r="J261" s="14" t="s">
        <v>1403</v>
      </c>
      <c r="K261" s="14">
        <v>2024</v>
      </c>
      <c r="L261" s="42">
        <v>2024</v>
      </c>
      <c r="M261" s="43">
        <v>45212</v>
      </c>
      <c r="N261" s="14" t="s">
        <v>36</v>
      </c>
      <c r="O261" s="14" t="s">
        <v>793</v>
      </c>
      <c r="P261" s="14">
        <v>527</v>
      </c>
      <c r="Q261" s="14" t="s">
        <v>1537</v>
      </c>
      <c r="R261" s="14">
        <v>1</v>
      </c>
      <c r="S261" s="14">
        <v>2</v>
      </c>
      <c r="T261" s="14" t="s">
        <v>1464</v>
      </c>
      <c r="U261" s="14">
        <v>1</v>
      </c>
      <c r="V261" s="42">
        <v>0</v>
      </c>
      <c r="W261" s="42">
        <v>0</v>
      </c>
      <c r="X261" s="42" t="s">
        <v>1406</v>
      </c>
      <c r="Y261" s="60">
        <v>45344</v>
      </c>
      <c r="Z261" s="14" t="s">
        <v>32</v>
      </c>
      <c r="AB261" s="14">
        <v>0</v>
      </c>
      <c r="AC261" s="14">
        <v>0</v>
      </c>
      <c r="AD261" s="14">
        <v>0</v>
      </c>
      <c r="AE261" s="14" t="s">
        <v>1446</v>
      </c>
      <c r="AG261" s="14" t="s">
        <v>1446</v>
      </c>
      <c r="AJ261" s="14">
        <v>0</v>
      </c>
      <c r="AK261" s="14" t="s">
        <v>1473</v>
      </c>
      <c r="AL261" s="14">
        <v>28094</v>
      </c>
      <c r="AM261" s="14" t="s">
        <v>1421</v>
      </c>
      <c r="AN261" s="14" t="s">
        <v>1437</v>
      </c>
      <c r="AO261" s="14">
        <v>28</v>
      </c>
      <c r="AP261" s="14" t="s">
        <v>1416</v>
      </c>
      <c r="AQ261" s="14">
        <v>0</v>
      </c>
      <c r="AR261" s="14" t="s">
        <v>1410</v>
      </c>
      <c r="AT261" s="14" t="s">
        <v>1417</v>
      </c>
      <c r="AU261" s="14" t="s">
        <v>1412</v>
      </c>
    </row>
    <row r="262" spans="1:47" x14ac:dyDescent="0.45">
      <c r="A262" s="42">
        <v>2413150092</v>
      </c>
      <c r="B262" s="14">
        <v>131</v>
      </c>
      <c r="C262" s="14" t="s">
        <v>1462</v>
      </c>
      <c r="D262" s="14">
        <v>130</v>
      </c>
      <c r="E262" s="14" t="s">
        <v>1402</v>
      </c>
      <c r="F262" s="14" t="s">
        <v>997</v>
      </c>
      <c r="G262" s="14" t="s">
        <v>998</v>
      </c>
      <c r="H262" s="14">
        <v>1</v>
      </c>
      <c r="I262" s="14" t="s">
        <v>999</v>
      </c>
      <c r="J262" s="14" t="s">
        <v>1403</v>
      </c>
      <c r="K262" s="14">
        <v>2024</v>
      </c>
      <c r="L262" s="42">
        <v>2024</v>
      </c>
      <c r="M262" s="43">
        <v>45205</v>
      </c>
      <c r="N262" s="14" t="s">
        <v>36</v>
      </c>
      <c r="O262" s="14" t="s">
        <v>793</v>
      </c>
      <c r="P262" s="14">
        <v>859</v>
      </c>
      <c r="Q262" s="14" t="s">
        <v>1494</v>
      </c>
      <c r="R262" s="14">
        <v>1</v>
      </c>
      <c r="S262" s="14">
        <v>2</v>
      </c>
      <c r="T262" s="14" t="s">
        <v>1464</v>
      </c>
      <c r="U262" s="14">
        <v>1</v>
      </c>
      <c r="V262" s="42">
        <v>0</v>
      </c>
      <c r="W262" s="42">
        <v>0</v>
      </c>
      <c r="X262" s="42" t="s">
        <v>1406</v>
      </c>
      <c r="Y262" s="60">
        <v>45279</v>
      </c>
      <c r="Z262" s="14" t="s">
        <v>32</v>
      </c>
      <c r="AB262" s="14">
        <v>0</v>
      </c>
      <c r="AC262" s="14">
        <v>0</v>
      </c>
      <c r="AD262" s="14">
        <v>0</v>
      </c>
      <c r="AE262" s="14" t="s">
        <v>1446</v>
      </c>
      <c r="AG262" s="14" t="s">
        <v>1446</v>
      </c>
      <c r="AJ262" s="14">
        <v>0</v>
      </c>
      <c r="AK262" s="14" t="s">
        <v>1473</v>
      </c>
      <c r="AL262" s="14">
        <v>28156</v>
      </c>
      <c r="AM262" s="14" t="s">
        <v>1418</v>
      </c>
      <c r="AN262" s="14" t="s">
        <v>1538</v>
      </c>
      <c r="AO262" s="14">
        <v>28</v>
      </c>
      <c r="AP262" s="14" t="s">
        <v>1416</v>
      </c>
      <c r="AQ262" s="14">
        <v>0</v>
      </c>
      <c r="AR262" s="14" t="s">
        <v>1410</v>
      </c>
      <c r="AT262" s="14" t="s">
        <v>1417</v>
      </c>
      <c r="AU262" s="14" t="s">
        <v>1412</v>
      </c>
    </row>
    <row r="263" spans="1:47" x14ac:dyDescent="0.45">
      <c r="A263" s="42">
        <v>2413150025</v>
      </c>
      <c r="B263" s="14">
        <v>131</v>
      </c>
      <c r="C263" s="14" t="s">
        <v>1462</v>
      </c>
      <c r="D263" s="14">
        <v>130</v>
      </c>
      <c r="E263" s="14" t="s">
        <v>1402</v>
      </c>
      <c r="F263" s="14" t="s">
        <v>790</v>
      </c>
      <c r="G263" s="14" t="s">
        <v>791</v>
      </c>
      <c r="H263" s="14">
        <v>2</v>
      </c>
      <c r="I263" s="14" t="s">
        <v>792</v>
      </c>
      <c r="J263" s="14" t="s">
        <v>1403</v>
      </c>
      <c r="K263" s="14">
        <v>2024</v>
      </c>
      <c r="L263" s="42">
        <v>2024</v>
      </c>
      <c r="M263" s="43">
        <v>45201</v>
      </c>
      <c r="N263" s="14" t="s">
        <v>36</v>
      </c>
      <c r="O263" s="14" t="s">
        <v>704</v>
      </c>
      <c r="P263" s="14">
        <v>857</v>
      </c>
      <c r="Q263" s="14" t="s">
        <v>1481</v>
      </c>
      <c r="R263" s="14">
        <v>2</v>
      </c>
      <c r="S263" s="14">
        <v>2</v>
      </c>
      <c r="T263" s="14" t="s">
        <v>1464</v>
      </c>
      <c r="U263" s="14">
        <v>1</v>
      </c>
      <c r="V263" s="42">
        <v>0</v>
      </c>
      <c r="W263" s="42">
        <v>0</v>
      </c>
      <c r="X263" s="42" t="s">
        <v>1406</v>
      </c>
      <c r="Y263" s="60">
        <v>45282</v>
      </c>
      <c r="Z263" s="14" t="s">
        <v>32</v>
      </c>
      <c r="AB263" s="14">
        <v>0</v>
      </c>
      <c r="AC263" s="14">
        <v>0</v>
      </c>
      <c r="AD263" s="14">
        <v>0</v>
      </c>
      <c r="AE263" s="14" t="s">
        <v>1446</v>
      </c>
      <c r="AG263" s="14" t="s">
        <v>1446</v>
      </c>
      <c r="AJ263" s="14">
        <v>0</v>
      </c>
      <c r="AK263" s="14" t="s">
        <v>1473</v>
      </c>
      <c r="AL263" s="14">
        <v>28098</v>
      </c>
      <c r="AM263" s="14" t="s">
        <v>1418</v>
      </c>
      <c r="AN263" s="14" t="s">
        <v>1448</v>
      </c>
      <c r="AO263" s="14">
        <v>28</v>
      </c>
      <c r="AP263" s="14" t="s">
        <v>1416</v>
      </c>
      <c r="AQ263" s="14">
        <v>0</v>
      </c>
      <c r="AR263" s="14" t="s">
        <v>1410</v>
      </c>
      <c r="AT263" s="14" t="s">
        <v>1417</v>
      </c>
      <c r="AU263" s="14" t="s">
        <v>1412</v>
      </c>
    </row>
    <row r="264" spans="1:47" x14ac:dyDescent="0.45">
      <c r="A264" s="42">
        <v>2413150026</v>
      </c>
      <c r="B264" s="14">
        <v>131</v>
      </c>
      <c r="C264" s="14" t="s">
        <v>1462</v>
      </c>
      <c r="D264" s="14">
        <v>130</v>
      </c>
      <c r="E264" s="14" t="s">
        <v>1402</v>
      </c>
      <c r="F264" s="14" t="s">
        <v>794</v>
      </c>
      <c r="G264" s="14" t="s">
        <v>795</v>
      </c>
      <c r="H264" s="14">
        <v>1</v>
      </c>
      <c r="I264" s="14" t="s">
        <v>796</v>
      </c>
      <c r="J264" s="14" t="s">
        <v>1403</v>
      </c>
      <c r="K264" s="14">
        <v>2024</v>
      </c>
      <c r="L264" s="42">
        <v>2024</v>
      </c>
      <c r="M264" s="43">
        <v>45201</v>
      </c>
      <c r="N264" s="14" t="s">
        <v>36</v>
      </c>
      <c r="O264" s="14" t="s">
        <v>793</v>
      </c>
      <c r="P264" s="14">
        <v>428</v>
      </c>
      <c r="Q264" s="14" t="s">
        <v>1463</v>
      </c>
      <c r="R264" s="14">
        <v>1</v>
      </c>
      <c r="S264" s="14">
        <v>2</v>
      </c>
      <c r="T264" s="14" t="s">
        <v>1464</v>
      </c>
      <c r="U264" s="14">
        <v>1</v>
      </c>
      <c r="V264" s="42">
        <v>0</v>
      </c>
      <c r="W264" s="42">
        <v>0</v>
      </c>
      <c r="X264" s="42" t="s">
        <v>1406</v>
      </c>
      <c r="Y264" s="60">
        <v>45237</v>
      </c>
      <c r="Z264" s="14" t="s">
        <v>32</v>
      </c>
      <c r="AB264" s="14">
        <v>0</v>
      </c>
      <c r="AC264" s="14">
        <v>0</v>
      </c>
      <c r="AD264" s="14">
        <v>0</v>
      </c>
      <c r="AE264" s="14" t="s">
        <v>1446</v>
      </c>
      <c r="AG264" s="14" t="s">
        <v>1446</v>
      </c>
      <c r="AJ264" s="14">
        <v>0</v>
      </c>
      <c r="AK264" s="14" t="s">
        <v>1473</v>
      </c>
      <c r="AL264" s="14">
        <v>28200</v>
      </c>
      <c r="AM264" s="14" t="s">
        <v>1418</v>
      </c>
      <c r="AN264" s="14" t="s">
        <v>1520</v>
      </c>
      <c r="AO264" s="14">
        <v>28</v>
      </c>
      <c r="AP264" s="14" t="s">
        <v>1416</v>
      </c>
      <c r="AQ264" s="14">
        <v>0</v>
      </c>
      <c r="AR264" s="14" t="s">
        <v>1410</v>
      </c>
      <c r="AT264" s="14" t="s">
        <v>1417</v>
      </c>
      <c r="AU264" s="14" t="s">
        <v>1412</v>
      </c>
    </row>
    <row r="265" spans="1:47" x14ac:dyDescent="0.45">
      <c r="A265" s="42">
        <v>2413150032</v>
      </c>
      <c r="B265" s="14">
        <v>131</v>
      </c>
      <c r="C265" s="14" t="s">
        <v>1462</v>
      </c>
      <c r="D265" s="14">
        <v>130</v>
      </c>
      <c r="E265" s="14" t="s">
        <v>1402</v>
      </c>
      <c r="F265" s="14" t="s">
        <v>815</v>
      </c>
      <c r="G265" s="14" t="s">
        <v>816</v>
      </c>
      <c r="H265" s="14">
        <v>1</v>
      </c>
      <c r="I265" s="14" t="s">
        <v>259</v>
      </c>
      <c r="J265" s="14" t="s">
        <v>1403</v>
      </c>
      <c r="K265" s="14">
        <v>2024</v>
      </c>
      <c r="L265" s="42">
        <v>2024</v>
      </c>
      <c r="M265" s="43">
        <v>45201</v>
      </c>
      <c r="N265" s="14" t="s">
        <v>36</v>
      </c>
      <c r="O265" s="14" t="s">
        <v>793</v>
      </c>
      <c r="P265" s="14">
        <v>427</v>
      </c>
      <c r="Q265" s="14" t="s">
        <v>1479</v>
      </c>
      <c r="R265" s="14">
        <v>1</v>
      </c>
      <c r="S265" s="14">
        <v>2</v>
      </c>
      <c r="T265" s="14" t="s">
        <v>1464</v>
      </c>
      <c r="U265" s="14">
        <v>1</v>
      </c>
      <c r="V265" s="42">
        <v>0</v>
      </c>
      <c r="W265" s="42">
        <v>0</v>
      </c>
      <c r="X265" s="42" t="s">
        <v>1406</v>
      </c>
      <c r="Y265" s="60">
        <v>45303</v>
      </c>
      <c r="Z265" s="14" t="s">
        <v>32</v>
      </c>
      <c r="AB265" s="14">
        <v>0</v>
      </c>
      <c r="AC265" s="14">
        <v>0</v>
      </c>
      <c r="AD265" s="14">
        <v>0</v>
      </c>
      <c r="AE265" s="14" t="s">
        <v>1446</v>
      </c>
      <c r="AG265" s="14" t="s">
        <v>1446</v>
      </c>
      <c r="AJ265" s="14">
        <v>0</v>
      </c>
      <c r="AK265" s="14" t="s">
        <v>1473</v>
      </c>
      <c r="AL265" s="14">
        <v>28124</v>
      </c>
      <c r="AM265" s="14" t="s">
        <v>1414</v>
      </c>
      <c r="AN265" s="14" t="s">
        <v>1483</v>
      </c>
      <c r="AO265" s="14">
        <v>28</v>
      </c>
      <c r="AP265" s="14" t="s">
        <v>1416</v>
      </c>
      <c r="AQ265" s="14">
        <v>0</v>
      </c>
      <c r="AR265" s="14" t="s">
        <v>1410</v>
      </c>
      <c r="AT265" s="14" t="s">
        <v>1417</v>
      </c>
      <c r="AU265" s="14" t="s">
        <v>1412</v>
      </c>
    </row>
    <row r="266" spans="1:47" x14ac:dyDescent="0.45">
      <c r="A266" s="42">
        <v>2413150057</v>
      </c>
      <c r="B266" s="14">
        <v>131</v>
      </c>
      <c r="C266" s="14" t="s">
        <v>1462</v>
      </c>
      <c r="D266" s="14">
        <v>130</v>
      </c>
      <c r="E266" s="14" t="s">
        <v>1402</v>
      </c>
      <c r="F266" s="14" t="s">
        <v>897</v>
      </c>
      <c r="G266" s="14" t="s">
        <v>898</v>
      </c>
      <c r="H266" s="14">
        <v>2</v>
      </c>
      <c r="I266" s="14" t="s">
        <v>899</v>
      </c>
      <c r="J266" s="14" t="s">
        <v>1403</v>
      </c>
      <c r="K266" s="14">
        <v>2024</v>
      </c>
      <c r="L266" s="42">
        <v>2024</v>
      </c>
      <c r="M266" s="43">
        <v>45201</v>
      </c>
      <c r="N266" s="14" t="s">
        <v>36</v>
      </c>
      <c r="O266" s="14" t="s">
        <v>793</v>
      </c>
      <c r="P266" s="14">
        <v>427</v>
      </c>
      <c r="Q266" s="14" t="s">
        <v>1479</v>
      </c>
      <c r="R266" s="14">
        <v>1</v>
      </c>
      <c r="S266" s="14">
        <v>2</v>
      </c>
      <c r="T266" s="14" t="s">
        <v>1464</v>
      </c>
      <c r="U266" s="14">
        <v>1</v>
      </c>
      <c r="V266" s="42">
        <v>0</v>
      </c>
      <c r="W266" s="42">
        <v>0</v>
      </c>
      <c r="X266" s="42" t="s">
        <v>1406</v>
      </c>
      <c r="Y266" s="60">
        <v>45300</v>
      </c>
      <c r="Z266" s="14" t="s">
        <v>32</v>
      </c>
      <c r="AB266" s="14">
        <v>0</v>
      </c>
      <c r="AC266" s="14">
        <v>0</v>
      </c>
      <c r="AD266" s="14">
        <v>0</v>
      </c>
      <c r="AE266" s="14" t="s">
        <v>1446</v>
      </c>
      <c r="AG266" s="14" t="s">
        <v>1446</v>
      </c>
      <c r="AJ266" s="14">
        <v>0</v>
      </c>
      <c r="AK266" s="14" t="s">
        <v>1473</v>
      </c>
      <c r="AL266" s="14">
        <v>28104</v>
      </c>
      <c r="AM266" s="14" t="s">
        <v>1418</v>
      </c>
      <c r="AN266" s="14" t="s">
        <v>1532</v>
      </c>
      <c r="AO266" s="14">
        <v>28</v>
      </c>
      <c r="AP266" s="14" t="s">
        <v>1416</v>
      </c>
      <c r="AQ266" s="14">
        <v>0</v>
      </c>
      <c r="AR266" s="14" t="s">
        <v>1410</v>
      </c>
      <c r="AT266" s="14" t="s">
        <v>1417</v>
      </c>
      <c r="AU266" s="14" t="s">
        <v>1412</v>
      </c>
    </row>
    <row r="267" spans="1:47" x14ac:dyDescent="0.45">
      <c r="A267" s="42">
        <v>2413150069</v>
      </c>
      <c r="B267" s="14">
        <v>131</v>
      </c>
      <c r="C267" s="14" t="s">
        <v>1462</v>
      </c>
      <c r="D267" s="14">
        <v>130</v>
      </c>
      <c r="E267" s="14" t="s">
        <v>1402</v>
      </c>
      <c r="F267" s="14" t="s">
        <v>932</v>
      </c>
      <c r="G267" s="14" t="s">
        <v>933</v>
      </c>
      <c r="H267" s="14">
        <v>2</v>
      </c>
      <c r="I267" s="14" t="s">
        <v>934</v>
      </c>
      <c r="J267" s="14" t="s">
        <v>1403</v>
      </c>
      <c r="K267" s="14">
        <v>2024</v>
      </c>
      <c r="L267" s="42">
        <v>2024</v>
      </c>
      <c r="M267" s="43">
        <v>45201</v>
      </c>
      <c r="N267" s="14" t="s">
        <v>36</v>
      </c>
      <c r="O267" s="14" t="s">
        <v>793</v>
      </c>
      <c r="P267" s="14">
        <v>427</v>
      </c>
      <c r="Q267" s="14" t="s">
        <v>1479</v>
      </c>
      <c r="R267" s="14">
        <v>1</v>
      </c>
      <c r="S267" s="14">
        <v>2</v>
      </c>
      <c r="T267" s="14" t="s">
        <v>1464</v>
      </c>
      <c r="U267" s="14">
        <v>1</v>
      </c>
      <c r="V267" s="42">
        <v>0</v>
      </c>
      <c r="W267" s="42">
        <v>0</v>
      </c>
      <c r="X267" s="42" t="s">
        <v>1406</v>
      </c>
      <c r="Y267" s="60">
        <v>45377</v>
      </c>
      <c r="Z267" s="14" t="s">
        <v>32</v>
      </c>
      <c r="AB267" s="14">
        <v>0</v>
      </c>
      <c r="AC267" s="14">
        <v>0</v>
      </c>
      <c r="AD267" s="14">
        <v>0</v>
      </c>
      <c r="AE267" s="14" t="s">
        <v>1446</v>
      </c>
      <c r="AG267" s="14" t="s">
        <v>1446</v>
      </c>
      <c r="AJ267" s="14">
        <v>0</v>
      </c>
      <c r="AK267" s="14" t="s">
        <v>1473</v>
      </c>
      <c r="AL267" s="14">
        <v>28139</v>
      </c>
      <c r="AM267" s="14" t="s">
        <v>1418</v>
      </c>
      <c r="AN267" s="14" t="s">
        <v>1478</v>
      </c>
      <c r="AO267" s="14">
        <v>28</v>
      </c>
      <c r="AP267" s="14" t="s">
        <v>1416</v>
      </c>
      <c r="AQ267" s="14">
        <v>0</v>
      </c>
      <c r="AR267" s="14" t="s">
        <v>1410</v>
      </c>
      <c r="AT267" s="14" t="s">
        <v>1417</v>
      </c>
      <c r="AU267" s="14" t="s">
        <v>1412</v>
      </c>
    </row>
    <row r="268" spans="1:47" x14ac:dyDescent="0.45">
      <c r="A268" s="42">
        <v>2413150070</v>
      </c>
      <c r="B268" s="14">
        <v>131</v>
      </c>
      <c r="C268" s="14" t="s">
        <v>1462</v>
      </c>
      <c r="D268" s="14">
        <v>130</v>
      </c>
      <c r="E268" s="14" t="s">
        <v>1402</v>
      </c>
      <c r="F268" s="14" t="s">
        <v>935</v>
      </c>
      <c r="G268" s="14" t="s">
        <v>936</v>
      </c>
      <c r="H268" s="14">
        <v>2</v>
      </c>
      <c r="I268" s="14" t="s">
        <v>937</v>
      </c>
      <c r="J268" s="14" t="s">
        <v>1403</v>
      </c>
      <c r="K268" s="14">
        <v>2024</v>
      </c>
      <c r="L268" s="42">
        <v>2024</v>
      </c>
      <c r="M268" s="43">
        <v>45201</v>
      </c>
      <c r="N268" s="14" t="s">
        <v>36</v>
      </c>
      <c r="O268" s="14" t="s">
        <v>793</v>
      </c>
      <c r="P268" s="14">
        <v>427</v>
      </c>
      <c r="Q268" s="14" t="s">
        <v>1479</v>
      </c>
      <c r="R268" s="14">
        <v>1</v>
      </c>
      <c r="S268" s="14">
        <v>2</v>
      </c>
      <c r="T268" s="14" t="s">
        <v>1464</v>
      </c>
      <c r="U268" s="14">
        <v>1</v>
      </c>
      <c r="V268" s="42">
        <v>0</v>
      </c>
      <c r="W268" s="42">
        <v>0</v>
      </c>
      <c r="X268" s="42" t="s">
        <v>1406</v>
      </c>
      <c r="Y268" s="60">
        <v>45300</v>
      </c>
      <c r="Z268" s="14" t="s">
        <v>32</v>
      </c>
      <c r="AB268" s="14">
        <v>0</v>
      </c>
      <c r="AC268" s="14">
        <v>0</v>
      </c>
      <c r="AD268" s="14">
        <v>0</v>
      </c>
      <c r="AE268" s="14" t="s">
        <v>1446</v>
      </c>
      <c r="AG268" s="14" t="s">
        <v>1446</v>
      </c>
      <c r="AJ268" s="14">
        <v>0</v>
      </c>
      <c r="AK268" s="14" t="s">
        <v>1473</v>
      </c>
      <c r="AL268" s="14">
        <v>28157</v>
      </c>
      <c r="AM268" s="14" t="s">
        <v>1414</v>
      </c>
      <c r="AN268" s="14" t="s">
        <v>1415</v>
      </c>
      <c r="AO268" s="14">
        <v>28</v>
      </c>
      <c r="AP268" s="14" t="s">
        <v>1416</v>
      </c>
      <c r="AQ268" s="14">
        <v>0</v>
      </c>
      <c r="AR268" s="14" t="s">
        <v>1410</v>
      </c>
      <c r="AT268" s="14" t="s">
        <v>1417</v>
      </c>
      <c r="AU268" s="14" t="s">
        <v>1412</v>
      </c>
    </row>
    <row r="269" spans="1:47" x14ac:dyDescent="0.45">
      <c r="A269" s="42">
        <v>2413150103</v>
      </c>
      <c r="B269" s="14">
        <v>131</v>
      </c>
      <c r="C269" s="14" t="s">
        <v>1462</v>
      </c>
      <c r="D269" s="14">
        <v>130</v>
      </c>
      <c r="E269" s="14" t="s">
        <v>1402</v>
      </c>
      <c r="F269" s="14" t="s">
        <v>1030</v>
      </c>
      <c r="G269" s="14" t="s">
        <v>1031</v>
      </c>
      <c r="H269" s="14">
        <v>1</v>
      </c>
      <c r="I269" s="14" t="s">
        <v>1032</v>
      </c>
      <c r="J269" s="14" t="s">
        <v>1403</v>
      </c>
      <c r="K269" s="14">
        <v>2024</v>
      </c>
      <c r="L269" s="42">
        <v>2024</v>
      </c>
      <c r="M269" s="43">
        <v>45194</v>
      </c>
      <c r="N269" s="14" t="s">
        <v>36</v>
      </c>
      <c r="O269" s="14" t="s">
        <v>704</v>
      </c>
      <c r="P269" s="14">
        <v>428</v>
      </c>
      <c r="Q269" s="14" t="s">
        <v>1463</v>
      </c>
      <c r="R269" s="14">
        <v>2</v>
      </c>
      <c r="S269" s="14">
        <v>2</v>
      </c>
      <c r="T269" s="14" t="s">
        <v>1464</v>
      </c>
      <c r="U269" s="14">
        <v>1</v>
      </c>
      <c r="V269" s="42">
        <v>0</v>
      </c>
      <c r="W269" s="42">
        <v>0</v>
      </c>
      <c r="X269" s="42" t="s">
        <v>1406</v>
      </c>
      <c r="Y269" s="60">
        <v>45254</v>
      </c>
      <c r="Z269" s="14" t="s">
        <v>32</v>
      </c>
      <c r="AB269" s="14">
        <v>0</v>
      </c>
      <c r="AC269" s="14">
        <v>0</v>
      </c>
      <c r="AD269" s="14">
        <v>0</v>
      </c>
      <c r="AE269" s="14" t="s">
        <v>1446</v>
      </c>
      <c r="AG269" s="14" t="s">
        <v>1446</v>
      </c>
      <c r="AJ269" s="14">
        <v>0</v>
      </c>
      <c r="AK269" s="14" t="s">
        <v>1473</v>
      </c>
      <c r="AL269" s="14">
        <v>28193</v>
      </c>
      <c r="AM269" s="14" t="s">
        <v>1418</v>
      </c>
      <c r="AN269" s="14" t="s">
        <v>1439</v>
      </c>
      <c r="AO269" s="14">
        <v>28</v>
      </c>
      <c r="AP269" s="14" t="s">
        <v>1416</v>
      </c>
      <c r="AQ269" s="14">
        <v>0</v>
      </c>
      <c r="AR269" s="14" t="s">
        <v>1410</v>
      </c>
      <c r="AT269" s="14" t="s">
        <v>1417</v>
      </c>
      <c r="AU269" s="14" t="s">
        <v>1412</v>
      </c>
    </row>
    <row r="270" spans="1:47" x14ac:dyDescent="0.45">
      <c r="A270" s="42">
        <v>2413050020</v>
      </c>
      <c r="B270" s="14">
        <v>130</v>
      </c>
      <c r="C270" s="14" t="s">
        <v>1401</v>
      </c>
      <c r="D270" s="14">
        <v>130</v>
      </c>
      <c r="E270" s="14" t="s">
        <v>1402</v>
      </c>
      <c r="F270" s="14" t="s">
        <v>552</v>
      </c>
      <c r="G270" s="14" t="s">
        <v>553</v>
      </c>
      <c r="H270" s="14">
        <v>2</v>
      </c>
      <c r="I270" s="14" t="s">
        <v>554</v>
      </c>
      <c r="J270" s="14" t="s">
        <v>1403</v>
      </c>
      <c r="K270" s="14">
        <v>2024</v>
      </c>
      <c r="L270" s="42">
        <v>2024</v>
      </c>
      <c r="M270" s="43">
        <v>45189</v>
      </c>
      <c r="N270" s="14" t="s">
        <v>36</v>
      </c>
      <c r="O270" s="14" t="s">
        <v>485</v>
      </c>
      <c r="P270" s="14">
        <v>1131</v>
      </c>
      <c r="Q270" s="14" t="s">
        <v>1413</v>
      </c>
      <c r="R270" s="14">
        <v>3</v>
      </c>
      <c r="S270" s="14">
        <v>6</v>
      </c>
      <c r="T270" s="14" t="s">
        <v>1405</v>
      </c>
      <c r="U270" s="14">
        <v>5</v>
      </c>
      <c r="V270" s="42">
        <v>0</v>
      </c>
      <c r="W270" s="42">
        <v>0</v>
      </c>
      <c r="X270" s="42" t="s">
        <v>1406</v>
      </c>
      <c r="Y270" s="60">
        <v>45264</v>
      </c>
      <c r="Z270" s="14" t="s">
        <v>32</v>
      </c>
      <c r="AB270" s="14">
        <v>0</v>
      </c>
      <c r="AC270" s="14">
        <v>0</v>
      </c>
      <c r="AD270" s="14">
        <v>0</v>
      </c>
      <c r="AE270" s="14" t="s">
        <v>1446</v>
      </c>
      <c r="AG270" s="14" t="s">
        <v>1446</v>
      </c>
      <c r="AJ270" s="14">
        <v>0</v>
      </c>
      <c r="AK270" s="14" t="s">
        <v>1407</v>
      </c>
      <c r="AL270" s="14">
        <v>46118</v>
      </c>
      <c r="AM270" s="14" t="s">
        <v>1421</v>
      </c>
      <c r="AN270" s="14" t="s">
        <v>1432</v>
      </c>
      <c r="AO270" s="14">
        <v>46</v>
      </c>
      <c r="AP270" s="14" t="s">
        <v>1433</v>
      </c>
      <c r="AQ270" s="14">
        <v>0</v>
      </c>
      <c r="AR270" s="14" t="s">
        <v>1410</v>
      </c>
      <c r="AT270" s="14" t="s">
        <v>1417</v>
      </c>
      <c r="AU270" s="14" t="s">
        <v>1412</v>
      </c>
    </row>
    <row r="271" spans="1:47" x14ac:dyDescent="0.45">
      <c r="A271" s="42">
        <v>2413150107</v>
      </c>
      <c r="B271" s="14">
        <v>131</v>
      </c>
      <c r="C271" s="14" t="s">
        <v>1462</v>
      </c>
      <c r="D271" s="14">
        <v>130</v>
      </c>
      <c r="E271" s="14" t="s">
        <v>1402</v>
      </c>
      <c r="F271" s="14" t="s">
        <v>1044</v>
      </c>
      <c r="G271" s="14" t="s">
        <v>1045</v>
      </c>
      <c r="H271" s="14">
        <v>2</v>
      </c>
      <c r="I271" s="14" t="s">
        <v>593</v>
      </c>
      <c r="J271" s="14" t="s">
        <v>1403</v>
      </c>
      <c r="K271" s="14">
        <v>2024</v>
      </c>
      <c r="L271" s="42">
        <v>2024</v>
      </c>
      <c r="M271" s="43">
        <v>45181</v>
      </c>
      <c r="N271" s="14" t="s">
        <v>36</v>
      </c>
      <c r="O271" s="14" t="s">
        <v>708</v>
      </c>
      <c r="P271" s="14">
        <v>121</v>
      </c>
      <c r="Q271" s="14" t="s">
        <v>1502</v>
      </c>
      <c r="R271" s="14">
        <v>2</v>
      </c>
      <c r="S271" s="14">
        <v>8</v>
      </c>
      <c r="T271" s="14" t="s">
        <v>1503</v>
      </c>
      <c r="U271" s="14">
        <v>6</v>
      </c>
      <c r="V271" s="42">
        <v>0</v>
      </c>
      <c r="W271" s="42">
        <v>0</v>
      </c>
      <c r="X271" s="42" t="s">
        <v>1406</v>
      </c>
      <c r="Y271" s="60">
        <v>45362</v>
      </c>
      <c r="Z271" s="14" t="s">
        <v>32</v>
      </c>
      <c r="AB271" s="14">
        <v>0</v>
      </c>
      <c r="AC271" s="14">
        <v>0</v>
      </c>
      <c r="AD271" s="14">
        <v>0</v>
      </c>
      <c r="AE271" s="14" t="s">
        <v>1446</v>
      </c>
      <c r="AG271" s="14" t="s">
        <v>1446</v>
      </c>
      <c r="AJ271" s="14">
        <v>0</v>
      </c>
      <c r="AK271" s="14" t="s">
        <v>1407</v>
      </c>
      <c r="AL271" s="14">
        <v>28187</v>
      </c>
      <c r="AM271" s="14" t="s">
        <v>1418</v>
      </c>
      <c r="AN271" s="14" t="s">
        <v>1425</v>
      </c>
      <c r="AO271" s="14">
        <v>28</v>
      </c>
      <c r="AP271" s="14" t="s">
        <v>1416</v>
      </c>
      <c r="AQ271" s="14">
        <v>0</v>
      </c>
      <c r="AR271" s="14" t="s">
        <v>1410</v>
      </c>
      <c r="AT271" s="14" t="s">
        <v>1417</v>
      </c>
      <c r="AU271" s="14" t="s">
        <v>1412</v>
      </c>
    </row>
    <row r="272" spans="1:47" x14ac:dyDescent="0.45">
      <c r="A272" s="42">
        <v>2413050019</v>
      </c>
      <c r="B272" s="14">
        <v>130</v>
      </c>
      <c r="C272" s="14" t="s">
        <v>1401</v>
      </c>
      <c r="D272" s="14">
        <v>130</v>
      </c>
      <c r="E272" s="14" t="s">
        <v>1402</v>
      </c>
      <c r="F272" s="14" t="s">
        <v>549</v>
      </c>
      <c r="G272" s="14" t="s">
        <v>550</v>
      </c>
      <c r="H272" s="14">
        <v>2</v>
      </c>
      <c r="I272" s="14" t="s">
        <v>551</v>
      </c>
      <c r="J272" s="14" t="s">
        <v>1403</v>
      </c>
      <c r="K272" s="14">
        <v>2024</v>
      </c>
      <c r="L272" s="42">
        <v>2024</v>
      </c>
      <c r="M272" s="43">
        <v>45180</v>
      </c>
      <c r="N272" s="14" t="s">
        <v>36</v>
      </c>
      <c r="O272" s="14" t="s">
        <v>501</v>
      </c>
      <c r="P272" s="14">
        <v>1726</v>
      </c>
      <c r="Q272" s="14" t="s">
        <v>1430</v>
      </c>
      <c r="R272" s="14">
        <v>2</v>
      </c>
      <c r="S272" s="14">
        <v>34</v>
      </c>
      <c r="T272" s="14" t="s">
        <v>1431</v>
      </c>
      <c r="U272" s="14">
        <v>12</v>
      </c>
      <c r="V272" s="42">
        <v>0</v>
      </c>
      <c r="W272" s="42">
        <v>0</v>
      </c>
      <c r="X272" s="42" t="s">
        <v>1406</v>
      </c>
      <c r="Y272" s="60">
        <v>45222</v>
      </c>
      <c r="Z272" s="14" t="s">
        <v>32</v>
      </c>
      <c r="AB272" s="14">
        <v>0</v>
      </c>
      <c r="AC272" s="14">
        <v>0</v>
      </c>
      <c r="AD272" s="14">
        <v>0</v>
      </c>
      <c r="AE272" s="14" t="s">
        <v>1446</v>
      </c>
      <c r="AG272" s="14" t="s">
        <v>1446</v>
      </c>
      <c r="AJ272" s="14">
        <v>0</v>
      </c>
      <c r="AK272" s="14" t="s">
        <v>1407</v>
      </c>
      <c r="AL272" s="14">
        <v>28157</v>
      </c>
      <c r="AM272" s="14" t="s">
        <v>1414</v>
      </c>
      <c r="AN272" s="14" t="s">
        <v>1415</v>
      </c>
      <c r="AO272" s="14">
        <v>28</v>
      </c>
      <c r="AP272" s="14" t="s">
        <v>1416</v>
      </c>
      <c r="AQ272" s="14">
        <v>0</v>
      </c>
      <c r="AR272" s="14" t="s">
        <v>1410</v>
      </c>
      <c r="AT272" s="14" t="s">
        <v>1417</v>
      </c>
      <c r="AU272" s="14" t="s">
        <v>1412</v>
      </c>
    </row>
    <row r="273" spans="1:47" x14ac:dyDescent="0.45">
      <c r="A273" s="42">
        <v>2413150043</v>
      </c>
      <c r="B273" s="14">
        <v>131</v>
      </c>
      <c r="C273" s="14" t="s">
        <v>1462</v>
      </c>
      <c r="D273" s="14">
        <v>130</v>
      </c>
      <c r="E273" s="14" t="s">
        <v>1402</v>
      </c>
      <c r="F273" s="14" t="s">
        <v>850</v>
      </c>
      <c r="G273" s="14" t="s">
        <v>851</v>
      </c>
      <c r="H273" s="14">
        <v>2</v>
      </c>
      <c r="I273" s="14" t="s">
        <v>852</v>
      </c>
      <c r="J273" s="14" t="s">
        <v>1403</v>
      </c>
      <c r="K273" s="14">
        <v>2024</v>
      </c>
      <c r="L273" s="42">
        <v>2024</v>
      </c>
      <c r="M273" s="43">
        <v>45180</v>
      </c>
      <c r="N273" s="14" t="s">
        <v>36</v>
      </c>
      <c r="O273" s="14" t="s">
        <v>793</v>
      </c>
      <c r="P273" s="14">
        <v>857</v>
      </c>
      <c r="Q273" s="14" t="s">
        <v>1481</v>
      </c>
      <c r="R273" s="14">
        <v>1</v>
      </c>
      <c r="S273" s="14">
        <v>2</v>
      </c>
      <c r="T273" s="14" t="s">
        <v>1464</v>
      </c>
      <c r="U273" s="14">
        <v>1</v>
      </c>
      <c r="V273" s="42">
        <v>0</v>
      </c>
      <c r="W273" s="42">
        <v>0</v>
      </c>
      <c r="X273" s="42" t="s">
        <v>1406</v>
      </c>
      <c r="Y273" s="60">
        <v>45254</v>
      </c>
      <c r="Z273" s="14" t="s">
        <v>32</v>
      </c>
      <c r="AB273" s="14">
        <v>0</v>
      </c>
      <c r="AC273" s="14">
        <v>0</v>
      </c>
      <c r="AD273" s="14">
        <v>0</v>
      </c>
      <c r="AE273" s="14" t="s">
        <v>1446</v>
      </c>
      <c r="AG273" s="14" t="s">
        <v>1446</v>
      </c>
      <c r="AJ273" s="14">
        <v>0</v>
      </c>
      <c r="AK273" s="14" t="s">
        <v>1473</v>
      </c>
      <c r="AL273" s="14">
        <v>28209</v>
      </c>
      <c r="AM273" s="14" t="s">
        <v>1418</v>
      </c>
      <c r="AN273" s="14" t="s">
        <v>1429</v>
      </c>
      <c r="AO273" s="14">
        <v>28</v>
      </c>
      <c r="AP273" s="14" t="s">
        <v>1416</v>
      </c>
      <c r="AQ273" s="14">
        <v>0</v>
      </c>
      <c r="AR273" s="14" t="s">
        <v>1410</v>
      </c>
      <c r="AT273" s="14" t="s">
        <v>1417</v>
      </c>
      <c r="AU273" s="14" t="s">
        <v>1412</v>
      </c>
    </row>
    <row r="274" spans="1:47" x14ac:dyDescent="0.45">
      <c r="A274" s="42">
        <v>2413150066</v>
      </c>
      <c r="B274" s="14">
        <v>131</v>
      </c>
      <c r="C274" s="14" t="s">
        <v>1462</v>
      </c>
      <c r="D274" s="14">
        <v>130</v>
      </c>
      <c r="E274" s="14" t="s">
        <v>1402</v>
      </c>
      <c r="F274" s="14" t="s">
        <v>921</v>
      </c>
      <c r="G274" s="14" t="s">
        <v>922</v>
      </c>
      <c r="H274" s="14">
        <v>2</v>
      </c>
      <c r="I274" s="14" t="s">
        <v>585</v>
      </c>
      <c r="J274" s="14" t="s">
        <v>1403</v>
      </c>
      <c r="K274" s="14">
        <v>2024</v>
      </c>
      <c r="L274" s="42">
        <v>2024</v>
      </c>
      <c r="M274" s="43">
        <v>45180</v>
      </c>
      <c r="N274" s="14" t="s">
        <v>36</v>
      </c>
      <c r="O274" s="14" t="s">
        <v>793</v>
      </c>
      <c r="P274" s="14">
        <v>785</v>
      </c>
      <c r="Q274" s="14" t="s">
        <v>1491</v>
      </c>
      <c r="R274" s="14">
        <v>1</v>
      </c>
      <c r="S274" s="14">
        <v>2</v>
      </c>
      <c r="T274" s="14" t="s">
        <v>1464</v>
      </c>
      <c r="U274" s="14">
        <v>1</v>
      </c>
      <c r="V274" s="42">
        <v>0</v>
      </c>
      <c r="W274" s="42">
        <v>0</v>
      </c>
      <c r="X274" s="42" t="s">
        <v>1406</v>
      </c>
      <c r="Y274" s="60">
        <v>45250</v>
      </c>
      <c r="Z274" s="14" t="s">
        <v>32</v>
      </c>
      <c r="AB274" s="14">
        <v>0</v>
      </c>
      <c r="AC274" s="14">
        <v>0</v>
      </c>
      <c r="AD274" s="14">
        <v>0</v>
      </c>
      <c r="AE274" s="14" t="s">
        <v>1446</v>
      </c>
      <c r="AG274" s="14" t="s">
        <v>1446</v>
      </c>
      <c r="AJ274" s="14">
        <v>0</v>
      </c>
      <c r="AK274" s="14" t="s">
        <v>1473</v>
      </c>
      <c r="AL274" s="14">
        <v>28200</v>
      </c>
      <c r="AM274" s="14" t="s">
        <v>1418</v>
      </c>
      <c r="AN274" s="14" t="s">
        <v>1520</v>
      </c>
      <c r="AO274" s="14">
        <v>28</v>
      </c>
      <c r="AP274" s="14" t="s">
        <v>1416</v>
      </c>
      <c r="AQ274" s="14">
        <v>0</v>
      </c>
      <c r="AR274" s="14" t="s">
        <v>1410</v>
      </c>
      <c r="AT274" s="14" t="s">
        <v>1417</v>
      </c>
      <c r="AU274" s="14" t="s">
        <v>1412</v>
      </c>
    </row>
    <row r="275" spans="1:47" x14ac:dyDescent="0.45">
      <c r="A275" s="42">
        <v>2413150008</v>
      </c>
      <c r="B275" s="14">
        <v>131</v>
      </c>
      <c r="C275" s="14" t="s">
        <v>1462</v>
      </c>
      <c r="D275" s="14">
        <v>130</v>
      </c>
      <c r="E275" s="14" t="s">
        <v>1402</v>
      </c>
      <c r="F275" s="14" t="s">
        <v>728</v>
      </c>
      <c r="G275" s="14" t="s">
        <v>729</v>
      </c>
      <c r="H275" s="14">
        <v>2</v>
      </c>
      <c r="I275" s="14" t="s">
        <v>730</v>
      </c>
      <c r="J275" s="14" t="s">
        <v>1403</v>
      </c>
      <c r="K275" s="14">
        <v>2024</v>
      </c>
      <c r="L275" s="42">
        <v>2024</v>
      </c>
      <c r="M275" s="43">
        <v>45173</v>
      </c>
      <c r="N275" s="14" t="s">
        <v>36</v>
      </c>
      <c r="O275" s="14" t="s">
        <v>708</v>
      </c>
      <c r="P275" s="14">
        <v>490</v>
      </c>
      <c r="Q275" s="14" t="s">
        <v>1508</v>
      </c>
      <c r="R275" s="14">
        <v>2</v>
      </c>
      <c r="S275" s="14">
        <v>8</v>
      </c>
      <c r="T275" s="14" t="s">
        <v>1503</v>
      </c>
      <c r="U275" s="14">
        <v>6</v>
      </c>
      <c r="V275" s="42">
        <v>0</v>
      </c>
      <c r="W275" s="42">
        <v>0</v>
      </c>
      <c r="X275" s="42" t="s">
        <v>1406</v>
      </c>
      <c r="Y275" s="60">
        <v>45204</v>
      </c>
      <c r="Z275" s="14" t="s">
        <v>32</v>
      </c>
      <c r="AB275" s="14">
        <v>0</v>
      </c>
      <c r="AC275" s="14">
        <v>0</v>
      </c>
      <c r="AD275" s="14">
        <v>0</v>
      </c>
      <c r="AE275" s="14" t="s">
        <v>1446</v>
      </c>
      <c r="AG275" s="14" t="s">
        <v>1446</v>
      </c>
      <c r="AJ275" s="14">
        <v>0</v>
      </c>
      <c r="AK275" s="14" t="s">
        <v>1407</v>
      </c>
      <c r="AL275" s="14">
        <v>28168</v>
      </c>
      <c r="AM275" s="14" t="s">
        <v>1418</v>
      </c>
      <c r="AN275" s="14" t="s">
        <v>1475</v>
      </c>
      <c r="AO275" s="14">
        <v>28</v>
      </c>
      <c r="AP275" s="14" t="s">
        <v>1416</v>
      </c>
      <c r="AQ275" s="14">
        <v>0</v>
      </c>
      <c r="AR275" s="14" t="s">
        <v>1410</v>
      </c>
      <c r="AT275" s="14" t="s">
        <v>1417</v>
      </c>
      <c r="AU275" s="14" t="s">
        <v>1412</v>
      </c>
    </row>
  </sheetData>
  <autoFilter ref="A1:AU275" xr:uid="{00000000-0009-0000-0000-000000000000}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Y364"/>
  <sheetViews>
    <sheetView workbookViewId="0"/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10" max="10" width="21" style="4" bestFit="1" customWidth="1"/>
    <col min="17" max="17" width="11.59765625" bestFit="1" customWidth="1"/>
  </cols>
  <sheetData>
    <row r="1" spans="1:25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1">
        <v>2</v>
      </c>
      <c r="J2" s="3" t="s">
        <v>29</v>
      </c>
      <c r="K2" s="1">
        <v>28025</v>
      </c>
      <c r="L2" s="1" t="s">
        <v>30</v>
      </c>
      <c r="M2" s="1" t="s">
        <v>31</v>
      </c>
      <c r="N2" s="1">
        <v>2024</v>
      </c>
      <c r="O2" s="1">
        <v>1</v>
      </c>
      <c r="P2" s="1" t="s">
        <v>32</v>
      </c>
      <c r="Q2" s="1">
        <v>2405750001</v>
      </c>
      <c r="R2" s="1" t="s">
        <v>33</v>
      </c>
      <c r="S2" s="1" t="s">
        <v>34</v>
      </c>
      <c r="T2" s="1" t="s">
        <v>35</v>
      </c>
      <c r="U2" s="1">
        <v>0</v>
      </c>
      <c r="V2" s="1" t="s">
        <v>36</v>
      </c>
      <c r="W2" s="1" t="s">
        <v>37</v>
      </c>
      <c r="X2" s="1">
        <v>2</v>
      </c>
      <c r="Y2" s="1">
        <v>0</v>
      </c>
    </row>
    <row r="3" spans="1:25" hidden="1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1">
        <v>1</v>
      </c>
      <c r="J3" s="3" t="s">
        <v>39</v>
      </c>
      <c r="K3" s="1">
        <v>31009</v>
      </c>
      <c r="L3" s="1" t="s">
        <v>40</v>
      </c>
      <c r="M3" s="1" t="s">
        <v>41</v>
      </c>
      <c r="N3" s="1">
        <v>2023</v>
      </c>
      <c r="O3" s="1">
        <v>1</v>
      </c>
      <c r="P3" s="1" t="s">
        <v>32</v>
      </c>
      <c r="Q3" s="1">
        <v>2405750002</v>
      </c>
      <c r="R3" s="1" t="s">
        <v>42</v>
      </c>
      <c r="S3" s="1" t="s">
        <v>43</v>
      </c>
      <c r="T3" s="1" t="s">
        <v>44</v>
      </c>
      <c r="U3" s="1">
        <v>0</v>
      </c>
      <c r="V3" s="1" t="s">
        <v>36</v>
      </c>
      <c r="W3" s="1" t="s">
        <v>45</v>
      </c>
      <c r="X3" s="1">
        <v>2</v>
      </c>
      <c r="Y3" s="1">
        <v>0</v>
      </c>
    </row>
    <row r="4" spans="1:25" hidden="1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1">
        <v>1</v>
      </c>
      <c r="J4" s="3" t="s">
        <v>39</v>
      </c>
      <c r="K4" s="1">
        <v>28120</v>
      </c>
      <c r="L4" s="1" t="s">
        <v>30</v>
      </c>
      <c r="M4" s="1" t="s">
        <v>47</v>
      </c>
      <c r="N4" s="1">
        <v>2024</v>
      </c>
      <c r="O4" s="1">
        <v>1</v>
      </c>
      <c r="P4" s="1" t="s">
        <v>32</v>
      </c>
      <c r="Q4" s="1">
        <v>2405750003</v>
      </c>
      <c r="R4" s="1" t="s">
        <v>48</v>
      </c>
      <c r="S4" s="1" t="s">
        <v>49</v>
      </c>
      <c r="T4" s="1" t="s">
        <v>50</v>
      </c>
      <c r="U4" s="1">
        <v>0</v>
      </c>
      <c r="V4" s="1" t="s">
        <v>36</v>
      </c>
      <c r="W4" s="1" t="s">
        <v>37</v>
      </c>
      <c r="X4" s="1">
        <v>2</v>
      </c>
      <c r="Y4" s="1">
        <v>0</v>
      </c>
    </row>
    <row r="5" spans="1:25" hidden="1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1">
        <v>2</v>
      </c>
      <c r="J5" s="3" t="s">
        <v>29</v>
      </c>
      <c r="K5" s="1">
        <v>28042</v>
      </c>
      <c r="L5" s="1" t="s">
        <v>30</v>
      </c>
      <c r="M5" s="1" t="s">
        <v>53</v>
      </c>
      <c r="N5" s="1">
        <v>2024</v>
      </c>
      <c r="O5" s="1"/>
      <c r="P5" s="1"/>
      <c r="Q5" s="1">
        <v>2405750004</v>
      </c>
      <c r="R5" s="1" t="s">
        <v>54</v>
      </c>
      <c r="S5" s="1" t="s">
        <v>55</v>
      </c>
      <c r="T5" s="1" t="s">
        <v>56</v>
      </c>
      <c r="U5" s="1">
        <v>0</v>
      </c>
      <c r="V5" s="1" t="s">
        <v>36</v>
      </c>
      <c r="W5" s="1" t="s">
        <v>37</v>
      </c>
      <c r="X5" s="1">
        <v>1</v>
      </c>
      <c r="Y5" s="1">
        <v>0</v>
      </c>
    </row>
    <row r="6" spans="1:25" hidden="1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1">
        <v>2</v>
      </c>
      <c r="J6" s="3" t="s">
        <v>29</v>
      </c>
      <c r="K6" s="1">
        <v>28282</v>
      </c>
      <c r="L6" s="1" t="s">
        <v>30</v>
      </c>
      <c r="M6" s="1" t="s">
        <v>58</v>
      </c>
      <c r="N6" s="1">
        <v>2024</v>
      </c>
      <c r="O6" s="1">
        <v>1</v>
      </c>
      <c r="P6" s="1" t="s">
        <v>32</v>
      </c>
      <c r="Q6" s="1">
        <v>2405750005</v>
      </c>
      <c r="R6" s="1" t="s">
        <v>59</v>
      </c>
      <c r="S6" s="1" t="s">
        <v>60</v>
      </c>
      <c r="T6" s="1" t="s">
        <v>61</v>
      </c>
      <c r="U6" s="1">
        <v>0</v>
      </c>
      <c r="V6" s="1" t="s">
        <v>36</v>
      </c>
      <c r="W6" s="1" t="s">
        <v>37</v>
      </c>
      <c r="X6" s="1">
        <v>2</v>
      </c>
      <c r="Y6" s="1">
        <v>0</v>
      </c>
    </row>
    <row r="7" spans="1:25" hidden="1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1">
        <v>2</v>
      </c>
      <c r="J7" s="3" t="s">
        <v>29</v>
      </c>
      <c r="K7" s="1">
        <v>28288</v>
      </c>
      <c r="L7" s="1" t="s">
        <v>30</v>
      </c>
      <c r="M7" s="1" t="s">
        <v>63</v>
      </c>
      <c r="N7" s="1">
        <v>2024</v>
      </c>
      <c r="O7" s="1">
        <v>1</v>
      </c>
      <c r="P7" s="1" t="s">
        <v>32</v>
      </c>
      <c r="Q7" s="1">
        <v>2405750006</v>
      </c>
      <c r="R7" s="1" t="s">
        <v>64</v>
      </c>
      <c r="S7" s="1" t="s">
        <v>65</v>
      </c>
      <c r="T7" s="1" t="s">
        <v>66</v>
      </c>
      <c r="U7" s="1">
        <v>0</v>
      </c>
      <c r="V7" s="1" t="s">
        <v>36</v>
      </c>
      <c r="W7" s="1" t="s">
        <v>37</v>
      </c>
      <c r="X7" s="1">
        <v>2</v>
      </c>
      <c r="Y7" s="1">
        <v>0</v>
      </c>
    </row>
    <row r="8" spans="1:25" hidden="1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1">
        <v>3</v>
      </c>
      <c r="J8" s="3" t="s">
        <v>68</v>
      </c>
      <c r="K8" s="1">
        <v>28120</v>
      </c>
      <c r="L8" s="1" t="s">
        <v>30</v>
      </c>
      <c r="M8" s="1" t="s">
        <v>47</v>
      </c>
      <c r="N8" s="1">
        <v>2024</v>
      </c>
      <c r="O8" s="1">
        <v>1</v>
      </c>
      <c r="P8" s="1" t="s">
        <v>32</v>
      </c>
      <c r="Q8" s="1">
        <v>2405750007</v>
      </c>
      <c r="R8" s="1" t="s">
        <v>69</v>
      </c>
      <c r="S8" s="1" t="s">
        <v>70</v>
      </c>
      <c r="T8" s="1" t="s">
        <v>71</v>
      </c>
      <c r="U8" s="1">
        <v>0</v>
      </c>
      <c r="V8" s="1" t="s">
        <v>36</v>
      </c>
      <c r="W8" s="1" t="s">
        <v>37</v>
      </c>
      <c r="X8" s="1">
        <v>2</v>
      </c>
      <c r="Y8" s="1">
        <v>0</v>
      </c>
    </row>
    <row r="9" spans="1:25" hidden="1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1">
        <v>1</v>
      </c>
      <c r="J9" s="3" t="s">
        <v>39</v>
      </c>
      <c r="K9" s="1">
        <v>28282</v>
      </c>
      <c r="L9" s="1" t="s">
        <v>30</v>
      </c>
      <c r="M9" s="1" t="s">
        <v>58</v>
      </c>
      <c r="N9" s="1">
        <v>2024</v>
      </c>
      <c r="O9" s="1">
        <v>1</v>
      </c>
      <c r="P9" s="1" t="s">
        <v>32</v>
      </c>
      <c r="Q9" s="1">
        <v>2405750008</v>
      </c>
      <c r="R9" s="1" t="s">
        <v>72</v>
      </c>
      <c r="S9" s="1" t="s">
        <v>73</v>
      </c>
      <c r="T9" s="1" t="s">
        <v>74</v>
      </c>
      <c r="U9" s="1">
        <v>0</v>
      </c>
      <c r="V9" s="1" t="s">
        <v>36</v>
      </c>
      <c r="W9" s="1" t="s">
        <v>37</v>
      </c>
      <c r="X9" s="1">
        <v>2</v>
      </c>
      <c r="Y9" s="1">
        <v>0</v>
      </c>
    </row>
    <row r="10" spans="1:25" hidden="1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1">
        <v>2</v>
      </c>
      <c r="J10" s="3" t="s">
        <v>29</v>
      </c>
      <c r="K10" s="1">
        <v>38040</v>
      </c>
      <c r="L10" s="1" t="s">
        <v>75</v>
      </c>
      <c r="M10" s="1" t="s">
        <v>76</v>
      </c>
      <c r="N10" s="1">
        <v>2024</v>
      </c>
      <c r="O10" s="1">
        <v>1</v>
      </c>
      <c r="P10" s="1" t="s">
        <v>32</v>
      </c>
      <c r="Q10" s="1">
        <v>2405750009</v>
      </c>
      <c r="R10" s="1" t="s">
        <v>77</v>
      </c>
      <c r="S10" s="1" t="s">
        <v>78</v>
      </c>
      <c r="T10" s="1" t="s">
        <v>79</v>
      </c>
      <c r="U10" s="1">
        <v>0</v>
      </c>
      <c r="V10" s="1" t="s">
        <v>36</v>
      </c>
      <c r="W10" s="1" t="s">
        <v>80</v>
      </c>
      <c r="X10" s="1">
        <v>1</v>
      </c>
      <c r="Y10" s="1">
        <v>0</v>
      </c>
    </row>
    <row r="11" spans="1:25" hidden="1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1">
        <v>2</v>
      </c>
      <c r="J11" s="3" t="s">
        <v>29</v>
      </c>
      <c r="K11" s="1">
        <v>28066</v>
      </c>
      <c r="L11" s="1" t="s">
        <v>30</v>
      </c>
      <c r="M11" s="1" t="s">
        <v>81</v>
      </c>
      <c r="N11" s="1">
        <v>2024</v>
      </c>
      <c r="O11" s="1">
        <v>1</v>
      </c>
      <c r="P11" s="1" t="s">
        <v>32</v>
      </c>
      <c r="Q11" s="1">
        <v>2405750010</v>
      </c>
      <c r="R11" s="1" t="s">
        <v>82</v>
      </c>
      <c r="S11" s="1" t="s">
        <v>83</v>
      </c>
      <c r="T11" s="1" t="s">
        <v>84</v>
      </c>
      <c r="U11" s="1">
        <v>0</v>
      </c>
      <c r="V11" s="1" t="s">
        <v>36</v>
      </c>
      <c r="W11" s="1" t="s">
        <v>37</v>
      </c>
      <c r="X11" s="1">
        <v>1</v>
      </c>
      <c r="Y11" s="1">
        <v>0</v>
      </c>
    </row>
    <row r="12" spans="1:25" hidden="1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1">
        <v>1</v>
      </c>
      <c r="J12" s="3" t="s">
        <v>39</v>
      </c>
      <c r="K12" s="1">
        <v>28282</v>
      </c>
      <c r="L12" s="1" t="s">
        <v>30</v>
      </c>
      <c r="M12" s="1" t="s">
        <v>58</v>
      </c>
      <c r="N12" s="1">
        <v>2024</v>
      </c>
      <c r="O12" s="1">
        <v>1</v>
      </c>
      <c r="P12" s="1" t="s">
        <v>32</v>
      </c>
      <c r="Q12" s="1">
        <v>2405750011</v>
      </c>
      <c r="R12" s="1" t="s">
        <v>86</v>
      </c>
      <c r="S12" s="1" t="s">
        <v>87</v>
      </c>
      <c r="T12" s="1" t="s">
        <v>88</v>
      </c>
      <c r="U12" s="1">
        <v>0</v>
      </c>
      <c r="V12" s="1" t="s">
        <v>36</v>
      </c>
      <c r="W12" s="1" t="s">
        <v>37</v>
      </c>
      <c r="X12" s="1">
        <v>2</v>
      </c>
      <c r="Y12" s="1">
        <v>0</v>
      </c>
    </row>
    <row r="13" spans="1:25" hidden="1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1">
        <v>2</v>
      </c>
      <c r="J13" s="3" t="s">
        <v>29</v>
      </c>
      <c r="K13" s="1">
        <v>28226</v>
      </c>
      <c r="L13" s="1" t="s">
        <v>30</v>
      </c>
      <c r="M13" s="1" t="s">
        <v>90</v>
      </c>
      <c r="N13" s="1">
        <v>2024</v>
      </c>
      <c r="O13" s="1">
        <v>1</v>
      </c>
      <c r="P13" s="1" t="s">
        <v>32</v>
      </c>
      <c r="Q13" s="1">
        <v>2405750012</v>
      </c>
      <c r="R13" s="1" t="s">
        <v>91</v>
      </c>
      <c r="S13" s="1" t="s">
        <v>92</v>
      </c>
      <c r="T13" s="1" t="s">
        <v>93</v>
      </c>
      <c r="U13" s="1">
        <v>0</v>
      </c>
      <c r="V13" s="1" t="s">
        <v>36</v>
      </c>
      <c r="W13" s="1" t="s">
        <v>37</v>
      </c>
      <c r="X13" s="1">
        <v>2</v>
      </c>
      <c r="Y13" s="1">
        <v>0</v>
      </c>
    </row>
    <row r="14" spans="1:25" hidden="1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1">
        <v>8</v>
      </c>
      <c r="J14" s="3" t="s">
        <v>96</v>
      </c>
      <c r="K14" s="1">
        <v>28034</v>
      </c>
      <c r="L14" s="1" t="s">
        <v>30</v>
      </c>
      <c r="M14" s="1" t="s">
        <v>97</v>
      </c>
      <c r="N14" s="1">
        <v>2024</v>
      </c>
      <c r="O14" s="1">
        <v>1</v>
      </c>
      <c r="P14" s="1" t="s">
        <v>32</v>
      </c>
      <c r="Q14" s="1">
        <v>2405750013</v>
      </c>
      <c r="R14" s="1" t="s">
        <v>98</v>
      </c>
      <c r="S14" s="1" t="s">
        <v>99</v>
      </c>
      <c r="T14" s="1" t="s">
        <v>100</v>
      </c>
      <c r="U14" s="1">
        <v>0</v>
      </c>
      <c r="V14" s="1" t="s">
        <v>36</v>
      </c>
      <c r="W14" s="1" t="s">
        <v>37</v>
      </c>
      <c r="X14" s="1">
        <v>2</v>
      </c>
      <c r="Y14" s="1">
        <v>0</v>
      </c>
    </row>
    <row r="15" spans="1:25" hidden="1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1">
        <v>2</v>
      </c>
      <c r="J15" s="3" t="s">
        <v>29</v>
      </c>
      <c r="K15" s="1">
        <v>28012</v>
      </c>
      <c r="L15" s="1" t="s">
        <v>30</v>
      </c>
      <c r="M15" s="1" t="s">
        <v>101</v>
      </c>
      <c r="N15" s="1">
        <v>2024</v>
      </c>
      <c r="O15" s="1">
        <v>1</v>
      </c>
      <c r="P15" s="1" t="s">
        <v>32</v>
      </c>
      <c r="Q15" s="1">
        <v>2405750014</v>
      </c>
      <c r="R15" s="1" t="s">
        <v>102</v>
      </c>
      <c r="S15" s="1" t="s">
        <v>103</v>
      </c>
      <c r="T15" s="1" t="s">
        <v>104</v>
      </c>
      <c r="U15" s="1">
        <v>0</v>
      </c>
      <c r="V15" s="1" t="s">
        <v>36</v>
      </c>
      <c r="W15" s="1" t="s">
        <v>37</v>
      </c>
      <c r="X15" s="1">
        <v>2</v>
      </c>
      <c r="Y15" s="1">
        <v>0</v>
      </c>
    </row>
    <row r="16" spans="1:25" hidden="1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1">
        <v>2</v>
      </c>
      <c r="J16" s="3" t="s">
        <v>29</v>
      </c>
      <c r="K16" s="1">
        <v>28243</v>
      </c>
      <c r="L16" s="1" t="s">
        <v>30</v>
      </c>
      <c r="M16" s="1" t="s">
        <v>105</v>
      </c>
      <c r="N16" s="1">
        <v>2024</v>
      </c>
      <c r="O16" s="1">
        <v>1</v>
      </c>
      <c r="P16" s="1" t="s">
        <v>32</v>
      </c>
      <c r="Q16" s="1">
        <v>2405750015</v>
      </c>
      <c r="R16" s="1" t="s">
        <v>106</v>
      </c>
      <c r="S16" s="1" t="s">
        <v>107</v>
      </c>
      <c r="T16" s="1" t="s">
        <v>108</v>
      </c>
      <c r="U16" s="1">
        <v>0</v>
      </c>
      <c r="V16" s="1" t="s">
        <v>36</v>
      </c>
      <c r="W16" s="1" t="s">
        <v>37</v>
      </c>
      <c r="X16" s="1">
        <v>2</v>
      </c>
      <c r="Y16" s="1">
        <v>0</v>
      </c>
    </row>
    <row r="17" spans="1:25" hidden="1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1">
        <v>1</v>
      </c>
      <c r="J17" s="3" t="s">
        <v>39</v>
      </c>
      <c r="K17" s="1">
        <v>36030</v>
      </c>
      <c r="L17" s="1" t="s">
        <v>109</v>
      </c>
      <c r="M17" s="1" t="s">
        <v>110</v>
      </c>
      <c r="N17" s="1">
        <v>2024</v>
      </c>
      <c r="O17" s="1">
        <v>1</v>
      </c>
      <c r="P17" s="1" t="s">
        <v>32</v>
      </c>
      <c r="Q17" s="1">
        <v>2405750016</v>
      </c>
      <c r="R17" s="1" t="s">
        <v>111</v>
      </c>
      <c r="S17" s="1" t="s">
        <v>112</v>
      </c>
      <c r="T17" s="1" t="s">
        <v>113</v>
      </c>
      <c r="U17" s="1">
        <v>0</v>
      </c>
      <c r="V17" s="1" t="s">
        <v>36</v>
      </c>
      <c r="W17" s="1" t="s">
        <v>114</v>
      </c>
      <c r="X17" s="1">
        <v>2</v>
      </c>
      <c r="Y17" s="1">
        <v>0</v>
      </c>
    </row>
    <row r="18" spans="1:25" hidden="1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1">
        <v>2</v>
      </c>
      <c r="J18" s="3" t="s">
        <v>29</v>
      </c>
      <c r="K18" s="1">
        <v>31006</v>
      </c>
      <c r="L18" s="1" t="s">
        <v>40</v>
      </c>
      <c r="M18" s="1" t="s">
        <v>115</v>
      </c>
      <c r="N18" s="1">
        <v>2024</v>
      </c>
      <c r="O18" s="1">
        <v>1</v>
      </c>
      <c r="P18" s="1" t="s">
        <v>32</v>
      </c>
      <c r="Q18" s="1">
        <v>2405750017</v>
      </c>
      <c r="R18" s="1" t="s">
        <v>116</v>
      </c>
      <c r="S18" s="1" t="s">
        <v>117</v>
      </c>
      <c r="T18" s="1" t="s">
        <v>118</v>
      </c>
      <c r="U18" s="1">
        <v>0</v>
      </c>
      <c r="V18" s="1" t="s">
        <v>36</v>
      </c>
      <c r="W18" s="1" t="s">
        <v>37</v>
      </c>
      <c r="X18" s="1">
        <v>2</v>
      </c>
      <c r="Y18" s="1">
        <v>0</v>
      </c>
    </row>
    <row r="19" spans="1:25" hidden="1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1">
        <v>3</v>
      </c>
      <c r="J19" s="3" t="s">
        <v>68</v>
      </c>
      <c r="K19" s="1">
        <v>28120</v>
      </c>
      <c r="L19" s="1" t="s">
        <v>30</v>
      </c>
      <c r="M19" s="1" t="s">
        <v>47</v>
      </c>
      <c r="N19" s="1">
        <v>2024</v>
      </c>
      <c r="O19" s="1">
        <v>1</v>
      </c>
      <c r="P19" s="1" t="s">
        <v>32</v>
      </c>
      <c r="Q19" s="1">
        <v>2405750018</v>
      </c>
      <c r="R19" s="1" t="s">
        <v>119</v>
      </c>
      <c r="S19" s="1" t="s">
        <v>120</v>
      </c>
      <c r="T19" s="1" t="s">
        <v>121</v>
      </c>
      <c r="U19" s="1">
        <v>0</v>
      </c>
      <c r="V19" s="1" t="s">
        <v>36</v>
      </c>
      <c r="W19" s="1" t="s">
        <v>37</v>
      </c>
      <c r="X19" s="1">
        <v>2</v>
      </c>
      <c r="Y19" s="1">
        <v>0</v>
      </c>
    </row>
    <row r="20" spans="1:25" hidden="1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1">
        <v>1</v>
      </c>
      <c r="J20" s="3" t="s">
        <v>39</v>
      </c>
      <c r="K20" s="1">
        <v>28117</v>
      </c>
      <c r="L20" s="1" t="s">
        <v>30</v>
      </c>
      <c r="M20" s="1" t="s">
        <v>122</v>
      </c>
      <c r="N20" s="1">
        <v>2024</v>
      </c>
      <c r="O20" s="1">
        <v>1</v>
      </c>
      <c r="P20" s="1" t="s">
        <v>32</v>
      </c>
      <c r="Q20" s="1">
        <v>2405750019</v>
      </c>
      <c r="R20" s="1" t="s">
        <v>123</v>
      </c>
      <c r="S20" s="1" t="s">
        <v>124</v>
      </c>
      <c r="T20" s="1" t="s">
        <v>125</v>
      </c>
      <c r="U20" s="1">
        <v>0</v>
      </c>
      <c r="V20" s="1" t="s">
        <v>36</v>
      </c>
      <c r="W20" s="1" t="s">
        <v>37</v>
      </c>
      <c r="X20" s="1">
        <v>2</v>
      </c>
      <c r="Y20" s="1">
        <v>0</v>
      </c>
    </row>
    <row r="21" spans="1:25" hidden="1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1">
        <v>2</v>
      </c>
      <c r="J21" s="3" t="s">
        <v>29</v>
      </c>
      <c r="K21" s="1">
        <v>31006</v>
      </c>
      <c r="L21" s="1" t="s">
        <v>40</v>
      </c>
      <c r="M21" s="1" t="s">
        <v>115</v>
      </c>
      <c r="N21" s="1">
        <v>2024</v>
      </c>
      <c r="O21" s="1">
        <v>1</v>
      </c>
      <c r="P21" s="1" t="s">
        <v>32</v>
      </c>
      <c r="Q21" s="1">
        <v>2405750020</v>
      </c>
      <c r="R21" s="1" t="s">
        <v>126</v>
      </c>
      <c r="S21" s="1" t="s">
        <v>127</v>
      </c>
      <c r="T21" s="1" t="s">
        <v>128</v>
      </c>
      <c r="U21" s="1">
        <v>0</v>
      </c>
      <c r="V21" s="1" t="s">
        <v>36</v>
      </c>
      <c r="W21" s="1" t="s">
        <v>45</v>
      </c>
      <c r="X21" s="1">
        <v>2</v>
      </c>
      <c r="Y21" s="1">
        <v>0</v>
      </c>
    </row>
    <row r="22" spans="1:25" hidden="1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1">
        <v>2</v>
      </c>
      <c r="J22" s="3" t="s">
        <v>29</v>
      </c>
      <c r="K22" s="1">
        <v>28025</v>
      </c>
      <c r="L22" s="1" t="s">
        <v>30</v>
      </c>
      <c r="M22" s="1" t="s">
        <v>31</v>
      </c>
      <c r="N22" s="1">
        <v>2024</v>
      </c>
      <c r="O22" s="1">
        <v>1</v>
      </c>
      <c r="P22" s="1" t="s">
        <v>32</v>
      </c>
      <c r="Q22" s="1">
        <v>2405750021</v>
      </c>
      <c r="R22" s="1" t="s">
        <v>129</v>
      </c>
      <c r="S22" s="1" t="s">
        <v>130</v>
      </c>
      <c r="T22" s="1" t="s">
        <v>131</v>
      </c>
      <c r="U22" s="1">
        <v>0</v>
      </c>
      <c r="V22" s="1" t="s">
        <v>36</v>
      </c>
      <c r="W22" s="1" t="s">
        <v>37</v>
      </c>
      <c r="X22" s="1">
        <v>2</v>
      </c>
      <c r="Y22" s="1">
        <v>0</v>
      </c>
    </row>
    <row r="23" spans="1:25" hidden="1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1">
        <v>3</v>
      </c>
      <c r="J23" s="3" t="s">
        <v>68</v>
      </c>
      <c r="K23" s="1">
        <v>28034</v>
      </c>
      <c r="L23" s="1" t="s">
        <v>30</v>
      </c>
      <c r="M23" s="1" t="s">
        <v>97</v>
      </c>
      <c r="N23" s="1">
        <v>2017</v>
      </c>
      <c r="O23" s="1">
        <v>1</v>
      </c>
      <c r="P23" s="1" t="s">
        <v>32</v>
      </c>
      <c r="Q23" s="1">
        <v>2405750022</v>
      </c>
      <c r="R23" s="1" t="s">
        <v>132</v>
      </c>
      <c r="S23" s="1" t="s">
        <v>133</v>
      </c>
      <c r="T23" s="1" t="s">
        <v>134</v>
      </c>
      <c r="U23" s="1">
        <v>0</v>
      </c>
      <c r="V23" s="1" t="s">
        <v>36</v>
      </c>
      <c r="W23" s="1" t="s">
        <v>37</v>
      </c>
      <c r="X23" s="1">
        <v>2</v>
      </c>
      <c r="Y23" s="1">
        <v>0</v>
      </c>
    </row>
    <row r="24" spans="1:25" hidden="1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1">
        <v>5</v>
      </c>
      <c r="J24" s="3" t="s">
        <v>137</v>
      </c>
      <c r="K24" s="1">
        <v>28033</v>
      </c>
      <c r="L24" s="1" t="s">
        <v>30</v>
      </c>
      <c r="M24" s="1" t="s">
        <v>138</v>
      </c>
      <c r="N24" s="1">
        <v>2024</v>
      </c>
      <c r="O24" s="1">
        <v>1</v>
      </c>
      <c r="P24" s="1" t="s">
        <v>32</v>
      </c>
      <c r="Q24" s="1">
        <v>2405750023</v>
      </c>
      <c r="R24" s="1" t="s">
        <v>139</v>
      </c>
      <c r="S24" s="1" t="s">
        <v>140</v>
      </c>
      <c r="T24" s="1" t="s">
        <v>141</v>
      </c>
      <c r="U24" s="1">
        <v>0</v>
      </c>
      <c r="V24" s="1" t="s">
        <v>36</v>
      </c>
      <c r="W24" s="1" t="s">
        <v>37</v>
      </c>
      <c r="X24" s="1">
        <v>2</v>
      </c>
      <c r="Y24" s="1">
        <v>0</v>
      </c>
    </row>
    <row r="25" spans="1:25" hidden="1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1">
        <v>1</v>
      </c>
      <c r="J25" s="3" t="s">
        <v>39</v>
      </c>
      <c r="K25" s="1">
        <v>28117</v>
      </c>
      <c r="L25" s="1" t="s">
        <v>30</v>
      </c>
      <c r="M25" s="1" t="s">
        <v>122</v>
      </c>
      <c r="N25" s="1">
        <v>2024</v>
      </c>
      <c r="O25" s="1">
        <v>1</v>
      </c>
      <c r="P25" s="1" t="s">
        <v>32</v>
      </c>
      <c r="Q25" s="1">
        <v>2405750024</v>
      </c>
      <c r="R25" s="1" t="s">
        <v>142</v>
      </c>
      <c r="S25" s="1" t="s">
        <v>143</v>
      </c>
      <c r="T25" s="1" t="s">
        <v>144</v>
      </c>
      <c r="U25" s="1">
        <v>0</v>
      </c>
      <c r="V25" s="1" t="s">
        <v>36</v>
      </c>
      <c r="W25" s="1" t="s">
        <v>37</v>
      </c>
      <c r="X25" s="1">
        <v>2</v>
      </c>
      <c r="Y25" s="1">
        <v>0</v>
      </c>
    </row>
    <row r="26" spans="1:25" hidden="1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1">
        <v>1</v>
      </c>
      <c r="J26" s="3" t="s">
        <v>39</v>
      </c>
      <c r="K26" s="1">
        <v>33012</v>
      </c>
      <c r="L26" s="1" t="s">
        <v>145</v>
      </c>
      <c r="M26" s="1" t="s">
        <v>146</v>
      </c>
      <c r="N26" s="1">
        <v>2024</v>
      </c>
      <c r="O26" s="1"/>
      <c r="P26" s="1"/>
      <c r="Q26" s="1">
        <v>2405750025</v>
      </c>
      <c r="R26" s="1" t="s">
        <v>147</v>
      </c>
      <c r="S26" s="1" t="s">
        <v>148</v>
      </c>
      <c r="T26" s="1" t="s">
        <v>149</v>
      </c>
      <c r="U26" s="1">
        <v>0</v>
      </c>
      <c r="V26" s="1" t="s">
        <v>36</v>
      </c>
      <c r="W26" s="1" t="s">
        <v>150</v>
      </c>
      <c r="X26" s="1">
        <v>2</v>
      </c>
      <c r="Y26" s="1">
        <v>0</v>
      </c>
    </row>
    <row r="27" spans="1:25" hidden="1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1">
        <v>5</v>
      </c>
      <c r="J27" s="3" t="s">
        <v>137</v>
      </c>
      <c r="K27" s="1">
        <v>28025</v>
      </c>
      <c r="L27" s="1" t="s">
        <v>30</v>
      </c>
      <c r="M27" s="1" t="s">
        <v>31</v>
      </c>
      <c r="N27" s="1">
        <v>2024</v>
      </c>
      <c r="O27" s="1">
        <v>1</v>
      </c>
      <c r="P27" s="1" t="s">
        <v>32</v>
      </c>
      <c r="Q27" s="1">
        <v>2405750026</v>
      </c>
      <c r="R27" s="1" t="s">
        <v>152</v>
      </c>
      <c r="S27" s="1" t="s">
        <v>153</v>
      </c>
      <c r="T27" s="1" t="s">
        <v>154</v>
      </c>
      <c r="U27" s="1">
        <v>0</v>
      </c>
      <c r="V27" s="1" t="s">
        <v>36</v>
      </c>
      <c r="W27" s="1" t="s">
        <v>37</v>
      </c>
      <c r="X27" s="1">
        <v>2</v>
      </c>
      <c r="Y27" s="1">
        <v>0</v>
      </c>
    </row>
    <row r="28" spans="1:25" hidden="1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1">
        <v>1</v>
      </c>
      <c r="J28" s="3" t="s">
        <v>39</v>
      </c>
      <c r="K28" s="1">
        <v>28282</v>
      </c>
      <c r="L28" s="1" t="s">
        <v>30</v>
      </c>
      <c r="M28" s="1" t="s">
        <v>58</v>
      </c>
      <c r="N28" s="1">
        <v>2024</v>
      </c>
      <c r="O28" s="1">
        <v>1</v>
      </c>
      <c r="P28" s="1" t="s">
        <v>32</v>
      </c>
      <c r="Q28" s="1">
        <v>2405750027</v>
      </c>
      <c r="R28" s="1" t="s">
        <v>155</v>
      </c>
      <c r="S28" s="1" t="s">
        <v>156</v>
      </c>
      <c r="T28" s="1" t="s">
        <v>157</v>
      </c>
      <c r="U28" s="1">
        <v>0</v>
      </c>
      <c r="V28" s="1" t="s">
        <v>36</v>
      </c>
      <c r="W28" s="1" t="s">
        <v>37</v>
      </c>
      <c r="X28" s="1">
        <v>2</v>
      </c>
      <c r="Y28" s="1">
        <v>0</v>
      </c>
    </row>
    <row r="29" spans="1:25" hidden="1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1">
        <v>1</v>
      </c>
      <c r="J29" s="3" t="s">
        <v>39</v>
      </c>
      <c r="K29" s="1">
        <v>37011</v>
      </c>
      <c r="L29" s="1" t="s">
        <v>158</v>
      </c>
      <c r="M29" s="1" t="s">
        <v>159</v>
      </c>
      <c r="N29" s="1">
        <v>2024</v>
      </c>
      <c r="O29" s="1">
        <v>1</v>
      </c>
      <c r="P29" s="1" t="s">
        <v>32</v>
      </c>
      <c r="Q29" s="1">
        <v>2405750028</v>
      </c>
      <c r="R29" s="1" t="s">
        <v>160</v>
      </c>
      <c r="S29" s="1" t="s">
        <v>161</v>
      </c>
      <c r="T29" s="1" t="s">
        <v>162</v>
      </c>
      <c r="U29" s="1">
        <v>0</v>
      </c>
      <c r="V29" s="1" t="s">
        <v>36</v>
      </c>
      <c r="W29" s="1" t="s">
        <v>163</v>
      </c>
      <c r="X29" s="1">
        <v>2</v>
      </c>
      <c r="Y29" s="1">
        <v>0</v>
      </c>
    </row>
    <row r="30" spans="1:25" hidden="1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1">
        <v>2</v>
      </c>
      <c r="J30" s="3" t="s">
        <v>29</v>
      </c>
      <c r="K30" s="1">
        <v>28009</v>
      </c>
      <c r="L30" s="1" t="s">
        <v>30</v>
      </c>
      <c r="M30" s="1" t="s">
        <v>164</v>
      </c>
      <c r="N30" s="1">
        <v>2024</v>
      </c>
      <c r="O30" s="1">
        <v>1</v>
      </c>
      <c r="P30" s="1" t="s">
        <v>32</v>
      </c>
      <c r="Q30" s="1">
        <v>2405750029</v>
      </c>
      <c r="R30" s="1" t="s">
        <v>165</v>
      </c>
      <c r="S30" s="1" t="s">
        <v>166</v>
      </c>
      <c r="T30" s="1" t="s">
        <v>167</v>
      </c>
      <c r="U30" s="1">
        <v>0</v>
      </c>
      <c r="V30" s="1" t="s">
        <v>36</v>
      </c>
      <c r="W30" s="1" t="s">
        <v>37</v>
      </c>
      <c r="X30" s="1">
        <v>2</v>
      </c>
      <c r="Y30" s="1">
        <v>0</v>
      </c>
    </row>
    <row r="31" spans="1:25" hidden="1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1">
        <v>1</v>
      </c>
      <c r="J31" s="3" t="s">
        <v>39</v>
      </c>
      <c r="K31" s="1">
        <v>28282</v>
      </c>
      <c r="L31" s="1" t="s">
        <v>30</v>
      </c>
      <c r="M31" s="1" t="s">
        <v>58</v>
      </c>
      <c r="N31" s="1">
        <v>2024</v>
      </c>
      <c r="O31" s="1">
        <v>1</v>
      </c>
      <c r="P31" s="1" t="s">
        <v>32</v>
      </c>
      <c r="Q31" s="1">
        <v>2405750030</v>
      </c>
      <c r="R31" s="1" t="s">
        <v>168</v>
      </c>
      <c r="S31" s="1" t="s">
        <v>169</v>
      </c>
      <c r="T31" s="1" t="s">
        <v>170</v>
      </c>
      <c r="U31" s="1">
        <v>0</v>
      </c>
      <c r="V31" s="1" t="s">
        <v>36</v>
      </c>
      <c r="W31" s="1" t="s">
        <v>37</v>
      </c>
      <c r="X31" s="1">
        <v>2</v>
      </c>
      <c r="Y31" s="1">
        <v>0</v>
      </c>
    </row>
    <row r="32" spans="1:25" hidden="1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1">
        <v>2</v>
      </c>
      <c r="J32" s="3" t="s">
        <v>29</v>
      </c>
      <c r="K32" s="1">
        <v>28032</v>
      </c>
      <c r="L32" s="1" t="s">
        <v>30</v>
      </c>
      <c r="M32" s="1" t="s">
        <v>171</v>
      </c>
      <c r="N32" s="1">
        <v>2024</v>
      </c>
      <c r="O32" s="1">
        <v>1</v>
      </c>
      <c r="P32" s="1" t="s">
        <v>32</v>
      </c>
      <c r="Q32" s="1">
        <v>2405750031</v>
      </c>
      <c r="R32" s="1" t="s">
        <v>172</v>
      </c>
      <c r="S32" s="1" t="s">
        <v>173</v>
      </c>
      <c r="T32" s="1" t="s">
        <v>174</v>
      </c>
      <c r="U32" s="1">
        <v>0</v>
      </c>
      <c r="V32" s="1" t="s">
        <v>36</v>
      </c>
      <c r="W32" s="1" t="s">
        <v>37</v>
      </c>
      <c r="X32" s="1">
        <v>2</v>
      </c>
      <c r="Y32" s="1">
        <v>0</v>
      </c>
    </row>
    <row r="33" spans="1:25" hidden="1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1">
        <v>2</v>
      </c>
      <c r="J33" s="3" t="s">
        <v>29</v>
      </c>
      <c r="K33" s="1">
        <v>28185</v>
      </c>
      <c r="L33" s="1" t="s">
        <v>30</v>
      </c>
      <c r="M33" s="1" t="s">
        <v>176</v>
      </c>
      <c r="N33" s="1">
        <v>2024</v>
      </c>
      <c r="O33" s="1">
        <v>1</v>
      </c>
      <c r="P33" s="1" t="s">
        <v>32</v>
      </c>
      <c r="Q33" s="1">
        <v>2405750032</v>
      </c>
      <c r="R33" s="1" t="s">
        <v>177</v>
      </c>
      <c r="S33" s="1" t="s">
        <v>178</v>
      </c>
      <c r="T33" s="1" t="s">
        <v>179</v>
      </c>
      <c r="U33" s="1">
        <v>0</v>
      </c>
      <c r="V33" s="1" t="s">
        <v>36</v>
      </c>
      <c r="W33" s="1" t="s">
        <v>37</v>
      </c>
      <c r="X33" s="1">
        <v>2</v>
      </c>
      <c r="Y33" s="1">
        <v>0</v>
      </c>
    </row>
    <row r="34" spans="1:25" hidden="1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1">
        <v>2</v>
      </c>
      <c r="J34" s="3" t="s">
        <v>29</v>
      </c>
      <c r="K34" s="1">
        <v>28034</v>
      </c>
      <c r="L34" s="1" t="s">
        <v>30</v>
      </c>
      <c r="M34" s="1" t="s">
        <v>97</v>
      </c>
      <c r="N34" s="1">
        <v>2024</v>
      </c>
      <c r="O34" s="1">
        <v>1</v>
      </c>
      <c r="P34" s="1" t="s">
        <v>32</v>
      </c>
      <c r="Q34" s="1">
        <v>2405750033</v>
      </c>
      <c r="R34" s="1" t="s">
        <v>180</v>
      </c>
      <c r="S34" s="1" t="s">
        <v>181</v>
      </c>
      <c r="T34" s="1" t="s">
        <v>182</v>
      </c>
      <c r="U34" s="1">
        <v>0</v>
      </c>
      <c r="V34" s="1" t="s">
        <v>36</v>
      </c>
      <c r="W34" s="1" t="s">
        <v>37</v>
      </c>
      <c r="X34" s="1">
        <v>2</v>
      </c>
      <c r="Y34" s="1">
        <v>0</v>
      </c>
    </row>
    <row r="35" spans="1:25" hidden="1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1">
        <v>1</v>
      </c>
      <c r="J35" s="3" t="s">
        <v>39</v>
      </c>
      <c r="K35" s="1">
        <v>28117</v>
      </c>
      <c r="L35" s="1" t="s">
        <v>30</v>
      </c>
      <c r="M35" s="1" t="s">
        <v>122</v>
      </c>
      <c r="N35" s="1">
        <v>2024</v>
      </c>
      <c r="O35" s="1">
        <v>1</v>
      </c>
      <c r="P35" s="1" t="s">
        <v>32</v>
      </c>
      <c r="Q35" s="1">
        <v>2405750034</v>
      </c>
      <c r="R35" s="1" t="s">
        <v>183</v>
      </c>
      <c r="S35" s="1" t="s">
        <v>184</v>
      </c>
      <c r="T35" s="1" t="s">
        <v>185</v>
      </c>
      <c r="U35" s="1">
        <v>0</v>
      </c>
      <c r="V35" s="1" t="s">
        <v>36</v>
      </c>
      <c r="W35" s="1" t="s">
        <v>37</v>
      </c>
      <c r="X35" s="1">
        <v>2</v>
      </c>
      <c r="Y35" s="1">
        <v>0</v>
      </c>
    </row>
    <row r="36" spans="1:25" hidden="1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1">
        <v>8</v>
      </c>
      <c r="J36" s="3" t="s">
        <v>96</v>
      </c>
      <c r="K36" s="1">
        <v>28200</v>
      </c>
      <c r="L36" s="1" t="s">
        <v>30</v>
      </c>
      <c r="M36" s="1" t="s">
        <v>187</v>
      </c>
      <c r="N36" s="1">
        <v>2024</v>
      </c>
      <c r="O36" s="1">
        <v>1</v>
      </c>
      <c r="P36" s="1" t="s">
        <v>32</v>
      </c>
      <c r="Q36" s="1">
        <v>2405750035</v>
      </c>
      <c r="R36" s="1" t="s">
        <v>188</v>
      </c>
      <c r="S36" s="1" t="s">
        <v>189</v>
      </c>
      <c r="T36" s="1" t="s">
        <v>190</v>
      </c>
      <c r="U36" s="1">
        <v>0</v>
      </c>
      <c r="V36" s="1" t="s">
        <v>36</v>
      </c>
      <c r="W36" s="1" t="s">
        <v>37</v>
      </c>
      <c r="X36" s="1">
        <v>2</v>
      </c>
      <c r="Y36" s="1">
        <v>0</v>
      </c>
    </row>
    <row r="37" spans="1:25" hidden="1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1">
        <v>1</v>
      </c>
      <c r="J37" s="3" t="s">
        <v>39</v>
      </c>
      <c r="K37" s="1">
        <v>28282</v>
      </c>
      <c r="L37" s="1" t="s">
        <v>30</v>
      </c>
      <c r="M37" s="1" t="s">
        <v>58</v>
      </c>
      <c r="N37" s="1">
        <v>2024</v>
      </c>
      <c r="O37" s="1">
        <v>1</v>
      </c>
      <c r="P37" s="1" t="s">
        <v>32</v>
      </c>
      <c r="Q37" s="1">
        <v>2405750036</v>
      </c>
      <c r="R37" s="1" t="s">
        <v>191</v>
      </c>
      <c r="S37" s="1" t="s">
        <v>192</v>
      </c>
      <c r="T37" s="1" t="s">
        <v>193</v>
      </c>
      <c r="U37" s="1">
        <v>0</v>
      </c>
      <c r="V37" s="1" t="s">
        <v>36</v>
      </c>
      <c r="W37" s="1" t="s">
        <v>37</v>
      </c>
      <c r="X37" s="1">
        <v>2</v>
      </c>
      <c r="Y37" s="1">
        <v>0</v>
      </c>
    </row>
    <row r="38" spans="1:25" hidden="1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1">
        <v>1</v>
      </c>
      <c r="J38" s="3" t="s">
        <v>39</v>
      </c>
      <c r="K38" s="1">
        <v>28029</v>
      </c>
      <c r="L38" s="1" t="s">
        <v>30</v>
      </c>
      <c r="M38" s="1" t="s">
        <v>194</v>
      </c>
      <c r="N38" s="1">
        <v>2024</v>
      </c>
      <c r="O38" s="1">
        <v>1</v>
      </c>
      <c r="P38" s="1" t="s">
        <v>32</v>
      </c>
      <c r="Q38" s="1">
        <v>2405750037</v>
      </c>
      <c r="R38" s="1" t="s">
        <v>195</v>
      </c>
      <c r="S38" s="1" t="s">
        <v>196</v>
      </c>
      <c r="T38" s="1" t="s">
        <v>197</v>
      </c>
      <c r="U38" s="1">
        <v>0</v>
      </c>
      <c r="V38" s="1" t="s">
        <v>36</v>
      </c>
      <c r="W38" s="1" t="s">
        <v>37</v>
      </c>
      <c r="X38" s="1">
        <v>2</v>
      </c>
      <c r="Y38" s="1">
        <v>0</v>
      </c>
    </row>
    <row r="39" spans="1:25" hidden="1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1">
        <v>2</v>
      </c>
      <c r="J39" s="3" t="s">
        <v>29</v>
      </c>
      <c r="K39" s="1">
        <v>28282</v>
      </c>
      <c r="L39" s="1" t="s">
        <v>30</v>
      </c>
      <c r="M39" s="1" t="s">
        <v>58</v>
      </c>
      <c r="N39" s="1">
        <v>2024</v>
      </c>
      <c r="O39" s="1"/>
      <c r="P39" s="1"/>
      <c r="Q39" s="1">
        <v>2405750038</v>
      </c>
      <c r="R39" s="1" t="s">
        <v>199</v>
      </c>
      <c r="S39" s="1" t="s">
        <v>200</v>
      </c>
      <c r="T39" s="1" t="s">
        <v>201</v>
      </c>
      <c r="U39" s="1">
        <v>0</v>
      </c>
      <c r="V39" s="1" t="s">
        <v>36</v>
      </c>
      <c r="W39" s="1" t="s">
        <v>37</v>
      </c>
      <c r="X39" s="1">
        <v>2</v>
      </c>
      <c r="Y39" s="1">
        <v>0</v>
      </c>
    </row>
    <row r="40" spans="1:25" hidden="1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1">
        <v>2</v>
      </c>
      <c r="J40" s="3" t="s">
        <v>29</v>
      </c>
      <c r="K40" s="1">
        <v>28032</v>
      </c>
      <c r="L40" s="1" t="s">
        <v>30</v>
      </c>
      <c r="M40" s="1" t="s">
        <v>171</v>
      </c>
      <c r="N40" s="1">
        <v>2024</v>
      </c>
      <c r="O40" s="1">
        <v>1</v>
      </c>
      <c r="P40" s="1" t="s">
        <v>32</v>
      </c>
      <c r="Q40" s="1">
        <v>2405750039</v>
      </c>
      <c r="R40" s="1" t="s">
        <v>202</v>
      </c>
      <c r="S40" s="1" t="s">
        <v>203</v>
      </c>
      <c r="T40" s="1" t="s">
        <v>204</v>
      </c>
      <c r="U40" s="1">
        <v>0</v>
      </c>
      <c r="V40" s="1" t="s">
        <v>36</v>
      </c>
      <c r="W40" s="1" t="s">
        <v>37</v>
      </c>
      <c r="X40" s="1">
        <v>2</v>
      </c>
      <c r="Y40" s="1">
        <v>0</v>
      </c>
    </row>
    <row r="41" spans="1:25" hidden="1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1">
        <v>8</v>
      </c>
      <c r="J41" s="3" t="s">
        <v>96</v>
      </c>
      <c r="K41" s="1">
        <v>28030</v>
      </c>
      <c r="L41" s="1" t="s">
        <v>30</v>
      </c>
      <c r="M41" s="1" t="s">
        <v>205</v>
      </c>
      <c r="N41" s="1">
        <v>2024</v>
      </c>
      <c r="O41" s="1">
        <v>1</v>
      </c>
      <c r="P41" s="1" t="s">
        <v>32</v>
      </c>
      <c r="Q41" s="1">
        <v>2405750040</v>
      </c>
      <c r="R41" s="1" t="s">
        <v>206</v>
      </c>
      <c r="S41" s="1" t="s">
        <v>207</v>
      </c>
      <c r="T41" s="1" t="s">
        <v>201</v>
      </c>
      <c r="U41" s="1">
        <v>0</v>
      </c>
      <c r="V41" s="1" t="s">
        <v>36</v>
      </c>
      <c r="W41" s="1" t="s">
        <v>37</v>
      </c>
      <c r="X41" s="1">
        <v>2</v>
      </c>
      <c r="Y41" s="1">
        <v>0</v>
      </c>
    </row>
    <row r="42" spans="1:25" hidden="1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1">
        <v>2</v>
      </c>
      <c r="J42" s="3" t="s">
        <v>29</v>
      </c>
      <c r="K42" s="1">
        <v>28282</v>
      </c>
      <c r="L42" s="1" t="s">
        <v>30</v>
      </c>
      <c r="M42" s="1" t="s">
        <v>58</v>
      </c>
      <c r="N42" s="1">
        <v>2024</v>
      </c>
      <c r="O42" s="1"/>
      <c r="P42" s="1"/>
      <c r="Q42" s="1">
        <v>2405750041</v>
      </c>
      <c r="R42" s="1" t="s">
        <v>208</v>
      </c>
      <c r="S42" s="1" t="s">
        <v>209</v>
      </c>
      <c r="T42" s="1" t="s">
        <v>210</v>
      </c>
      <c r="U42" s="1">
        <v>0</v>
      </c>
      <c r="V42" s="1" t="s">
        <v>36</v>
      </c>
      <c r="W42" s="1" t="s">
        <v>37</v>
      </c>
      <c r="X42" s="1">
        <v>2</v>
      </c>
      <c r="Y42" s="1">
        <v>0</v>
      </c>
    </row>
    <row r="43" spans="1:25" hidden="1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1">
        <v>2</v>
      </c>
      <c r="J43" s="3" t="s">
        <v>29</v>
      </c>
      <c r="K43" s="1">
        <v>28032</v>
      </c>
      <c r="L43" s="1" t="s">
        <v>30</v>
      </c>
      <c r="M43" s="1" t="s">
        <v>171</v>
      </c>
      <c r="N43" s="1">
        <v>2024</v>
      </c>
      <c r="O43" s="1">
        <v>1</v>
      </c>
      <c r="P43" s="1" t="s">
        <v>32</v>
      </c>
      <c r="Q43" s="1">
        <v>2405750042</v>
      </c>
      <c r="R43" s="1" t="s">
        <v>211</v>
      </c>
      <c r="S43" s="1" t="s">
        <v>212</v>
      </c>
      <c r="T43" s="1" t="s">
        <v>213</v>
      </c>
      <c r="U43" s="1">
        <v>0</v>
      </c>
      <c r="V43" s="1" t="s">
        <v>36</v>
      </c>
      <c r="W43" s="1" t="s">
        <v>37</v>
      </c>
      <c r="X43" s="1">
        <v>2</v>
      </c>
      <c r="Y43" s="1">
        <v>0</v>
      </c>
    </row>
    <row r="44" spans="1:25" hidden="1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1">
        <v>2</v>
      </c>
      <c r="J44" s="3" t="s">
        <v>29</v>
      </c>
      <c r="K44" s="1">
        <v>28034</v>
      </c>
      <c r="L44" s="1" t="s">
        <v>30</v>
      </c>
      <c r="M44" s="1" t="s">
        <v>97</v>
      </c>
      <c r="N44" s="1">
        <v>2024</v>
      </c>
      <c r="O44" s="1">
        <v>1</v>
      </c>
      <c r="P44" s="1" t="s">
        <v>32</v>
      </c>
      <c r="Q44" s="1">
        <v>2405750043</v>
      </c>
      <c r="R44" s="1" t="s">
        <v>214</v>
      </c>
      <c r="S44" s="1" t="s">
        <v>215</v>
      </c>
      <c r="T44" s="1" t="s">
        <v>216</v>
      </c>
      <c r="U44" s="1">
        <v>0</v>
      </c>
      <c r="V44" s="1" t="s">
        <v>36</v>
      </c>
      <c r="W44" s="1" t="s">
        <v>37</v>
      </c>
      <c r="X44" s="1">
        <v>2</v>
      </c>
      <c r="Y44" s="1">
        <v>0</v>
      </c>
    </row>
    <row r="45" spans="1:25" hidden="1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1">
        <v>8</v>
      </c>
      <c r="J45" s="3" t="s">
        <v>96</v>
      </c>
      <c r="K45" s="1">
        <v>28231</v>
      </c>
      <c r="L45" s="1" t="s">
        <v>30</v>
      </c>
      <c r="M45" s="1" t="s">
        <v>217</v>
      </c>
      <c r="N45" s="1">
        <v>2024</v>
      </c>
      <c r="O45" s="1">
        <v>1</v>
      </c>
      <c r="P45" s="1" t="s">
        <v>32</v>
      </c>
      <c r="Q45" s="1">
        <v>2405750044</v>
      </c>
      <c r="R45" s="1" t="s">
        <v>218</v>
      </c>
      <c r="S45" s="1" t="s">
        <v>219</v>
      </c>
      <c r="T45" s="1" t="s">
        <v>220</v>
      </c>
      <c r="U45" s="1">
        <v>0</v>
      </c>
      <c r="V45" s="1" t="s">
        <v>36</v>
      </c>
      <c r="W45" s="1" t="s">
        <v>37</v>
      </c>
      <c r="X45" s="1">
        <v>2</v>
      </c>
      <c r="Y45" s="1">
        <v>0</v>
      </c>
    </row>
    <row r="46" spans="1:25" hidden="1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1">
        <v>2</v>
      </c>
      <c r="J46" s="3" t="s">
        <v>29</v>
      </c>
      <c r="K46" s="1">
        <v>28124</v>
      </c>
      <c r="L46" s="1" t="s">
        <v>30</v>
      </c>
      <c r="M46" s="1" t="s">
        <v>221</v>
      </c>
      <c r="N46" s="1">
        <v>2024</v>
      </c>
      <c r="O46" s="1">
        <v>1</v>
      </c>
      <c r="P46" s="1" t="s">
        <v>32</v>
      </c>
      <c r="Q46" s="1">
        <v>2405750045</v>
      </c>
      <c r="R46" s="1" t="s">
        <v>222</v>
      </c>
      <c r="S46" s="1" t="s">
        <v>223</v>
      </c>
      <c r="T46" s="1" t="s">
        <v>224</v>
      </c>
      <c r="U46" s="1">
        <v>0</v>
      </c>
      <c r="V46" s="1" t="s">
        <v>36</v>
      </c>
      <c r="W46" s="1" t="s">
        <v>37</v>
      </c>
      <c r="X46" s="1">
        <v>2</v>
      </c>
      <c r="Y46" s="1">
        <v>0</v>
      </c>
    </row>
    <row r="47" spans="1:25" hidden="1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1">
        <v>2</v>
      </c>
      <c r="J47" s="3" t="s">
        <v>29</v>
      </c>
      <c r="K47" s="1">
        <v>28282</v>
      </c>
      <c r="L47" s="1" t="s">
        <v>30</v>
      </c>
      <c r="M47" s="1" t="s">
        <v>58</v>
      </c>
      <c r="N47" s="1">
        <v>2024</v>
      </c>
      <c r="O47" s="1">
        <v>1</v>
      </c>
      <c r="P47" s="1" t="s">
        <v>32</v>
      </c>
      <c r="Q47" s="1">
        <v>2405750046</v>
      </c>
      <c r="R47" s="1" t="s">
        <v>226</v>
      </c>
      <c r="S47" s="1" t="s">
        <v>227</v>
      </c>
      <c r="T47" s="1" t="s">
        <v>228</v>
      </c>
      <c r="U47" s="1">
        <v>0</v>
      </c>
      <c r="V47" s="1" t="s">
        <v>36</v>
      </c>
      <c r="W47" s="1" t="s">
        <v>37</v>
      </c>
      <c r="X47" s="1">
        <v>2</v>
      </c>
      <c r="Y47" s="1">
        <v>0</v>
      </c>
    </row>
    <row r="48" spans="1:25" hidden="1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1">
        <v>2</v>
      </c>
      <c r="J48" s="3" t="s">
        <v>29</v>
      </c>
      <c r="K48" s="1">
        <v>27228</v>
      </c>
      <c r="L48" s="1" t="s">
        <v>229</v>
      </c>
      <c r="M48" s="1" t="s">
        <v>230</v>
      </c>
      <c r="N48" s="1">
        <v>2024</v>
      </c>
      <c r="O48" s="1">
        <v>1</v>
      </c>
      <c r="P48" s="1" t="s">
        <v>32</v>
      </c>
      <c r="Q48" s="1">
        <v>2405750047</v>
      </c>
      <c r="R48" s="1" t="s">
        <v>231</v>
      </c>
      <c r="S48" s="1" t="s">
        <v>232</v>
      </c>
      <c r="T48" s="1" t="s">
        <v>233</v>
      </c>
      <c r="U48" s="1">
        <v>0</v>
      </c>
      <c r="V48" s="1" t="s">
        <v>36</v>
      </c>
      <c r="W48" s="1" t="s">
        <v>234</v>
      </c>
      <c r="X48" s="1">
        <v>2</v>
      </c>
      <c r="Y48" s="1">
        <v>0</v>
      </c>
    </row>
    <row r="49" spans="1:25" hidden="1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1">
        <v>2</v>
      </c>
      <c r="J49" s="3" t="s">
        <v>29</v>
      </c>
      <c r="K49" s="1">
        <v>28152</v>
      </c>
      <c r="L49" s="1" t="s">
        <v>30</v>
      </c>
      <c r="M49" s="1" t="s">
        <v>235</v>
      </c>
      <c r="N49" s="1">
        <v>2024</v>
      </c>
      <c r="O49" s="1">
        <v>1</v>
      </c>
      <c r="P49" s="1" t="s">
        <v>32</v>
      </c>
      <c r="Q49" s="1">
        <v>2405750048</v>
      </c>
      <c r="R49" s="1" t="s">
        <v>236</v>
      </c>
      <c r="S49" s="1" t="s">
        <v>237</v>
      </c>
      <c r="T49" s="1" t="s">
        <v>238</v>
      </c>
      <c r="U49" s="1">
        <v>0</v>
      </c>
      <c r="V49" s="1" t="s">
        <v>36</v>
      </c>
      <c r="W49" s="1" t="s">
        <v>37</v>
      </c>
      <c r="X49" s="1">
        <v>2</v>
      </c>
      <c r="Y49" s="1">
        <v>0</v>
      </c>
    </row>
    <row r="50" spans="1:25" hidden="1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1">
        <v>2</v>
      </c>
      <c r="J50" s="3" t="s">
        <v>29</v>
      </c>
      <c r="K50" s="1">
        <v>28282</v>
      </c>
      <c r="L50" s="1" t="s">
        <v>30</v>
      </c>
      <c r="M50" s="1" t="s">
        <v>58</v>
      </c>
      <c r="N50" s="1">
        <v>2024</v>
      </c>
      <c r="O50" s="1">
        <v>1</v>
      </c>
      <c r="P50" s="1" t="s">
        <v>32</v>
      </c>
      <c r="Q50" s="1">
        <v>2405750049</v>
      </c>
      <c r="R50" s="1" t="s">
        <v>239</v>
      </c>
      <c r="S50" s="1" t="s">
        <v>240</v>
      </c>
      <c r="T50" s="1" t="s">
        <v>241</v>
      </c>
      <c r="U50" s="1">
        <v>0</v>
      </c>
      <c r="V50" s="1" t="s">
        <v>36</v>
      </c>
      <c r="W50" s="1" t="s">
        <v>37</v>
      </c>
      <c r="X50" s="1">
        <v>2</v>
      </c>
      <c r="Y50" s="1">
        <v>0</v>
      </c>
    </row>
    <row r="51" spans="1:25" hidden="1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1">
        <v>2</v>
      </c>
      <c r="J51" s="3" t="s">
        <v>29</v>
      </c>
      <c r="K51" s="1">
        <v>28137</v>
      </c>
      <c r="L51" s="1" t="s">
        <v>30</v>
      </c>
      <c r="M51" s="1" t="s">
        <v>242</v>
      </c>
      <c r="N51" s="1">
        <v>2024</v>
      </c>
      <c r="O51" s="1">
        <v>1</v>
      </c>
      <c r="P51" s="1" t="s">
        <v>32</v>
      </c>
      <c r="Q51" s="1">
        <v>2405750050</v>
      </c>
      <c r="R51" s="1" t="s">
        <v>243</v>
      </c>
      <c r="S51" s="1" t="s">
        <v>244</v>
      </c>
      <c r="T51" s="1" t="s">
        <v>245</v>
      </c>
      <c r="U51" s="1">
        <v>0</v>
      </c>
      <c r="V51" s="1" t="s">
        <v>36</v>
      </c>
      <c r="W51" s="1" t="s">
        <v>37</v>
      </c>
      <c r="X51" s="1">
        <v>2</v>
      </c>
      <c r="Y51" s="1">
        <v>0</v>
      </c>
    </row>
    <row r="52" spans="1:25" hidden="1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1">
        <v>2</v>
      </c>
      <c r="J52" s="3" t="s">
        <v>29</v>
      </c>
      <c r="K52" s="1">
        <v>28027</v>
      </c>
      <c r="L52" s="1" t="s">
        <v>30</v>
      </c>
      <c r="M52" s="1" t="s">
        <v>246</v>
      </c>
      <c r="N52" s="1">
        <v>2024</v>
      </c>
      <c r="O52" s="1"/>
      <c r="P52" s="1"/>
      <c r="Q52" s="1">
        <v>2405750051</v>
      </c>
      <c r="R52" s="1" t="s">
        <v>247</v>
      </c>
      <c r="S52" s="1" t="s">
        <v>248</v>
      </c>
      <c r="T52" s="1" t="s">
        <v>249</v>
      </c>
      <c r="U52" s="1">
        <v>0</v>
      </c>
      <c r="V52" s="1" t="s">
        <v>36</v>
      </c>
      <c r="W52" s="1" t="s">
        <v>37</v>
      </c>
      <c r="X52" s="1">
        <v>2</v>
      </c>
      <c r="Y52" s="1">
        <v>0</v>
      </c>
    </row>
    <row r="53" spans="1:25" hidden="1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1">
        <v>2</v>
      </c>
      <c r="J53" s="3" t="s">
        <v>29</v>
      </c>
      <c r="K53" s="1">
        <v>28034</v>
      </c>
      <c r="L53" s="1" t="s">
        <v>30</v>
      </c>
      <c r="M53" s="1" t="s">
        <v>97</v>
      </c>
      <c r="N53" s="1">
        <v>2024</v>
      </c>
      <c r="O53" s="1">
        <v>1</v>
      </c>
      <c r="P53" s="1" t="s">
        <v>32</v>
      </c>
      <c r="Q53" s="1">
        <v>2405750052</v>
      </c>
      <c r="R53" s="1" t="s">
        <v>250</v>
      </c>
      <c r="S53" s="1" t="s">
        <v>251</v>
      </c>
      <c r="T53" s="1" t="s">
        <v>252</v>
      </c>
      <c r="U53" s="1">
        <v>0</v>
      </c>
      <c r="V53" s="1" t="s">
        <v>36</v>
      </c>
      <c r="W53" s="1" t="s">
        <v>37</v>
      </c>
      <c r="X53" s="1">
        <v>2</v>
      </c>
      <c r="Y53" s="1">
        <v>0</v>
      </c>
    </row>
    <row r="54" spans="1:25" hidden="1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1">
        <v>5</v>
      </c>
      <c r="J54" s="3" t="s">
        <v>137</v>
      </c>
      <c r="K54" s="1">
        <v>28034</v>
      </c>
      <c r="L54" s="1" t="s">
        <v>30</v>
      </c>
      <c r="M54" s="1" t="s">
        <v>97</v>
      </c>
      <c r="N54" s="1">
        <v>2024</v>
      </c>
      <c r="O54" s="1">
        <v>1</v>
      </c>
      <c r="P54" s="1" t="s">
        <v>32</v>
      </c>
      <c r="Q54" s="1">
        <v>2405750053</v>
      </c>
      <c r="R54" s="1" t="s">
        <v>254</v>
      </c>
      <c r="S54" s="1" t="s">
        <v>255</v>
      </c>
      <c r="T54" s="1" t="s">
        <v>256</v>
      </c>
      <c r="U54" s="1">
        <v>0</v>
      </c>
      <c r="V54" s="1" t="s">
        <v>36</v>
      </c>
      <c r="W54" s="1" t="s">
        <v>37</v>
      </c>
      <c r="X54" s="1">
        <v>2</v>
      </c>
      <c r="Y54" s="1">
        <v>0</v>
      </c>
    </row>
    <row r="55" spans="1:25" hidden="1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1">
        <v>3</v>
      </c>
      <c r="J55" s="3" t="s">
        <v>68</v>
      </c>
      <c r="K55" s="1">
        <v>28200</v>
      </c>
      <c r="L55" s="1" t="s">
        <v>30</v>
      </c>
      <c r="M55" s="1" t="s">
        <v>187</v>
      </c>
      <c r="N55" s="1">
        <v>2024</v>
      </c>
      <c r="O55" s="1">
        <v>1</v>
      </c>
      <c r="P55" s="1" t="s">
        <v>32</v>
      </c>
      <c r="Q55" s="1">
        <v>2405750054</v>
      </c>
      <c r="R55" s="1" t="s">
        <v>257</v>
      </c>
      <c r="S55" s="1" t="s">
        <v>258</v>
      </c>
      <c r="T55" s="1" t="s">
        <v>259</v>
      </c>
      <c r="U55" s="1">
        <v>0</v>
      </c>
      <c r="V55" s="1" t="s">
        <v>36</v>
      </c>
      <c r="W55" s="1" t="s">
        <v>37</v>
      </c>
      <c r="X55" s="1">
        <v>2</v>
      </c>
      <c r="Y55" s="1">
        <v>0</v>
      </c>
    </row>
    <row r="56" spans="1:25" hidden="1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1">
        <v>5</v>
      </c>
      <c r="J56" s="3" t="s">
        <v>137</v>
      </c>
      <c r="K56" s="1">
        <v>28185</v>
      </c>
      <c r="L56" s="1" t="s">
        <v>30</v>
      </c>
      <c r="M56" s="1" t="s">
        <v>176</v>
      </c>
      <c r="N56" s="1">
        <v>2024</v>
      </c>
      <c r="O56" s="1">
        <v>1</v>
      </c>
      <c r="P56" s="1" t="s">
        <v>32</v>
      </c>
      <c r="Q56" s="1">
        <v>2405750055</v>
      </c>
      <c r="R56" s="1" t="s">
        <v>260</v>
      </c>
      <c r="S56" s="1" t="s">
        <v>261</v>
      </c>
      <c r="T56" s="1" t="s">
        <v>144</v>
      </c>
      <c r="U56" s="1">
        <v>0</v>
      </c>
      <c r="V56" s="1" t="s">
        <v>36</v>
      </c>
      <c r="W56" s="1" t="s">
        <v>37</v>
      </c>
      <c r="X56" s="1">
        <v>2</v>
      </c>
      <c r="Y56" s="1">
        <v>0</v>
      </c>
    </row>
    <row r="57" spans="1:25" hidden="1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1">
        <v>3</v>
      </c>
      <c r="J57" s="3" t="s">
        <v>68</v>
      </c>
      <c r="K57" s="1">
        <v>4972</v>
      </c>
      <c r="L57" s="1" t="s">
        <v>262</v>
      </c>
      <c r="M57" s="1" t="s">
        <v>263</v>
      </c>
      <c r="N57" s="1">
        <v>2024</v>
      </c>
      <c r="O57" s="1">
        <v>1</v>
      </c>
      <c r="P57" s="1" t="s">
        <v>32</v>
      </c>
      <c r="Q57" s="1">
        <v>2405750056</v>
      </c>
      <c r="R57" s="1" t="s">
        <v>264</v>
      </c>
      <c r="S57" s="1" t="s">
        <v>265</v>
      </c>
      <c r="T57" s="1" t="s">
        <v>266</v>
      </c>
      <c r="U57" s="1">
        <v>0</v>
      </c>
      <c r="V57" s="1" t="s">
        <v>36</v>
      </c>
      <c r="W57" s="1" t="s">
        <v>37</v>
      </c>
      <c r="X57" s="1">
        <v>2</v>
      </c>
      <c r="Y57" s="1">
        <v>0</v>
      </c>
    </row>
    <row r="58" spans="1:25" hidden="1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1">
        <v>1</v>
      </c>
      <c r="J58" s="3" t="s">
        <v>39</v>
      </c>
      <c r="K58" s="1">
        <v>28099</v>
      </c>
      <c r="L58" s="1" t="s">
        <v>30</v>
      </c>
      <c r="M58" s="1" t="s">
        <v>268</v>
      </c>
      <c r="N58" s="1">
        <v>2024</v>
      </c>
      <c r="O58" s="1">
        <v>1</v>
      </c>
      <c r="P58" s="1" t="s">
        <v>32</v>
      </c>
      <c r="Q58" s="1">
        <v>2405750057</v>
      </c>
      <c r="R58" s="1" t="s">
        <v>269</v>
      </c>
      <c r="S58" s="1" t="s">
        <v>270</v>
      </c>
      <c r="T58" s="1" t="s">
        <v>271</v>
      </c>
      <c r="U58" s="1">
        <v>0</v>
      </c>
      <c r="V58" s="1" t="s">
        <v>36</v>
      </c>
      <c r="W58" s="1" t="s">
        <v>37</v>
      </c>
      <c r="X58" s="1">
        <v>2</v>
      </c>
      <c r="Y58" s="1">
        <v>0</v>
      </c>
    </row>
    <row r="59" spans="1:25" hidden="1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1">
        <v>2</v>
      </c>
      <c r="J59" s="3" t="s">
        <v>29</v>
      </c>
      <c r="K59" s="1">
        <v>28282</v>
      </c>
      <c r="L59" s="1" t="s">
        <v>30</v>
      </c>
      <c r="M59" s="1" t="s">
        <v>58</v>
      </c>
      <c r="N59" s="1">
        <v>2024</v>
      </c>
      <c r="O59" s="1">
        <v>1</v>
      </c>
      <c r="P59" s="1" t="s">
        <v>32</v>
      </c>
      <c r="Q59" s="1">
        <v>2405750058</v>
      </c>
      <c r="R59" s="1" t="s">
        <v>272</v>
      </c>
      <c r="S59" s="1" t="s">
        <v>273</v>
      </c>
      <c r="T59" s="1" t="s">
        <v>274</v>
      </c>
      <c r="U59" s="1">
        <v>0</v>
      </c>
      <c r="V59" s="1" t="s">
        <v>36</v>
      </c>
      <c r="W59" s="1" t="s">
        <v>37</v>
      </c>
      <c r="X59" s="1">
        <v>2</v>
      </c>
      <c r="Y59" s="1">
        <v>0</v>
      </c>
    </row>
    <row r="60" spans="1:25" hidden="1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1">
        <v>8</v>
      </c>
      <c r="J60" s="3" t="s">
        <v>96</v>
      </c>
      <c r="K60" s="1">
        <v>31009</v>
      </c>
      <c r="L60" s="1" t="s">
        <v>40</v>
      </c>
      <c r="M60" s="1" t="s">
        <v>41</v>
      </c>
      <c r="N60" s="1">
        <v>2024</v>
      </c>
      <c r="O60" s="1"/>
      <c r="P60" s="1"/>
      <c r="Q60" s="1">
        <v>2405750059</v>
      </c>
      <c r="R60" s="1" t="s">
        <v>275</v>
      </c>
      <c r="S60" s="1" t="s">
        <v>276</v>
      </c>
      <c r="T60" s="1" t="s">
        <v>277</v>
      </c>
      <c r="U60" s="1">
        <v>0</v>
      </c>
      <c r="V60" s="1" t="s">
        <v>36</v>
      </c>
      <c r="W60" s="1" t="s">
        <v>45</v>
      </c>
      <c r="X60" s="1">
        <v>2</v>
      </c>
      <c r="Y60" s="1">
        <v>0</v>
      </c>
    </row>
    <row r="61" spans="1:25" hidden="1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1">
        <v>8</v>
      </c>
      <c r="J61" s="3" t="s">
        <v>96</v>
      </c>
      <c r="K61" s="1">
        <v>28025</v>
      </c>
      <c r="L61" s="1" t="s">
        <v>30</v>
      </c>
      <c r="M61" s="1" t="s">
        <v>31</v>
      </c>
      <c r="N61" s="1">
        <v>2024</v>
      </c>
      <c r="O61" s="1">
        <v>1</v>
      </c>
      <c r="P61" s="1" t="s">
        <v>32</v>
      </c>
      <c r="Q61" s="1">
        <v>2405750060</v>
      </c>
      <c r="R61" s="1" t="s">
        <v>279</v>
      </c>
      <c r="S61" s="1" t="s">
        <v>280</v>
      </c>
      <c r="T61" s="1" t="s">
        <v>281</v>
      </c>
      <c r="U61" s="1">
        <v>0</v>
      </c>
      <c r="V61" s="1" t="s">
        <v>36</v>
      </c>
      <c r="W61" s="1" t="s">
        <v>37</v>
      </c>
      <c r="X61" s="1">
        <v>2</v>
      </c>
      <c r="Y61" s="1">
        <v>0</v>
      </c>
    </row>
    <row r="62" spans="1:25" hidden="1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1">
        <v>2</v>
      </c>
      <c r="J62" s="3" t="s">
        <v>29</v>
      </c>
      <c r="K62" s="1">
        <v>28017</v>
      </c>
      <c r="L62" s="1" t="s">
        <v>30</v>
      </c>
      <c r="M62" s="1" t="s">
        <v>282</v>
      </c>
      <c r="N62" s="1">
        <v>2024</v>
      </c>
      <c r="O62" s="1"/>
      <c r="P62" s="1"/>
      <c r="Q62" s="1">
        <v>2405750061</v>
      </c>
      <c r="R62" s="1" t="s">
        <v>283</v>
      </c>
      <c r="S62" s="1" t="s">
        <v>284</v>
      </c>
      <c r="T62" s="1" t="s">
        <v>285</v>
      </c>
      <c r="U62" s="1">
        <v>0</v>
      </c>
      <c r="V62" s="1" t="s">
        <v>36</v>
      </c>
      <c r="W62" s="1" t="s">
        <v>37</v>
      </c>
      <c r="X62" s="1">
        <v>1</v>
      </c>
      <c r="Y62" s="1">
        <v>0</v>
      </c>
    </row>
    <row r="63" spans="1:25" hidden="1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1">
        <v>2</v>
      </c>
      <c r="J63" s="3" t="s">
        <v>29</v>
      </c>
      <c r="K63" s="1">
        <v>28124</v>
      </c>
      <c r="L63" s="1" t="s">
        <v>30</v>
      </c>
      <c r="M63" s="1" t="s">
        <v>221</v>
      </c>
      <c r="N63" s="1">
        <v>2024</v>
      </c>
      <c r="O63" s="1">
        <v>1</v>
      </c>
      <c r="P63" s="1" t="s">
        <v>32</v>
      </c>
      <c r="Q63" s="1">
        <v>2405750062</v>
      </c>
      <c r="R63" s="1" t="s">
        <v>286</v>
      </c>
      <c r="S63" s="1" t="s">
        <v>287</v>
      </c>
      <c r="T63" s="1" t="s">
        <v>288</v>
      </c>
      <c r="U63" s="1">
        <v>0</v>
      </c>
      <c r="V63" s="1" t="s">
        <v>36</v>
      </c>
      <c r="W63" s="1" t="s">
        <v>37</v>
      </c>
      <c r="X63" s="1">
        <v>2</v>
      </c>
      <c r="Y63" s="1">
        <v>0</v>
      </c>
    </row>
    <row r="64" spans="1:25" hidden="1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1">
        <v>2</v>
      </c>
      <c r="J64" s="3" t="s">
        <v>29</v>
      </c>
      <c r="K64" s="1">
        <v>28137</v>
      </c>
      <c r="L64" s="1" t="s">
        <v>30</v>
      </c>
      <c r="M64" s="1" t="s">
        <v>242</v>
      </c>
      <c r="N64" s="1">
        <v>2024</v>
      </c>
      <c r="O64" s="1">
        <v>1</v>
      </c>
      <c r="P64" s="1" t="s">
        <v>32</v>
      </c>
      <c r="Q64" s="1">
        <v>2405750063</v>
      </c>
      <c r="R64" s="1" t="s">
        <v>289</v>
      </c>
      <c r="S64" s="1" t="s">
        <v>290</v>
      </c>
      <c r="T64" s="1" t="s">
        <v>291</v>
      </c>
      <c r="U64" s="1">
        <v>0</v>
      </c>
      <c r="V64" s="1" t="s">
        <v>36</v>
      </c>
      <c r="W64" s="1" t="s">
        <v>37</v>
      </c>
      <c r="X64" s="1">
        <v>2</v>
      </c>
      <c r="Y64" s="1">
        <v>0</v>
      </c>
    </row>
    <row r="65" spans="1:25" hidden="1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1">
        <v>3</v>
      </c>
      <c r="J65" s="3" t="s">
        <v>68</v>
      </c>
      <c r="K65" s="1">
        <v>28121</v>
      </c>
      <c r="L65" s="1" t="s">
        <v>30</v>
      </c>
      <c r="M65" s="1" t="s">
        <v>292</v>
      </c>
      <c r="N65" s="1">
        <v>2024</v>
      </c>
      <c r="O65" s="1"/>
      <c r="P65" s="1"/>
      <c r="Q65" s="1">
        <v>2405750064</v>
      </c>
      <c r="R65" s="1" t="s">
        <v>293</v>
      </c>
      <c r="S65" s="1" t="s">
        <v>294</v>
      </c>
      <c r="T65" s="1" t="s">
        <v>295</v>
      </c>
      <c r="U65" s="1">
        <v>0</v>
      </c>
      <c r="V65" s="1" t="s">
        <v>36</v>
      </c>
      <c r="W65" s="1" t="s">
        <v>37</v>
      </c>
      <c r="X65" s="1">
        <v>2</v>
      </c>
      <c r="Y65" s="1">
        <v>0</v>
      </c>
    </row>
    <row r="66" spans="1:25" hidden="1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1">
        <v>2</v>
      </c>
      <c r="J66" s="3" t="s">
        <v>29</v>
      </c>
      <c r="K66" s="1">
        <v>34991</v>
      </c>
      <c r="L66" s="1" t="s">
        <v>296</v>
      </c>
      <c r="M66" s="1" t="s">
        <v>297</v>
      </c>
      <c r="N66" s="1">
        <v>2022</v>
      </c>
      <c r="O66" s="1"/>
      <c r="P66" s="1"/>
      <c r="Q66" s="1">
        <v>2405750065</v>
      </c>
      <c r="R66" s="1" t="s">
        <v>298</v>
      </c>
      <c r="S66" s="1" t="s">
        <v>299</v>
      </c>
      <c r="T66" s="1" t="s">
        <v>300</v>
      </c>
      <c r="U66" s="1">
        <v>0</v>
      </c>
      <c r="V66" s="1" t="s">
        <v>36</v>
      </c>
      <c r="W66" s="1" t="s">
        <v>37</v>
      </c>
      <c r="X66" s="1">
        <v>2</v>
      </c>
      <c r="Y66" s="1">
        <v>0</v>
      </c>
    </row>
    <row r="67" spans="1:25" hidden="1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1">
        <v>2</v>
      </c>
      <c r="J67" s="3" t="s">
        <v>29</v>
      </c>
      <c r="K67" s="1">
        <v>28027</v>
      </c>
      <c r="L67" s="1" t="s">
        <v>30</v>
      </c>
      <c r="M67" s="1" t="s">
        <v>246</v>
      </c>
      <c r="N67" s="1">
        <v>2024</v>
      </c>
      <c r="O67" s="1"/>
      <c r="P67" s="1"/>
      <c r="Q67" s="1">
        <v>2405750066</v>
      </c>
      <c r="R67" s="1" t="s">
        <v>302</v>
      </c>
      <c r="S67" s="1" t="s">
        <v>303</v>
      </c>
      <c r="T67" s="1" t="s">
        <v>157</v>
      </c>
      <c r="U67" s="1">
        <v>0</v>
      </c>
      <c r="V67" s="1" t="s">
        <v>36</v>
      </c>
      <c r="W67" s="1" t="s">
        <v>37</v>
      </c>
      <c r="X67" s="1">
        <v>2</v>
      </c>
      <c r="Y67" s="1">
        <v>0</v>
      </c>
    </row>
    <row r="68" spans="1:25" hidden="1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1">
        <v>1</v>
      </c>
      <c r="J68" s="3" t="s">
        <v>39</v>
      </c>
      <c r="K68" s="1">
        <v>28205</v>
      </c>
      <c r="L68" s="1" t="s">
        <v>30</v>
      </c>
      <c r="M68" s="1" t="s">
        <v>304</v>
      </c>
      <c r="N68" s="1">
        <v>2024</v>
      </c>
      <c r="O68" s="1">
        <v>1</v>
      </c>
      <c r="P68" s="1" t="s">
        <v>32</v>
      </c>
      <c r="Q68" s="1">
        <v>2405750067</v>
      </c>
      <c r="R68" s="1" t="s">
        <v>305</v>
      </c>
      <c r="S68" s="1" t="s">
        <v>306</v>
      </c>
      <c r="T68" s="1" t="s">
        <v>307</v>
      </c>
      <c r="U68" s="1">
        <v>0</v>
      </c>
      <c r="V68" s="1" t="s">
        <v>36</v>
      </c>
      <c r="W68" s="1" t="s">
        <v>37</v>
      </c>
      <c r="X68" s="1">
        <v>2</v>
      </c>
      <c r="Y68" s="1">
        <v>0</v>
      </c>
    </row>
    <row r="69" spans="1:25" hidden="1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1">
        <v>2</v>
      </c>
      <c r="J69" s="3" t="s">
        <v>29</v>
      </c>
      <c r="K69" s="1">
        <v>28282</v>
      </c>
      <c r="L69" s="1" t="s">
        <v>30</v>
      </c>
      <c r="M69" s="1" t="s">
        <v>58</v>
      </c>
      <c r="N69" s="1">
        <v>2024</v>
      </c>
      <c r="O69" s="1">
        <v>1</v>
      </c>
      <c r="P69" s="1" t="s">
        <v>32</v>
      </c>
      <c r="Q69" s="1">
        <v>2405750068</v>
      </c>
      <c r="R69" s="1" t="s">
        <v>309</v>
      </c>
      <c r="S69" s="1" t="s">
        <v>310</v>
      </c>
      <c r="T69" s="1" t="s">
        <v>311</v>
      </c>
      <c r="U69" s="1">
        <v>0</v>
      </c>
      <c r="V69" s="1" t="s">
        <v>36</v>
      </c>
      <c r="W69" s="1" t="s">
        <v>37</v>
      </c>
      <c r="X69" s="1">
        <v>2</v>
      </c>
      <c r="Y69" s="1">
        <v>0</v>
      </c>
    </row>
    <row r="70" spans="1:25" hidden="1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1">
        <v>2</v>
      </c>
      <c r="J70" s="3" t="s">
        <v>29</v>
      </c>
      <c r="K70" s="1">
        <v>28024</v>
      </c>
      <c r="L70" s="1" t="s">
        <v>30</v>
      </c>
      <c r="M70" s="1" t="s">
        <v>312</v>
      </c>
      <c r="N70" s="1">
        <v>2024</v>
      </c>
      <c r="O70" s="1">
        <v>1</v>
      </c>
      <c r="P70" s="1" t="s">
        <v>32</v>
      </c>
      <c r="Q70" s="1">
        <v>2405750069</v>
      </c>
      <c r="R70" s="1" t="s">
        <v>313</v>
      </c>
      <c r="S70" s="1" t="s">
        <v>314</v>
      </c>
      <c r="T70" s="1" t="s">
        <v>315</v>
      </c>
      <c r="U70" s="1">
        <v>0</v>
      </c>
      <c r="V70" s="1" t="s">
        <v>36</v>
      </c>
      <c r="W70" s="1" t="s">
        <v>37</v>
      </c>
      <c r="X70" s="1">
        <v>2</v>
      </c>
      <c r="Y70" s="1">
        <v>0</v>
      </c>
    </row>
    <row r="71" spans="1:25" hidden="1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1">
        <v>2</v>
      </c>
      <c r="J71" s="3" t="s">
        <v>29</v>
      </c>
      <c r="K71" s="1">
        <v>28246</v>
      </c>
      <c r="L71" s="1" t="s">
        <v>30</v>
      </c>
      <c r="M71" s="1" t="s">
        <v>316</v>
      </c>
      <c r="N71" s="1">
        <v>2024</v>
      </c>
      <c r="O71" s="1">
        <v>1</v>
      </c>
      <c r="P71" s="1" t="s">
        <v>32</v>
      </c>
      <c r="Q71" s="1">
        <v>2405750070</v>
      </c>
      <c r="R71" s="1" t="s">
        <v>317</v>
      </c>
      <c r="S71" s="1" t="s">
        <v>318</v>
      </c>
      <c r="T71" s="1" t="s">
        <v>319</v>
      </c>
      <c r="U71" s="1">
        <v>0</v>
      </c>
      <c r="V71" s="1" t="s">
        <v>36</v>
      </c>
      <c r="W71" s="1" t="s">
        <v>37</v>
      </c>
      <c r="X71" s="1">
        <v>1</v>
      </c>
      <c r="Y71" s="1">
        <v>0</v>
      </c>
    </row>
    <row r="72" spans="1:25" hidden="1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1">
        <v>8</v>
      </c>
      <c r="J72" s="3" t="s">
        <v>96</v>
      </c>
      <c r="K72" s="1">
        <v>28185</v>
      </c>
      <c r="L72" s="1" t="s">
        <v>30</v>
      </c>
      <c r="M72" s="1" t="s">
        <v>176</v>
      </c>
      <c r="N72" s="1">
        <v>2024</v>
      </c>
      <c r="O72" s="1">
        <v>1</v>
      </c>
      <c r="P72" s="1" t="s">
        <v>32</v>
      </c>
      <c r="Q72" s="1">
        <v>2405750071</v>
      </c>
      <c r="R72" s="1" t="s">
        <v>320</v>
      </c>
      <c r="S72" s="1" t="s">
        <v>321</v>
      </c>
      <c r="T72" s="1" t="s">
        <v>322</v>
      </c>
      <c r="U72" s="1">
        <v>0</v>
      </c>
      <c r="V72" s="1" t="s">
        <v>36</v>
      </c>
      <c r="W72" s="1" t="s">
        <v>37</v>
      </c>
      <c r="X72" s="1">
        <v>2</v>
      </c>
      <c r="Y72" s="1">
        <v>0</v>
      </c>
    </row>
    <row r="73" spans="1:25" hidden="1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1">
        <v>2</v>
      </c>
      <c r="J73" s="3" t="s">
        <v>29</v>
      </c>
      <c r="K73" s="1">
        <v>28094</v>
      </c>
      <c r="L73" s="1" t="s">
        <v>30</v>
      </c>
      <c r="M73" s="1" t="s">
        <v>323</v>
      </c>
      <c r="N73" s="1">
        <v>2024</v>
      </c>
      <c r="O73" s="1">
        <v>1</v>
      </c>
      <c r="P73" s="1" t="s">
        <v>32</v>
      </c>
      <c r="Q73" s="1">
        <v>2405750072</v>
      </c>
      <c r="R73" s="1" t="s">
        <v>324</v>
      </c>
      <c r="S73" s="1" t="s">
        <v>325</v>
      </c>
      <c r="T73" s="1" t="s">
        <v>326</v>
      </c>
      <c r="U73" s="1">
        <v>0</v>
      </c>
      <c r="V73" s="1" t="s">
        <v>36</v>
      </c>
      <c r="W73" s="1" t="s">
        <v>37</v>
      </c>
      <c r="X73" s="1">
        <v>2</v>
      </c>
      <c r="Y73" s="1">
        <v>0</v>
      </c>
    </row>
    <row r="74" spans="1:25" hidden="1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1">
        <v>5</v>
      </c>
      <c r="J74" s="3" t="s">
        <v>137</v>
      </c>
      <c r="K74" s="1">
        <v>33031</v>
      </c>
      <c r="L74" s="1" t="s">
        <v>145</v>
      </c>
      <c r="M74" s="1" t="s">
        <v>328</v>
      </c>
      <c r="N74" s="1">
        <v>2024</v>
      </c>
      <c r="O74" s="1"/>
      <c r="P74" s="1"/>
      <c r="Q74" s="1">
        <v>2405750073</v>
      </c>
      <c r="R74" s="1" t="s">
        <v>329</v>
      </c>
      <c r="S74" s="1" t="s">
        <v>330</v>
      </c>
      <c r="T74" s="1" t="s">
        <v>331</v>
      </c>
      <c r="U74" s="1">
        <v>0</v>
      </c>
      <c r="V74" s="1" t="s">
        <v>36</v>
      </c>
      <c r="W74" s="1" t="s">
        <v>150</v>
      </c>
      <c r="X74" s="1">
        <v>2</v>
      </c>
      <c r="Y74" s="1">
        <v>0</v>
      </c>
    </row>
    <row r="75" spans="1:25" hidden="1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1">
        <v>2</v>
      </c>
      <c r="J75" s="3" t="s">
        <v>29</v>
      </c>
      <c r="K75" s="1">
        <v>28282</v>
      </c>
      <c r="L75" s="1" t="s">
        <v>30</v>
      </c>
      <c r="M75" s="1" t="s">
        <v>58</v>
      </c>
      <c r="N75" s="1">
        <v>2024</v>
      </c>
      <c r="O75" s="1">
        <v>1</v>
      </c>
      <c r="P75" s="1" t="s">
        <v>32</v>
      </c>
      <c r="Q75" s="1">
        <v>2405750074</v>
      </c>
      <c r="R75" s="1" t="s">
        <v>332</v>
      </c>
      <c r="S75" s="1" t="s">
        <v>333</v>
      </c>
      <c r="T75" s="1" t="s">
        <v>334</v>
      </c>
      <c r="U75" s="1">
        <v>0</v>
      </c>
      <c r="V75" s="1" t="s">
        <v>36</v>
      </c>
      <c r="W75" s="1" t="s">
        <v>37</v>
      </c>
      <c r="X75" s="1">
        <v>2</v>
      </c>
      <c r="Y75" s="1">
        <v>0</v>
      </c>
    </row>
    <row r="76" spans="1:25" hidden="1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1">
        <v>2</v>
      </c>
      <c r="J76" s="3" t="s">
        <v>29</v>
      </c>
      <c r="K76" s="1">
        <v>28008</v>
      </c>
      <c r="L76" s="1" t="s">
        <v>30</v>
      </c>
      <c r="M76" s="1" t="s">
        <v>335</v>
      </c>
      <c r="N76" s="1">
        <v>2024</v>
      </c>
      <c r="O76" s="1">
        <v>1</v>
      </c>
      <c r="P76" s="1" t="s">
        <v>32</v>
      </c>
      <c r="Q76" s="1">
        <v>2405750075</v>
      </c>
      <c r="R76" s="1" t="s">
        <v>336</v>
      </c>
      <c r="S76" s="1" t="s">
        <v>337</v>
      </c>
      <c r="T76" s="1" t="s">
        <v>338</v>
      </c>
      <c r="U76" s="1">
        <v>0</v>
      </c>
      <c r="V76" s="1" t="s">
        <v>36</v>
      </c>
      <c r="W76" s="1" t="s">
        <v>37</v>
      </c>
      <c r="X76" s="1">
        <v>2</v>
      </c>
      <c r="Y76" s="1">
        <v>0</v>
      </c>
    </row>
    <row r="77" spans="1:25" hidden="1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1">
        <v>2</v>
      </c>
      <c r="J77" s="3" t="s">
        <v>29</v>
      </c>
      <c r="K77" s="1">
        <v>28030</v>
      </c>
      <c r="L77" s="1" t="s">
        <v>30</v>
      </c>
      <c r="M77" s="1" t="s">
        <v>205</v>
      </c>
      <c r="N77" s="1">
        <v>2024</v>
      </c>
      <c r="O77" s="1">
        <v>1</v>
      </c>
      <c r="P77" s="1" t="s">
        <v>32</v>
      </c>
      <c r="Q77" s="1">
        <v>2405750076</v>
      </c>
      <c r="R77" s="1" t="s">
        <v>339</v>
      </c>
      <c r="S77" s="1" t="s">
        <v>340</v>
      </c>
      <c r="T77" s="1" t="s">
        <v>341</v>
      </c>
      <c r="U77" s="1">
        <v>0</v>
      </c>
      <c r="V77" s="1" t="s">
        <v>36</v>
      </c>
      <c r="W77" s="1" t="s">
        <v>37</v>
      </c>
      <c r="X77" s="1">
        <v>2</v>
      </c>
      <c r="Y77" s="1">
        <v>0</v>
      </c>
    </row>
    <row r="78" spans="1:25" hidden="1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1">
        <v>2</v>
      </c>
      <c r="J78" s="3" t="s">
        <v>29</v>
      </c>
      <c r="K78" s="1">
        <v>28008</v>
      </c>
      <c r="L78" s="1" t="s">
        <v>30</v>
      </c>
      <c r="M78" s="1" t="s">
        <v>335</v>
      </c>
      <c r="N78" s="1">
        <v>2024</v>
      </c>
      <c r="O78" s="1">
        <v>1</v>
      </c>
      <c r="P78" s="1" t="s">
        <v>32</v>
      </c>
      <c r="Q78" s="1">
        <v>2405750077</v>
      </c>
      <c r="R78" s="1" t="s">
        <v>342</v>
      </c>
      <c r="S78" s="1" t="s">
        <v>343</v>
      </c>
      <c r="T78" s="1" t="s">
        <v>344</v>
      </c>
      <c r="U78" s="1">
        <v>0</v>
      </c>
      <c r="V78" s="1" t="s">
        <v>36</v>
      </c>
      <c r="W78" s="1" t="s">
        <v>37</v>
      </c>
      <c r="X78" s="1">
        <v>2</v>
      </c>
      <c r="Y78" s="1">
        <v>0</v>
      </c>
    </row>
    <row r="79" spans="1:25" hidden="1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1">
        <v>2</v>
      </c>
      <c r="J79" s="3" t="s">
        <v>29</v>
      </c>
      <c r="K79" s="1">
        <v>28003</v>
      </c>
      <c r="L79" s="1" t="s">
        <v>30</v>
      </c>
      <c r="M79" s="1" t="s">
        <v>345</v>
      </c>
      <c r="N79" s="1">
        <v>2024</v>
      </c>
      <c r="O79" s="1"/>
      <c r="P79" s="1"/>
      <c r="Q79" s="1">
        <v>2405750078</v>
      </c>
      <c r="R79" s="1" t="s">
        <v>346</v>
      </c>
      <c r="S79" s="1" t="s">
        <v>347</v>
      </c>
      <c r="T79" s="1" t="s">
        <v>348</v>
      </c>
      <c r="U79" s="1">
        <v>0</v>
      </c>
      <c r="V79" s="1" t="s">
        <v>36</v>
      </c>
      <c r="W79" s="1" t="s">
        <v>37</v>
      </c>
      <c r="X79" s="1">
        <v>2</v>
      </c>
      <c r="Y79" s="1">
        <v>0</v>
      </c>
    </row>
    <row r="80" spans="1:25" hidden="1" x14ac:dyDescent="0.2">
      <c r="A80" s="3" t="s">
        <v>1332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1">
        <v>2</v>
      </c>
      <c r="J80" s="3" t="s">
        <v>29</v>
      </c>
      <c r="K80" s="1">
        <v>31039</v>
      </c>
      <c r="L80" s="1" t="s">
        <v>40</v>
      </c>
      <c r="M80" s="1" t="s">
        <v>349</v>
      </c>
      <c r="N80" s="1">
        <v>2024</v>
      </c>
      <c r="O80" s="1">
        <v>1</v>
      </c>
      <c r="P80" s="1" t="s">
        <v>32</v>
      </c>
      <c r="Q80" s="1">
        <v>2405750079</v>
      </c>
      <c r="R80" s="1" t="s">
        <v>350</v>
      </c>
      <c r="S80" s="1" t="s">
        <v>351</v>
      </c>
      <c r="T80" s="1" t="s">
        <v>352</v>
      </c>
      <c r="U80" s="1">
        <v>0</v>
      </c>
      <c r="V80" s="1" t="s">
        <v>36</v>
      </c>
      <c r="W80" s="1" t="s">
        <v>45</v>
      </c>
      <c r="X80" s="1">
        <v>2</v>
      </c>
      <c r="Y80" s="1">
        <v>0</v>
      </c>
    </row>
    <row r="81" spans="1:25" hidden="1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1">
        <v>3</v>
      </c>
      <c r="J81" s="3" t="s">
        <v>68</v>
      </c>
      <c r="K81" s="1">
        <v>36070</v>
      </c>
      <c r="L81" s="1" t="s">
        <v>109</v>
      </c>
      <c r="M81" s="1" t="s">
        <v>354</v>
      </c>
      <c r="N81" s="1">
        <v>2024</v>
      </c>
      <c r="O81" s="1">
        <v>1</v>
      </c>
      <c r="P81" s="1" t="s">
        <v>32</v>
      </c>
      <c r="Q81" s="1">
        <v>2405750080</v>
      </c>
      <c r="R81" s="1" t="s">
        <v>355</v>
      </c>
      <c r="S81" s="1" t="s">
        <v>356</v>
      </c>
      <c r="T81" s="1" t="s">
        <v>357</v>
      </c>
      <c r="U81" s="1">
        <v>0</v>
      </c>
      <c r="V81" s="1" t="s">
        <v>36</v>
      </c>
      <c r="W81" s="1" t="s">
        <v>37</v>
      </c>
      <c r="X81" s="1">
        <v>2</v>
      </c>
      <c r="Y81" s="1">
        <v>0</v>
      </c>
    </row>
    <row r="82" spans="1:25" hidden="1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1">
        <v>2</v>
      </c>
      <c r="J82" s="3" t="s">
        <v>29</v>
      </c>
      <c r="K82" s="1">
        <v>28120</v>
      </c>
      <c r="L82" s="1" t="s">
        <v>30</v>
      </c>
      <c r="M82" s="1" t="s">
        <v>47</v>
      </c>
      <c r="N82" s="1">
        <v>2024</v>
      </c>
      <c r="O82" s="1">
        <v>1</v>
      </c>
      <c r="P82" s="1" t="s">
        <v>32</v>
      </c>
      <c r="Q82" s="1">
        <v>2405750081</v>
      </c>
      <c r="R82" s="1" t="s">
        <v>358</v>
      </c>
      <c r="S82" s="1" t="s">
        <v>359</v>
      </c>
      <c r="T82" s="1" t="s">
        <v>360</v>
      </c>
      <c r="U82" s="1">
        <v>0</v>
      </c>
      <c r="V82" s="1" t="s">
        <v>36</v>
      </c>
      <c r="W82" s="1" t="s">
        <v>37</v>
      </c>
      <c r="X82" s="1">
        <v>2</v>
      </c>
      <c r="Y82" s="1">
        <v>0</v>
      </c>
    </row>
    <row r="83" spans="1:25" hidden="1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1">
        <v>2</v>
      </c>
      <c r="J83" s="3" t="s">
        <v>29</v>
      </c>
      <c r="K83" s="1">
        <v>28022</v>
      </c>
      <c r="L83" s="1" t="s">
        <v>30</v>
      </c>
      <c r="M83" s="1" t="s">
        <v>361</v>
      </c>
      <c r="N83" s="1">
        <v>2024</v>
      </c>
      <c r="O83" s="1"/>
      <c r="P83" s="1"/>
      <c r="Q83" s="1">
        <v>2405750082</v>
      </c>
      <c r="R83" s="1" t="s">
        <v>362</v>
      </c>
      <c r="S83" s="1" t="s">
        <v>363</v>
      </c>
      <c r="T83" s="1" t="s">
        <v>364</v>
      </c>
      <c r="U83" s="1">
        <v>0</v>
      </c>
      <c r="V83" s="1" t="s">
        <v>36</v>
      </c>
      <c r="W83" s="1" t="s">
        <v>37</v>
      </c>
      <c r="X83" s="1">
        <v>2</v>
      </c>
      <c r="Y83" s="1">
        <v>0</v>
      </c>
    </row>
    <row r="84" spans="1:25" hidden="1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1">
        <v>1</v>
      </c>
      <c r="J84" s="3" t="s">
        <v>39</v>
      </c>
      <c r="K84" s="1">
        <v>28282</v>
      </c>
      <c r="L84" s="1" t="s">
        <v>30</v>
      </c>
      <c r="M84" s="1" t="s">
        <v>58</v>
      </c>
      <c r="N84" s="1">
        <v>2024</v>
      </c>
      <c r="O84" s="1">
        <v>1</v>
      </c>
      <c r="P84" s="1" t="s">
        <v>32</v>
      </c>
      <c r="Q84" s="1">
        <v>2405750083</v>
      </c>
      <c r="R84" s="1" t="s">
        <v>365</v>
      </c>
      <c r="S84" s="1" t="s">
        <v>366</v>
      </c>
      <c r="T84" s="1" t="s">
        <v>367</v>
      </c>
      <c r="U84" s="1">
        <v>0</v>
      </c>
      <c r="V84" s="1" t="s">
        <v>36</v>
      </c>
      <c r="W84" s="1" t="s">
        <v>37</v>
      </c>
      <c r="X84" s="1">
        <v>2</v>
      </c>
      <c r="Y84" s="1">
        <v>0</v>
      </c>
    </row>
    <row r="85" spans="1:25" hidden="1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1">
        <v>3</v>
      </c>
      <c r="J85" s="3" t="s">
        <v>68</v>
      </c>
      <c r="K85" s="1">
        <v>28282</v>
      </c>
      <c r="L85" s="1" t="s">
        <v>30</v>
      </c>
      <c r="M85" s="1" t="s">
        <v>58</v>
      </c>
      <c r="N85" s="1">
        <v>2024</v>
      </c>
      <c r="O85" s="1">
        <v>1</v>
      </c>
      <c r="P85" s="1" t="s">
        <v>32</v>
      </c>
      <c r="Q85" s="1">
        <v>2405750084</v>
      </c>
      <c r="R85" s="1" t="s">
        <v>368</v>
      </c>
      <c r="S85" s="1" t="s">
        <v>369</v>
      </c>
      <c r="T85" s="1" t="s">
        <v>370</v>
      </c>
      <c r="U85" s="1">
        <v>0</v>
      </c>
      <c r="V85" s="1" t="s">
        <v>36</v>
      </c>
      <c r="W85" s="1" t="s">
        <v>37</v>
      </c>
      <c r="X85" s="1">
        <v>2</v>
      </c>
      <c r="Y85" s="1">
        <v>0</v>
      </c>
    </row>
    <row r="86" spans="1:25" hidden="1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1">
        <v>1</v>
      </c>
      <c r="J86" s="3" t="s">
        <v>39</v>
      </c>
      <c r="K86" s="1">
        <v>28282</v>
      </c>
      <c r="L86" s="1" t="s">
        <v>30</v>
      </c>
      <c r="M86" s="1" t="s">
        <v>58</v>
      </c>
      <c r="N86" s="1">
        <v>2024</v>
      </c>
      <c r="O86" s="1"/>
      <c r="P86" s="1"/>
      <c r="Q86" s="1">
        <v>2405750085</v>
      </c>
      <c r="R86" s="1" t="s">
        <v>371</v>
      </c>
      <c r="S86" s="1" t="s">
        <v>372</v>
      </c>
      <c r="T86" s="1" t="s">
        <v>373</v>
      </c>
      <c r="U86" s="1">
        <v>0</v>
      </c>
      <c r="V86" s="1" t="s">
        <v>36</v>
      </c>
      <c r="W86" s="1" t="s">
        <v>37</v>
      </c>
      <c r="X86" s="1">
        <v>2</v>
      </c>
      <c r="Y86" s="1">
        <v>0</v>
      </c>
    </row>
    <row r="87" spans="1:25" hidden="1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1">
        <v>2</v>
      </c>
      <c r="J87" s="3" t="s">
        <v>29</v>
      </c>
      <c r="K87" s="1">
        <v>28022</v>
      </c>
      <c r="L87" s="1" t="s">
        <v>30</v>
      </c>
      <c r="M87" s="1" t="s">
        <v>361</v>
      </c>
      <c r="N87" s="1">
        <v>2024</v>
      </c>
      <c r="O87" s="1">
        <v>1</v>
      </c>
      <c r="P87" s="1" t="s">
        <v>32</v>
      </c>
      <c r="Q87" s="1">
        <v>2405750086</v>
      </c>
      <c r="R87" s="1" t="s">
        <v>374</v>
      </c>
      <c r="S87" s="1" t="s">
        <v>375</v>
      </c>
      <c r="T87" s="1" t="s">
        <v>376</v>
      </c>
      <c r="U87" s="1">
        <v>0</v>
      </c>
      <c r="V87" s="1" t="s">
        <v>36</v>
      </c>
      <c r="W87" s="1" t="s">
        <v>37</v>
      </c>
      <c r="X87" s="1">
        <v>2</v>
      </c>
      <c r="Y87" s="1">
        <v>0</v>
      </c>
    </row>
    <row r="88" spans="1:25" hidden="1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1">
        <v>2</v>
      </c>
      <c r="J88" s="3" t="s">
        <v>29</v>
      </c>
      <c r="K88" s="1">
        <v>28121</v>
      </c>
      <c r="L88" s="1" t="s">
        <v>30</v>
      </c>
      <c r="M88" s="1" t="s">
        <v>292</v>
      </c>
      <c r="N88" s="1">
        <v>2024</v>
      </c>
      <c r="O88" s="1">
        <v>1</v>
      </c>
      <c r="P88" s="1" t="s">
        <v>32</v>
      </c>
      <c r="Q88" s="1">
        <v>2405750087</v>
      </c>
      <c r="R88" s="1" t="s">
        <v>377</v>
      </c>
      <c r="S88" s="1" t="s">
        <v>378</v>
      </c>
      <c r="T88" s="1" t="s">
        <v>379</v>
      </c>
      <c r="U88" s="1">
        <v>0</v>
      </c>
      <c r="V88" s="1" t="s">
        <v>36</v>
      </c>
      <c r="W88" s="1" t="s">
        <v>37</v>
      </c>
      <c r="X88" s="1">
        <v>2</v>
      </c>
      <c r="Y88" s="1">
        <v>0</v>
      </c>
    </row>
    <row r="89" spans="1:25" hidden="1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1">
        <v>2</v>
      </c>
      <c r="J89" s="3" t="s">
        <v>29</v>
      </c>
      <c r="K89" s="1">
        <v>28121</v>
      </c>
      <c r="L89" s="1" t="s">
        <v>30</v>
      </c>
      <c r="M89" s="1" t="s">
        <v>292</v>
      </c>
      <c r="N89" s="1">
        <v>2024</v>
      </c>
      <c r="O89" s="1"/>
      <c r="P89" s="1"/>
      <c r="Q89" s="1">
        <v>2405750088</v>
      </c>
      <c r="R89" s="1" t="s">
        <v>380</v>
      </c>
      <c r="S89" s="1" t="s">
        <v>381</v>
      </c>
      <c r="T89" s="1" t="s">
        <v>382</v>
      </c>
      <c r="U89" s="1">
        <v>0</v>
      </c>
      <c r="V89" s="1" t="s">
        <v>36</v>
      </c>
      <c r="W89" s="1" t="s">
        <v>37</v>
      </c>
      <c r="X89" s="1">
        <v>2</v>
      </c>
      <c r="Y89" s="1">
        <v>0</v>
      </c>
    </row>
    <row r="90" spans="1:25" hidden="1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1">
        <v>2</v>
      </c>
      <c r="J90" s="3" t="s">
        <v>29</v>
      </c>
      <c r="K90" s="1">
        <v>28197</v>
      </c>
      <c r="L90" s="1" t="s">
        <v>30</v>
      </c>
      <c r="M90" s="1" t="s">
        <v>383</v>
      </c>
      <c r="N90" s="1">
        <v>2024</v>
      </c>
      <c r="O90" s="1">
        <v>1</v>
      </c>
      <c r="P90" s="1" t="s">
        <v>32</v>
      </c>
      <c r="Q90" s="1">
        <v>2405750089</v>
      </c>
      <c r="R90" s="1" t="s">
        <v>384</v>
      </c>
      <c r="S90" s="1" t="s">
        <v>385</v>
      </c>
      <c r="T90" s="1" t="s">
        <v>334</v>
      </c>
      <c r="U90" s="1">
        <v>0</v>
      </c>
      <c r="V90" s="1" t="s">
        <v>36</v>
      </c>
      <c r="W90" s="1" t="s">
        <v>37</v>
      </c>
      <c r="X90" s="1">
        <v>2</v>
      </c>
      <c r="Y90" s="1">
        <v>0</v>
      </c>
    </row>
    <row r="91" spans="1:25" hidden="1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1">
        <v>2</v>
      </c>
      <c r="J91" s="3" t="s">
        <v>29</v>
      </c>
      <c r="K91" s="1">
        <v>28197</v>
      </c>
      <c r="L91" s="1" t="s">
        <v>30</v>
      </c>
      <c r="M91" s="1" t="s">
        <v>383</v>
      </c>
      <c r="N91" s="1">
        <v>2024</v>
      </c>
      <c r="O91" s="1">
        <v>1</v>
      </c>
      <c r="P91" s="1" t="s">
        <v>32</v>
      </c>
      <c r="Q91" s="1">
        <v>2405750090</v>
      </c>
      <c r="R91" s="1" t="s">
        <v>386</v>
      </c>
      <c r="S91" s="1" t="s">
        <v>387</v>
      </c>
      <c r="T91" s="1" t="s">
        <v>388</v>
      </c>
      <c r="U91" s="1">
        <v>0</v>
      </c>
      <c r="V91" s="1" t="s">
        <v>36</v>
      </c>
      <c r="W91" s="1" t="s">
        <v>37</v>
      </c>
      <c r="X91" s="1">
        <v>2</v>
      </c>
      <c r="Y91" s="1">
        <v>0</v>
      </c>
    </row>
    <row r="92" spans="1:25" hidden="1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1">
        <v>2</v>
      </c>
      <c r="J92" s="3" t="s">
        <v>29</v>
      </c>
      <c r="K92" s="1">
        <v>28122</v>
      </c>
      <c r="L92" s="1" t="s">
        <v>30</v>
      </c>
      <c r="M92" s="1" t="s">
        <v>389</v>
      </c>
      <c r="N92" s="1">
        <v>2024</v>
      </c>
      <c r="O92" s="1">
        <v>1</v>
      </c>
      <c r="P92" s="1" t="s">
        <v>32</v>
      </c>
      <c r="Q92" s="1">
        <v>2405750091</v>
      </c>
      <c r="R92" s="1" t="s">
        <v>390</v>
      </c>
      <c r="S92" s="1" t="s">
        <v>391</v>
      </c>
      <c r="T92" s="1" t="s">
        <v>392</v>
      </c>
      <c r="U92" s="1">
        <v>0</v>
      </c>
      <c r="V92" s="1" t="s">
        <v>36</v>
      </c>
      <c r="W92" s="1" t="s">
        <v>37</v>
      </c>
      <c r="X92" s="1">
        <v>2</v>
      </c>
      <c r="Y92" s="1">
        <v>0</v>
      </c>
    </row>
    <row r="93" spans="1:25" hidden="1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1">
        <v>2</v>
      </c>
      <c r="J93" s="3" t="s">
        <v>29</v>
      </c>
      <c r="K93" s="1">
        <v>28282</v>
      </c>
      <c r="L93" s="1" t="s">
        <v>30</v>
      </c>
      <c r="M93" s="1" t="s">
        <v>58</v>
      </c>
      <c r="N93" s="1">
        <v>2024</v>
      </c>
      <c r="O93" s="1"/>
      <c r="P93" s="1"/>
      <c r="Q93" s="1">
        <v>2405750092</v>
      </c>
      <c r="R93" s="1" t="s">
        <v>393</v>
      </c>
      <c r="S93" s="1" t="s">
        <v>394</v>
      </c>
      <c r="T93" s="1" t="s">
        <v>395</v>
      </c>
      <c r="U93" s="1">
        <v>0</v>
      </c>
      <c r="V93" s="1" t="s">
        <v>36</v>
      </c>
      <c r="W93" s="1" t="s">
        <v>37</v>
      </c>
      <c r="X93" s="1">
        <v>1</v>
      </c>
      <c r="Y93" s="1">
        <v>0</v>
      </c>
    </row>
    <row r="94" spans="1:25" hidden="1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1">
        <v>1</v>
      </c>
      <c r="J94" s="3" t="s">
        <v>39</v>
      </c>
      <c r="K94" s="1">
        <v>28202</v>
      </c>
      <c r="L94" s="1" t="s">
        <v>30</v>
      </c>
      <c r="M94" s="1" t="s">
        <v>396</v>
      </c>
      <c r="N94" s="1">
        <v>2024</v>
      </c>
      <c r="O94" s="1">
        <v>1</v>
      </c>
      <c r="P94" s="1" t="s">
        <v>32</v>
      </c>
      <c r="Q94" s="1">
        <v>2405750093</v>
      </c>
      <c r="R94" s="1" t="s">
        <v>397</v>
      </c>
      <c r="S94" s="1" t="s">
        <v>398</v>
      </c>
      <c r="T94" s="1" t="s">
        <v>399</v>
      </c>
      <c r="U94" s="1">
        <v>0</v>
      </c>
      <c r="V94" s="1" t="s">
        <v>36</v>
      </c>
      <c r="W94" s="1" t="s">
        <v>37</v>
      </c>
      <c r="X94" s="1">
        <v>2</v>
      </c>
      <c r="Y94" s="1">
        <v>0</v>
      </c>
    </row>
    <row r="95" spans="1:25" hidden="1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1">
        <v>2</v>
      </c>
      <c r="J95" s="3" t="s">
        <v>29</v>
      </c>
      <c r="K95" s="1">
        <v>28117</v>
      </c>
      <c r="L95" s="1" t="s">
        <v>30</v>
      </c>
      <c r="M95" s="1" t="s">
        <v>122</v>
      </c>
      <c r="N95" s="1">
        <v>2024</v>
      </c>
      <c r="O95" s="1">
        <v>1</v>
      </c>
      <c r="P95" s="1" t="s">
        <v>32</v>
      </c>
      <c r="Q95" s="1">
        <v>2405750094</v>
      </c>
      <c r="R95" s="1" t="s">
        <v>400</v>
      </c>
      <c r="S95" s="1" t="s">
        <v>401</v>
      </c>
      <c r="T95" s="1" t="s">
        <v>392</v>
      </c>
      <c r="U95" s="1">
        <v>0</v>
      </c>
      <c r="V95" s="1" t="s">
        <v>36</v>
      </c>
      <c r="W95" s="1" t="s">
        <v>37</v>
      </c>
      <c r="X95" s="1">
        <v>1</v>
      </c>
      <c r="Y95" s="1">
        <v>0</v>
      </c>
    </row>
    <row r="96" spans="1:25" hidden="1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1">
        <v>8</v>
      </c>
      <c r="J96" s="3" t="s">
        <v>96</v>
      </c>
      <c r="K96" s="1">
        <v>28226</v>
      </c>
      <c r="L96" s="1" t="s">
        <v>30</v>
      </c>
      <c r="M96" s="1" t="s">
        <v>90</v>
      </c>
      <c r="N96" s="1">
        <v>2024</v>
      </c>
      <c r="O96" s="1"/>
      <c r="P96" s="1"/>
      <c r="Q96" s="1">
        <v>2405750095</v>
      </c>
      <c r="R96" s="1" t="s">
        <v>403</v>
      </c>
      <c r="S96" s="1" t="s">
        <v>404</v>
      </c>
      <c r="T96" s="1" t="s">
        <v>405</v>
      </c>
      <c r="U96" s="1">
        <v>0</v>
      </c>
      <c r="V96" s="1" t="s">
        <v>36</v>
      </c>
      <c r="W96" s="1" t="s">
        <v>37</v>
      </c>
      <c r="X96" s="1">
        <v>2</v>
      </c>
      <c r="Y96" s="1">
        <v>0</v>
      </c>
    </row>
    <row r="97" spans="1:25" hidden="1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1">
        <v>8</v>
      </c>
      <c r="J97" s="3" t="s">
        <v>96</v>
      </c>
      <c r="K97" s="1">
        <v>28282</v>
      </c>
      <c r="L97" s="1" t="s">
        <v>30</v>
      </c>
      <c r="M97" s="1" t="s">
        <v>58</v>
      </c>
      <c r="N97" s="1">
        <v>2024</v>
      </c>
      <c r="O97" s="1">
        <v>1</v>
      </c>
      <c r="P97" s="1" t="s">
        <v>32</v>
      </c>
      <c r="Q97" s="1">
        <v>2405750096</v>
      </c>
      <c r="R97" s="1" t="s">
        <v>406</v>
      </c>
      <c r="S97" s="1" t="s">
        <v>407</v>
      </c>
      <c r="T97" s="1" t="s">
        <v>408</v>
      </c>
      <c r="U97" s="1">
        <v>0</v>
      </c>
      <c r="V97" s="1" t="s">
        <v>36</v>
      </c>
      <c r="W97" s="1" t="s">
        <v>37</v>
      </c>
      <c r="X97" s="1">
        <v>2</v>
      </c>
      <c r="Y97" s="1">
        <v>0</v>
      </c>
    </row>
    <row r="98" spans="1:25" hidden="1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1">
        <v>2</v>
      </c>
      <c r="J98" s="3" t="s">
        <v>29</v>
      </c>
      <c r="K98" s="1">
        <v>28210</v>
      </c>
      <c r="L98" s="1" t="s">
        <v>30</v>
      </c>
      <c r="M98" s="1" t="s">
        <v>409</v>
      </c>
      <c r="N98" s="1">
        <v>2024</v>
      </c>
      <c r="O98" s="1">
        <v>1</v>
      </c>
      <c r="P98" s="1" t="s">
        <v>32</v>
      </c>
      <c r="Q98" s="1">
        <v>2405750097</v>
      </c>
      <c r="R98" s="1" t="s">
        <v>410</v>
      </c>
      <c r="S98" s="1" t="s">
        <v>411</v>
      </c>
      <c r="T98" s="1" t="s">
        <v>412</v>
      </c>
      <c r="U98" s="1">
        <v>0</v>
      </c>
      <c r="V98" s="1" t="s">
        <v>36</v>
      </c>
      <c r="W98" s="1" t="s">
        <v>37</v>
      </c>
      <c r="X98" s="1">
        <v>2</v>
      </c>
      <c r="Y98" s="1">
        <v>0</v>
      </c>
    </row>
    <row r="99" spans="1:25" hidden="1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1">
        <v>2</v>
      </c>
      <c r="J99" s="3" t="s">
        <v>29</v>
      </c>
      <c r="K99" s="1">
        <v>28282</v>
      </c>
      <c r="L99" s="1" t="s">
        <v>30</v>
      </c>
      <c r="M99" s="1" t="s">
        <v>58</v>
      </c>
      <c r="N99" s="1">
        <v>2024</v>
      </c>
      <c r="O99" s="1">
        <v>1</v>
      </c>
      <c r="P99" s="1" t="s">
        <v>32</v>
      </c>
      <c r="Q99" s="1">
        <v>2405750098</v>
      </c>
      <c r="R99" s="1" t="s">
        <v>413</v>
      </c>
      <c r="S99" s="1" t="s">
        <v>414</v>
      </c>
      <c r="T99" s="1" t="s">
        <v>228</v>
      </c>
      <c r="U99" s="1">
        <v>0</v>
      </c>
      <c r="V99" s="1" t="s">
        <v>36</v>
      </c>
      <c r="W99" s="1" t="s">
        <v>37</v>
      </c>
      <c r="X99" s="1">
        <v>2</v>
      </c>
      <c r="Y99" s="1">
        <v>0</v>
      </c>
    </row>
    <row r="100" spans="1:25" hidden="1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1">
        <v>5</v>
      </c>
      <c r="J100" s="3" t="s">
        <v>137</v>
      </c>
      <c r="K100" s="1">
        <v>28120</v>
      </c>
      <c r="L100" s="1" t="s">
        <v>30</v>
      </c>
      <c r="M100" s="1" t="s">
        <v>47</v>
      </c>
      <c r="N100" s="1">
        <v>2024</v>
      </c>
      <c r="O100" s="1">
        <v>1</v>
      </c>
      <c r="P100" s="1" t="s">
        <v>32</v>
      </c>
      <c r="Q100" s="1">
        <v>2405750099</v>
      </c>
      <c r="R100" s="1" t="s">
        <v>415</v>
      </c>
      <c r="S100" s="1" t="s">
        <v>416</v>
      </c>
      <c r="T100" s="1" t="s">
        <v>417</v>
      </c>
      <c r="U100" s="1">
        <v>0</v>
      </c>
      <c r="V100" s="1" t="s">
        <v>36</v>
      </c>
      <c r="W100" s="1" t="s">
        <v>37</v>
      </c>
      <c r="X100" s="1">
        <v>2</v>
      </c>
      <c r="Y100" s="1">
        <v>0</v>
      </c>
    </row>
    <row r="101" spans="1:25" hidden="1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1">
        <v>2</v>
      </c>
      <c r="J101" s="3" t="s">
        <v>29</v>
      </c>
      <c r="K101" s="1">
        <v>28203</v>
      </c>
      <c r="L101" s="1" t="s">
        <v>30</v>
      </c>
      <c r="M101" s="1" t="s">
        <v>418</v>
      </c>
      <c r="N101" s="1">
        <v>2024</v>
      </c>
      <c r="O101" s="1">
        <v>1</v>
      </c>
      <c r="P101" s="1" t="s">
        <v>32</v>
      </c>
      <c r="Q101" s="1">
        <v>2405750100</v>
      </c>
      <c r="R101" s="1" t="s">
        <v>419</v>
      </c>
      <c r="S101" s="1" t="s">
        <v>420</v>
      </c>
      <c r="T101" s="1" t="s">
        <v>421</v>
      </c>
      <c r="U101" s="1">
        <v>0</v>
      </c>
      <c r="V101" s="1" t="s">
        <v>36</v>
      </c>
      <c r="W101" s="1" t="s">
        <v>37</v>
      </c>
      <c r="X101" s="1">
        <v>2</v>
      </c>
      <c r="Y101" s="1">
        <v>0</v>
      </c>
    </row>
    <row r="102" spans="1:25" hidden="1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1">
        <v>2</v>
      </c>
      <c r="J102" s="3" t="s">
        <v>29</v>
      </c>
      <c r="K102" s="1">
        <v>28150</v>
      </c>
      <c r="L102" s="1" t="s">
        <v>30</v>
      </c>
      <c r="M102" s="1" t="s">
        <v>422</v>
      </c>
      <c r="N102" s="1">
        <v>2024</v>
      </c>
      <c r="O102" s="1">
        <v>1</v>
      </c>
      <c r="P102" s="1" t="s">
        <v>32</v>
      </c>
      <c r="Q102" s="1">
        <v>2405750101</v>
      </c>
      <c r="R102" s="1" t="s">
        <v>423</v>
      </c>
      <c r="S102" s="1" t="s">
        <v>424</v>
      </c>
      <c r="T102" s="1" t="s">
        <v>425</v>
      </c>
      <c r="U102" s="1">
        <v>0</v>
      </c>
      <c r="V102" s="1" t="s">
        <v>36</v>
      </c>
      <c r="W102" s="1" t="s">
        <v>37</v>
      </c>
      <c r="X102" s="1">
        <v>1</v>
      </c>
      <c r="Y102" s="1">
        <v>0</v>
      </c>
    </row>
    <row r="103" spans="1:25" hidden="1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1">
        <v>2</v>
      </c>
      <c r="J103" s="3" t="s">
        <v>29</v>
      </c>
      <c r="K103" s="1">
        <v>28233</v>
      </c>
      <c r="L103" s="1" t="s">
        <v>30</v>
      </c>
      <c r="M103" s="1" t="s">
        <v>426</v>
      </c>
      <c r="N103" s="1">
        <v>2024</v>
      </c>
      <c r="O103" s="1">
        <v>1</v>
      </c>
      <c r="P103" s="1" t="s">
        <v>32</v>
      </c>
      <c r="Q103" s="1">
        <v>2405750102</v>
      </c>
      <c r="R103" s="1" t="s">
        <v>427</v>
      </c>
      <c r="S103" s="1" t="s">
        <v>428</v>
      </c>
      <c r="T103" s="1" t="s">
        <v>429</v>
      </c>
      <c r="U103" s="1">
        <v>0</v>
      </c>
      <c r="V103" s="1" t="s">
        <v>36</v>
      </c>
      <c r="W103" s="1" t="s">
        <v>37</v>
      </c>
      <c r="X103" s="1">
        <v>1</v>
      </c>
      <c r="Y103" s="1">
        <v>0</v>
      </c>
    </row>
    <row r="104" spans="1:25" hidden="1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1">
        <v>3</v>
      </c>
      <c r="J104" s="3" t="s">
        <v>68</v>
      </c>
      <c r="K104" s="1">
        <v>28017</v>
      </c>
      <c r="L104" s="1" t="s">
        <v>30</v>
      </c>
      <c r="M104" s="1" t="s">
        <v>282</v>
      </c>
      <c r="N104" s="1">
        <v>2024</v>
      </c>
      <c r="O104" s="1">
        <v>1</v>
      </c>
      <c r="P104" s="1" t="s">
        <v>32</v>
      </c>
      <c r="Q104" s="1">
        <v>2405750103</v>
      </c>
      <c r="R104" s="1" t="s">
        <v>430</v>
      </c>
      <c r="S104" s="1" t="s">
        <v>431</v>
      </c>
      <c r="T104" s="1" t="s">
        <v>432</v>
      </c>
      <c r="U104" s="1">
        <v>0</v>
      </c>
      <c r="V104" s="1" t="s">
        <v>36</v>
      </c>
      <c r="W104" s="1" t="s">
        <v>37</v>
      </c>
      <c r="X104" s="1">
        <v>2</v>
      </c>
      <c r="Y104" s="1">
        <v>0</v>
      </c>
    </row>
    <row r="105" spans="1:25" hidden="1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1">
        <v>2</v>
      </c>
      <c r="J105" s="3" t="s">
        <v>29</v>
      </c>
      <c r="K105" s="1">
        <v>28224</v>
      </c>
      <c r="L105" s="1" t="s">
        <v>30</v>
      </c>
      <c r="M105" s="1" t="s">
        <v>433</v>
      </c>
      <c r="N105" s="1">
        <v>2024</v>
      </c>
      <c r="O105" s="1">
        <v>1</v>
      </c>
      <c r="P105" s="1" t="s">
        <v>32</v>
      </c>
      <c r="Q105" s="1">
        <v>2405750104</v>
      </c>
      <c r="R105" s="1" t="s">
        <v>434</v>
      </c>
      <c r="S105" s="1" t="s">
        <v>435</v>
      </c>
      <c r="T105" s="1" t="s">
        <v>436</v>
      </c>
      <c r="U105" s="1">
        <v>0</v>
      </c>
      <c r="V105" s="1" t="s">
        <v>36</v>
      </c>
      <c r="W105" s="1" t="s">
        <v>37</v>
      </c>
      <c r="X105" s="1">
        <v>1</v>
      </c>
      <c r="Y105" s="1">
        <v>0</v>
      </c>
    </row>
    <row r="106" spans="1:25" hidden="1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1">
        <v>2</v>
      </c>
      <c r="J106" s="3" t="s">
        <v>29</v>
      </c>
      <c r="K106" s="1">
        <v>31006</v>
      </c>
      <c r="L106" s="1" t="s">
        <v>40</v>
      </c>
      <c r="M106" s="1" t="s">
        <v>115</v>
      </c>
      <c r="N106" s="1">
        <v>2024</v>
      </c>
      <c r="O106" s="1"/>
      <c r="P106" s="1"/>
      <c r="Q106" s="1">
        <v>2405750105</v>
      </c>
      <c r="R106" s="1" t="s">
        <v>438</v>
      </c>
      <c r="S106" s="1" t="s">
        <v>439</v>
      </c>
      <c r="T106" s="1" t="s">
        <v>440</v>
      </c>
      <c r="U106" s="1">
        <v>0</v>
      </c>
      <c r="V106" s="1" t="s">
        <v>36</v>
      </c>
      <c r="W106" s="1" t="s">
        <v>45</v>
      </c>
      <c r="X106" s="1">
        <v>2</v>
      </c>
      <c r="Y106" s="1">
        <v>0</v>
      </c>
    </row>
    <row r="107" spans="1:25" hidden="1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1">
        <v>5</v>
      </c>
      <c r="J107" s="3" t="s">
        <v>137</v>
      </c>
      <c r="K107" s="1">
        <v>28023</v>
      </c>
      <c r="L107" s="1" t="s">
        <v>30</v>
      </c>
      <c r="M107" s="1" t="s">
        <v>441</v>
      </c>
      <c r="N107" s="1">
        <v>2003</v>
      </c>
      <c r="O107" s="1">
        <v>1</v>
      </c>
      <c r="P107" s="1" t="s">
        <v>32</v>
      </c>
      <c r="Q107" s="1">
        <v>2405750106</v>
      </c>
      <c r="R107" s="1" t="s">
        <v>442</v>
      </c>
      <c r="S107" s="1" t="s">
        <v>443</v>
      </c>
      <c r="T107" s="1" t="s">
        <v>444</v>
      </c>
      <c r="U107" s="1">
        <v>0</v>
      </c>
      <c r="V107" s="1" t="s">
        <v>36</v>
      </c>
      <c r="W107" s="1" t="s">
        <v>37</v>
      </c>
      <c r="X107" s="1">
        <v>2</v>
      </c>
      <c r="Y107" s="1">
        <v>0</v>
      </c>
    </row>
    <row r="108" spans="1:25" hidden="1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1">
        <v>2</v>
      </c>
      <c r="J108" s="3" t="s">
        <v>29</v>
      </c>
      <c r="K108" s="1">
        <v>28082</v>
      </c>
      <c r="L108" s="1" t="s">
        <v>30</v>
      </c>
      <c r="M108" s="1" t="s">
        <v>445</v>
      </c>
      <c r="N108" s="1">
        <v>2024</v>
      </c>
      <c r="O108" s="1">
        <v>1</v>
      </c>
      <c r="P108" s="1" t="s">
        <v>32</v>
      </c>
      <c r="Q108" s="1">
        <v>2405750107</v>
      </c>
      <c r="R108" s="1" t="s">
        <v>446</v>
      </c>
      <c r="S108" s="1" t="s">
        <v>447</v>
      </c>
      <c r="T108" s="1" t="s">
        <v>448</v>
      </c>
      <c r="U108" s="1">
        <v>0</v>
      </c>
      <c r="V108" s="1" t="s">
        <v>36</v>
      </c>
      <c r="W108" s="1" t="s">
        <v>37</v>
      </c>
      <c r="X108" s="1">
        <v>2</v>
      </c>
      <c r="Y108" s="1">
        <v>0</v>
      </c>
    </row>
    <row r="109" spans="1:25" hidden="1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1">
        <v>2</v>
      </c>
      <c r="J109" s="3" t="s">
        <v>29</v>
      </c>
      <c r="K109" s="1">
        <v>28210</v>
      </c>
      <c r="L109" s="1" t="s">
        <v>30</v>
      </c>
      <c r="M109" s="1" t="s">
        <v>409</v>
      </c>
      <c r="N109" s="1">
        <v>2024</v>
      </c>
      <c r="O109" s="1"/>
      <c r="P109" s="1"/>
      <c r="Q109" s="1">
        <v>2405750108</v>
      </c>
      <c r="R109" s="1" t="s">
        <v>449</v>
      </c>
      <c r="S109" s="1" t="s">
        <v>450</v>
      </c>
      <c r="T109" s="1" t="s">
        <v>451</v>
      </c>
      <c r="U109" s="1">
        <v>0</v>
      </c>
      <c r="V109" s="1" t="s">
        <v>36</v>
      </c>
      <c r="W109" s="1" t="s">
        <v>37</v>
      </c>
      <c r="X109" s="1">
        <v>1</v>
      </c>
      <c r="Y109" s="1">
        <v>0</v>
      </c>
    </row>
    <row r="110" spans="1:25" hidden="1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1">
        <v>2</v>
      </c>
      <c r="J110" s="3" t="s">
        <v>29</v>
      </c>
      <c r="K110" s="1">
        <v>28027</v>
      </c>
      <c r="L110" s="1" t="s">
        <v>30</v>
      </c>
      <c r="M110" s="1" t="s">
        <v>246</v>
      </c>
      <c r="N110" s="1">
        <v>2024</v>
      </c>
      <c r="O110" s="1">
        <v>1</v>
      </c>
      <c r="P110" s="1" t="s">
        <v>32</v>
      </c>
      <c r="Q110" s="1">
        <v>2405750109</v>
      </c>
      <c r="R110" s="1" t="s">
        <v>452</v>
      </c>
      <c r="S110" s="1" t="s">
        <v>453</v>
      </c>
      <c r="T110" s="1" t="s">
        <v>454</v>
      </c>
      <c r="U110" s="1">
        <v>0</v>
      </c>
      <c r="V110" s="1" t="s">
        <v>36</v>
      </c>
      <c r="W110" s="1" t="s">
        <v>37</v>
      </c>
      <c r="X110" s="1">
        <v>1</v>
      </c>
      <c r="Y110" s="1">
        <v>0</v>
      </c>
    </row>
    <row r="111" spans="1:25" hidden="1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1">
        <v>2</v>
      </c>
      <c r="J111" s="3" t="s">
        <v>29</v>
      </c>
      <c r="K111" s="1">
        <v>28246</v>
      </c>
      <c r="L111" s="1" t="s">
        <v>30</v>
      </c>
      <c r="M111" s="1" t="s">
        <v>316</v>
      </c>
      <c r="N111" s="1">
        <v>2024</v>
      </c>
      <c r="O111" s="1"/>
      <c r="P111" s="1"/>
      <c r="Q111" s="1">
        <v>2405750110</v>
      </c>
      <c r="R111" s="1" t="s">
        <v>455</v>
      </c>
      <c r="S111" s="1" t="s">
        <v>456</v>
      </c>
      <c r="T111" s="1" t="s">
        <v>457</v>
      </c>
      <c r="U111" s="1">
        <v>0</v>
      </c>
      <c r="V111" s="1" t="s">
        <v>36</v>
      </c>
      <c r="W111" s="1" t="s">
        <v>37</v>
      </c>
      <c r="X111" s="1">
        <v>1</v>
      </c>
      <c r="Y111" s="1">
        <v>0</v>
      </c>
    </row>
    <row r="112" spans="1:25" hidden="1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1">
        <v>2</v>
      </c>
      <c r="J112" s="3" t="s">
        <v>29</v>
      </c>
      <c r="K112" s="1">
        <v>28054</v>
      </c>
      <c r="L112" s="1" t="s">
        <v>30</v>
      </c>
      <c r="M112" s="1" t="s">
        <v>458</v>
      </c>
      <c r="N112" s="1">
        <v>2024</v>
      </c>
      <c r="O112" s="1"/>
      <c r="P112" s="1"/>
      <c r="Q112" s="1">
        <v>2405750111</v>
      </c>
      <c r="R112" s="1" t="s">
        <v>459</v>
      </c>
      <c r="S112" s="1" t="s">
        <v>460</v>
      </c>
      <c r="T112" s="1" t="s">
        <v>461</v>
      </c>
      <c r="U112" s="1">
        <v>0</v>
      </c>
      <c r="V112" s="1" t="s">
        <v>36</v>
      </c>
      <c r="W112" s="1" t="s">
        <v>37</v>
      </c>
      <c r="X112" s="1">
        <v>1</v>
      </c>
      <c r="Y112" s="1">
        <v>0</v>
      </c>
    </row>
    <row r="113" spans="1:25" hidden="1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1">
        <v>2</v>
      </c>
      <c r="J113" s="3" t="s">
        <v>29</v>
      </c>
      <c r="K113" s="1">
        <v>28150</v>
      </c>
      <c r="L113" s="1" t="s">
        <v>30</v>
      </c>
      <c r="M113" s="1" t="s">
        <v>422</v>
      </c>
      <c r="N113" s="1">
        <v>2024</v>
      </c>
      <c r="O113" s="1">
        <v>1</v>
      </c>
      <c r="P113" s="1" t="s">
        <v>32</v>
      </c>
      <c r="Q113" s="1">
        <v>2405750112</v>
      </c>
      <c r="R113" s="1" t="s">
        <v>462</v>
      </c>
      <c r="S113" s="1" t="s">
        <v>463</v>
      </c>
      <c r="T113" s="1" t="s">
        <v>464</v>
      </c>
      <c r="U113" s="1">
        <v>0</v>
      </c>
      <c r="V113" s="1" t="s">
        <v>36</v>
      </c>
      <c r="W113" s="1" t="s">
        <v>37</v>
      </c>
      <c r="X113" s="1">
        <v>1</v>
      </c>
      <c r="Y113" s="1">
        <v>0</v>
      </c>
    </row>
    <row r="114" spans="1:25" hidden="1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1">
        <v>2</v>
      </c>
      <c r="J114" s="3" t="s">
        <v>29</v>
      </c>
      <c r="K114" s="1">
        <v>28210</v>
      </c>
      <c r="L114" s="1" t="s">
        <v>30</v>
      </c>
      <c r="M114" s="1" t="s">
        <v>409</v>
      </c>
      <c r="N114" s="1">
        <v>2024</v>
      </c>
      <c r="O114" s="1">
        <v>1</v>
      </c>
      <c r="P114" s="1" t="s">
        <v>32</v>
      </c>
      <c r="Q114" s="1">
        <v>2405750113</v>
      </c>
      <c r="R114" s="1" t="s">
        <v>465</v>
      </c>
      <c r="S114" s="1" t="s">
        <v>466</v>
      </c>
      <c r="T114" s="1" t="s">
        <v>467</v>
      </c>
      <c r="U114" s="1">
        <v>0</v>
      </c>
      <c r="V114" s="1" t="s">
        <v>36</v>
      </c>
      <c r="W114" s="1" t="s">
        <v>37</v>
      </c>
      <c r="X114" s="1">
        <v>1</v>
      </c>
      <c r="Y114" s="1">
        <v>0</v>
      </c>
    </row>
    <row r="115" spans="1:25" hidden="1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1">
        <v>2</v>
      </c>
      <c r="J115" s="3" t="s">
        <v>29</v>
      </c>
      <c r="K115" s="1">
        <v>28029</v>
      </c>
      <c r="L115" s="1" t="s">
        <v>30</v>
      </c>
      <c r="M115" s="1" t="s">
        <v>194</v>
      </c>
      <c r="N115" s="1">
        <v>2024</v>
      </c>
      <c r="O115" s="1">
        <v>1</v>
      </c>
      <c r="P115" s="1" t="s">
        <v>32</v>
      </c>
      <c r="Q115" s="1">
        <v>2405750114</v>
      </c>
      <c r="R115" s="1" t="s">
        <v>468</v>
      </c>
      <c r="S115" s="1" t="s">
        <v>469</v>
      </c>
      <c r="T115" s="1" t="s">
        <v>470</v>
      </c>
      <c r="U115" s="1">
        <v>0</v>
      </c>
      <c r="V115" s="1" t="s">
        <v>36</v>
      </c>
      <c r="W115" s="1" t="s">
        <v>37</v>
      </c>
      <c r="X115" s="1">
        <v>2</v>
      </c>
      <c r="Y115" s="1">
        <v>0</v>
      </c>
    </row>
    <row r="116" spans="1:25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1">
        <v>6</v>
      </c>
      <c r="J116" s="3" t="s">
        <v>475</v>
      </c>
      <c r="K116" s="1">
        <v>46118</v>
      </c>
      <c r="L116" s="1" t="s">
        <v>476</v>
      </c>
      <c r="M116" s="1" t="s">
        <v>477</v>
      </c>
      <c r="N116" s="1">
        <v>2024</v>
      </c>
      <c r="O116" s="1">
        <v>1</v>
      </c>
      <c r="P116" s="1" t="s">
        <v>32</v>
      </c>
      <c r="Q116" s="1">
        <v>2413050001</v>
      </c>
      <c r="R116" s="1" t="s">
        <v>478</v>
      </c>
      <c r="S116" s="1" t="s">
        <v>479</v>
      </c>
      <c r="T116" s="1" t="s">
        <v>480</v>
      </c>
      <c r="U116" s="1">
        <v>0</v>
      </c>
      <c r="V116" s="1" t="s">
        <v>36</v>
      </c>
      <c r="W116" s="1" t="s">
        <v>37</v>
      </c>
      <c r="X116" s="1">
        <v>2</v>
      </c>
      <c r="Y116" s="1">
        <v>0</v>
      </c>
    </row>
    <row r="117" spans="1:25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1">
        <v>6</v>
      </c>
      <c r="J117" s="3" t="s">
        <v>475</v>
      </c>
      <c r="K117" s="1">
        <v>28141</v>
      </c>
      <c r="L117" s="1" t="s">
        <v>30</v>
      </c>
      <c r="M117" s="1" t="s">
        <v>481</v>
      </c>
      <c r="N117" s="1">
        <v>2024</v>
      </c>
      <c r="O117" s="1"/>
      <c r="P117" s="1"/>
      <c r="Q117" s="1">
        <v>2413050002</v>
      </c>
      <c r="R117" s="1" t="s">
        <v>482</v>
      </c>
      <c r="S117" s="1" t="s">
        <v>483</v>
      </c>
      <c r="T117" s="1" t="s">
        <v>484</v>
      </c>
      <c r="U117" s="1">
        <v>0</v>
      </c>
      <c r="V117" s="1" t="s">
        <v>36</v>
      </c>
      <c r="W117" s="1" t="s">
        <v>37</v>
      </c>
      <c r="X117" s="1">
        <v>2</v>
      </c>
      <c r="Y117" s="1">
        <v>0</v>
      </c>
    </row>
    <row r="118" spans="1:25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1">
        <v>6</v>
      </c>
      <c r="J118" s="3" t="s">
        <v>475</v>
      </c>
      <c r="K118" s="1">
        <v>28100</v>
      </c>
      <c r="L118" s="1" t="s">
        <v>30</v>
      </c>
      <c r="M118" s="1" t="s">
        <v>487</v>
      </c>
      <c r="N118" s="1">
        <v>2024</v>
      </c>
      <c r="O118" s="1">
        <v>1</v>
      </c>
      <c r="P118" s="1" t="s">
        <v>32</v>
      </c>
      <c r="Q118" s="1">
        <v>2413050003</v>
      </c>
      <c r="R118" s="1" t="s">
        <v>488</v>
      </c>
      <c r="S118" s="1" t="s">
        <v>489</v>
      </c>
      <c r="T118" s="1" t="s">
        <v>490</v>
      </c>
      <c r="U118" s="1">
        <v>0</v>
      </c>
      <c r="V118" s="1" t="s">
        <v>36</v>
      </c>
      <c r="W118" s="1" t="s">
        <v>37</v>
      </c>
      <c r="X118" s="1">
        <v>3</v>
      </c>
      <c r="Y118" s="1">
        <v>0</v>
      </c>
    </row>
    <row r="119" spans="1:25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1">
        <v>6</v>
      </c>
      <c r="J119" s="3" t="s">
        <v>475</v>
      </c>
      <c r="K119" s="1">
        <v>28095</v>
      </c>
      <c r="L119" s="1" t="s">
        <v>30</v>
      </c>
      <c r="M119" s="1" t="s">
        <v>491</v>
      </c>
      <c r="N119" s="1">
        <v>2024</v>
      </c>
      <c r="O119" s="1">
        <v>1</v>
      </c>
      <c r="P119" s="1" t="s">
        <v>32</v>
      </c>
      <c r="Q119" s="1">
        <v>2413050004</v>
      </c>
      <c r="R119" s="1" t="s">
        <v>492</v>
      </c>
      <c r="S119" s="1" t="s">
        <v>493</v>
      </c>
      <c r="T119" s="1" t="s">
        <v>494</v>
      </c>
      <c r="U119" s="1">
        <v>0</v>
      </c>
      <c r="V119" s="1" t="s">
        <v>36</v>
      </c>
      <c r="W119" s="1" t="s">
        <v>37</v>
      </c>
      <c r="X119" s="1">
        <v>3</v>
      </c>
      <c r="Y119" s="1">
        <v>0</v>
      </c>
    </row>
    <row r="120" spans="1:25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1">
        <v>6</v>
      </c>
      <c r="J120" s="3" t="s">
        <v>475</v>
      </c>
      <c r="K120" s="1">
        <v>46118</v>
      </c>
      <c r="L120" s="1" t="s">
        <v>476</v>
      </c>
      <c r="M120" s="1" t="s">
        <v>477</v>
      </c>
      <c r="N120" s="1">
        <v>2023</v>
      </c>
      <c r="O120" s="1"/>
      <c r="P120" s="1"/>
      <c r="Q120" s="1">
        <v>2413050005</v>
      </c>
      <c r="R120" s="1" t="s">
        <v>495</v>
      </c>
      <c r="S120" s="1" t="s">
        <v>496</v>
      </c>
      <c r="T120" s="1" t="s">
        <v>497</v>
      </c>
      <c r="U120" s="1">
        <v>0</v>
      </c>
      <c r="V120" s="1" t="s">
        <v>36</v>
      </c>
      <c r="W120" s="1" t="s">
        <v>37</v>
      </c>
      <c r="X120" s="1">
        <v>2</v>
      </c>
      <c r="Y120" s="1">
        <v>0</v>
      </c>
    </row>
    <row r="121" spans="1:25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1">
        <v>6</v>
      </c>
      <c r="J121" s="3" t="s">
        <v>475</v>
      </c>
      <c r="K121" s="1">
        <v>28095</v>
      </c>
      <c r="L121" s="1" t="s">
        <v>30</v>
      </c>
      <c r="M121" s="1" t="s">
        <v>491</v>
      </c>
      <c r="N121" s="1">
        <v>2024</v>
      </c>
      <c r="O121" s="1">
        <v>1</v>
      </c>
      <c r="P121" s="1" t="s">
        <v>32</v>
      </c>
      <c r="Q121" s="1">
        <v>2413050006</v>
      </c>
      <c r="R121" s="1" t="s">
        <v>498</v>
      </c>
      <c r="S121" s="1" t="s">
        <v>499</v>
      </c>
      <c r="T121" s="1" t="s">
        <v>500</v>
      </c>
      <c r="U121" s="1">
        <v>0</v>
      </c>
      <c r="V121" s="1" t="s">
        <v>36</v>
      </c>
      <c r="W121" s="1" t="s">
        <v>37</v>
      </c>
      <c r="X121" s="1">
        <v>2</v>
      </c>
      <c r="Y121" s="1">
        <v>0</v>
      </c>
    </row>
    <row r="122" spans="1:25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1">
        <v>34</v>
      </c>
      <c r="J122" s="3" t="s">
        <v>503</v>
      </c>
      <c r="K122" s="1">
        <v>28178</v>
      </c>
      <c r="L122" s="1" t="s">
        <v>30</v>
      </c>
      <c r="M122" s="1" t="s">
        <v>504</v>
      </c>
      <c r="N122" s="1">
        <v>2024</v>
      </c>
      <c r="O122" s="1"/>
      <c r="P122" s="1"/>
      <c r="Q122" s="1">
        <v>2413050007</v>
      </c>
      <c r="R122" s="1" t="s">
        <v>505</v>
      </c>
      <c r="S122" s="1" t="s">
        <v>506</v>
      </c>
      <c r="T122" s="1" t="s">
        <v>480</v>
      </c>
      <c r="U122" s="1">
        <v>0</v>
      </c>
      <c r="V122" s="1" t="s">
        <v>36</v>
      </c>
      <c r="W122" s="1" t="s">
        <v>37</v>
      </c>
      <c r="X122" s="1">
        <v>2</v>
      </c>
      <c r="Y122" s="1">
        <v>0</v>
      </c>
    </row>
    <row r="123" spans="1:25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1">
        <v>34</v>
      </c>
      <c r="J123" s="3" t="s">
        <v>503</v>
      </c>
      <c r="K123" s="1">
        <v>28247</v>
      </c>
      <c r="L123" s="1" t="s">
        <v>30</v>
      </c>
      <c r="M123" s="1" t="s">
        <v>507</v>
      </c>
      <c r="N123" s="1">
        <v>2024</v>
      </c>
      <c r="O123" s="1">
        <v>1</v>
      </c>
      <c r="P123" s="1" t="s">
        <v>32</v>
      </c>
      <c r="Q123" s="1">
        <v>2413050008</v>
      </c>
      <c r="R123" s="1" t="s">
        <v>508</v>
      </c>
      <c r="S123" s="1" t="s">
        <v>509</v>
      </c>
      <c r="T123" s="1" t="s">
        <v>510</v>
      </c>
      <c r="U123" s="1">
        <v>0</v>
      </c>
      <c r="V123" s="1" t="s">
        <v>36</v>
      </c>
      <c r="W123" s="1" t="s">
        <v>37</v>
      </c>
      <c r="X123" s="1">
        <v>2</v>
      </c>
      <c r="Y123" s="1">
        <v>0</v>
      </c>
    </row>
    <row r="124" spans="1:25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1">
        <v>34</v>
      </c>
      <c r="J124" s="3" t="s">
        <v>503</v>
      </c>
      <c r="K124" s="1">
        <v>28205</v>
      </c>
      <c r="L124" s="1" t="s">
        <v>30</v>
      </c>
      <c r="M124" s="1" t="s">
        <v>304</v>
      </c>
      <c r="N124" s="1">
        <v>2024</v>
      </c>
      <c r="O124" s="1">
        <v>1</v>
      </c>
      <c r="P124" s="1" t="s">
        <v>32</v>
      </c>
      <c r="Q124" s="1">
        <v>2413050009</v>
      </c>
      <c r="R124" s="1" t="s">
        <v>511</v>
      </c>
      <c r="S124" s="1" t="s">
        <v>512</v>
      </c>
      <c r="T124" s="1" t="s">
        <v>513</v>
      </c>
      <c r="U124" s="1">
        <v>0</v>
      </c>
      <c r="V124" s="1" t="s">
        <v>36</v>
      </c>
      <c r="W124" s="1" t="s">
        <v>37</v>
      </c>
      <c r="X124" s="1">
        <v>2</v>
      </c>
      <c r="Y124" s="1">
        <v>0</v>
      </c>
    </row>
    <row r="125" spans="1:25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1">
        <v>34</v>
      </c>
      <c r="J125" s="3" t="s">
        <v>503</v>
      </c>
      <c r="K125" s="1">
        <v>28094</v>
      </c>
      <c r="L125" s="1" t="s">
        <v>30</v>
      </c>
      <c r="M125" s="1" t="s">
        <v>323</v>
      </c>
      <c r="N125" s="1">
        <v>2024</v>
      </c>
      <c r="O125" s="1">
        <v>1</v>
      </c>
      <c r="P125" s="1" t="s">
        <v>32</v>
      </c>
      <c r="Q125" s="1">
        <v>2413050010</v>
      </c>
      <c r="R125" s="1" t="s">
        <v>514</v>
      </c>
      <c r="S125" s="1" t="s">
        <v>515</v>
      </c>
      <c r="T125" s="1" t="s">
        <v>516</v>
      </c>
      <c r="U125" s="1">
        <v>0</v>
      </c>
      <c r="V125" s="1" t="s">
        <v>36</v>
      </c>
      <c r="W125" s="1" t="s">
        <v>37</v>
      </c>
      <c r="X125" s="1">
        <v>2</v>
      </c>
      <c r="Y125" s="1">
        <v>0</v>
      </c>
    </row>
    <row r="126" spans="1:25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1">
        <v>34</v>
      </c>
      <c r="J126" s="3" t="s">
        <v>503</v>
      </c>
      <c r="K126" s="1">
        <v>28185</v>
      </c>
      <c r="L126" s="1" t="s">
        <v>30</v>
      </c>
      <c r="M126" s="1" t="s">
        <v>176</v>
      </c>
      <c r="N126" s="1">
        <v>2024</v>
      </c>
      <c r="O126" s="1">
        <v>1</v>
      </c>
      <c r="P126" s="1" t="s">
        <v>32</v>
      </c>
      <c r="Q126" s="1">
        <v>2413050011</v>
      </c>
      <c r="R126" s="1" t="s">
        <v>517</v>
      </c>
      <c r="S126" s="1" t="s">
        <v>518</v>
      </c>
      <c r="T126" s="1" t="s">
        <v>519</v>
      </c>
      <c r="U126" s="1">
        <v>0</v>
      </c>
      <c r="V126" s="1" t="s">
        <v>36</v>
      </c>
      <c r="W126" s="1" t="s">
        <v>37</v>
      </c>
      <c r="X126" s="1">
        <v>2</v>
      </c>
      <c r="Y126" s="1">
        <v>0</v>
      </c>
    </row>
    <row r="127" spans="1:25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1">
        <v>34</v>
      </c>
      <c r="J127" s="3" t="s">
        <v>503</v>
      </c>
      <c r="K127" s="1">
        <v>28193</v>
      </c>
      <c r="L127" s="1" t="s">
        <v>30</v>
      </c>
      <c r="M127" s="1" t="s">
        <v>520</v>
      </c>
      <c r="N127" s="1">
        <v>2024</v>
      </c>
      <c r="O127" s="1">
        <v>1</v>
      </c>
      <c r="P127" s="1" t="s">
        <v>32</v>
      </c>
      <c r="Q127" s="1">
        <v>2413050012</v>
      </c>
      <c r="R127" s="1" t="s">
        <v>521</v>
      </c>
      <c r="S127" s="1" t="s">
        <v>522</v>
      </c>
      <c r="T127" s="1" t="s">
        <v>523</v>
      </c>
      <c r="U127" s="1">
        <v>0</v>
      </c>
      <c r="V127" s="1" t="s">
        <v>36</v>
      </c>
      <c r="W127" s="1" t="s">
        <v>37</v>
      </c>
      <c r="X127" s="1">
        <v>2</v>
      </c>
      <c r="Y127" s="1">
        <v>0</v>
      </c>
    </row>
    <row r="128" spans="1:25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1">
        <v>6</v>
      </c>
      <c r="J128" s="3" t="s">
        <v>475</v>
      </c>
      <c r="K128" s="1">
        <v>28219</v>
      </c>
      <c r="L128" s="1" t="s">
        <v>30</v>
      </c>
      <c r="M128" s="1" t="s">
        <v>524</v>
      </c>
      <c r="N128" s="1">
        <v>2024</v>
      </c>
      <c r="O128" s="1">
        <v>1</v>
      </c>
      <c r="P128" s="1" t="s">
        <v>32</v>
      </c>
      <c r="Q128" s="1">
        <v>2413050013</v>
      </c>
      <c r="R128" s="1" t="s">
        <v>525</v>
      </c>
      <c r="S128" s="1" t="s">
        <v>526</v>
      </c>
      <c r="T128" s="1" t="s">
        <v>527</v>
      </c>
      <c r="U128" s="1">
        <v>0</v>
      </c>
      <c r="V128" s="1" t="s">
        <v>36</v>
      </c>
      <c r="W128" s="1" t="s">
        <v>37</v>
      </c>
      <c r="X128" s="1">
        <v>3</v>
      </c>
      <c r="Y128" s="1">
        <v>0</v>
      </c>
    </row>
    <row r="129" spans="1:25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1">
        <v>34</v>
      </c>
      <c r="J129" s="3" t="s">
        <v>503</v>
      </c>
      <c r="K129" s="1">
        <v>28269</v>
      </c>
      <c r="L129" s="1" t="s">
        <v>30</v>
      </c>
      <c r="M129" s="1" t="s">
        <v>528</v>
      </c>
      <c r="N129" s="1">
        <v>2024</v>
      </c>
      <c r="O129" s="1"/>
      <c r="P129" s="1"/>
      <c r="Q129" s="1">
        <v>2413050014</v>
      </c>
      <c r="R129" s="1" t="s">
        <v>529</v>
      </c>
      <c r="S129" s="1" t="s">
        <v>530</v>
      </c>
      <c r="T129" s="1" t="s">
        <v>531</v>
      </c>
      <c r="U129" s="1">
        <v>0</v>
      </c>
      <c r="V129" s="1" t="s">
        <v>36</v>
      </c>
      <c r="W129" s="1" t="s">
        <v>37</v>
      </c>
      <c r="X129" s="1">
        <v>2</v>
      </c>
      <c r="Y129" s="1">
        <v>0</v>
      </c>
    </row>
    <row r="130" spans="1:25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1">
        <v>34</v>
      </c>
      <c r="J130" s="3" t="s">
        <v>503</v>
      </c>
      <c r="K130" s="1">
        <v>28029</v>
      </c>
      <c r="L130" s="1" t="s">
        <v>30</v>
      </c>
      <c r="M130" s="1" t="s">
        <v>194</v>
      </c>
      <c r="N130" s="1">
        <v>2024</v>
      </c>
      <c r="O130" s="1">
        <v>1</v>
      </c>
      <c r="P130" s="1" t="s">
        <v>32</v>
      </c>
      <c r="Q130" s="1">
        <v>2413050015</v>
      </c>
      <c r="R130" s="1" t="s">
        <v>532</v>
      </c>
      <c r="S130" s="1" t="s">
        <v>533</v>
      </c>
      <c r="T130" s="1" t="s">
        <v>534</v>
      </c>
      <c r="U130" s="1">
        <v>0</v>
      </c>
      <c r="V130" s="1" t="s">
        <v>36</v>
      </c>
      <c r="W130" s="1" t="s">
        <v>37</v>
      </c>
      <c r="X130" s="1">
        <v>2</v>
      </c>
      <c r="Y130" s="1">
        <v>0</v>
      </c>
    </row>
    <row r="131" spans="1:25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1">
        <v>34</v>
      </c>
      <c r="J131" s="3" t="s">
        <v>503</v>
      </c>
      <c r="K131" s="1">
        <v>1355</v>
      </c>
      <c r="L131" s="1" t="s">
        <v>535</v>
      </c>
      <c r="M131" s="1" t="s">
        <v>536</v>
      </c>
      <c r="N131" s="1">
        <v>2024</v>
      </c>
      <c r="O131" s="1">
        <v>1</v>
      </c>
      <c r="P131" s="1" t="s">
        <v>32</v>
      </c>
      <c r="Q131" s="1">
        <v>2413050016</v>
      </c>
      <c r="R131" s="1" t="s">
        <v>537</v>
      </c>
      <c r="S131" s="1" t="s">
        <v>538</v>
      </c>
      <c r="T131" s="1" t="s">
        <v>539</v>
      </c>
      <c r="U131" s="1">
        <v>0</v>
      </c>
      <c r="V131" s="1" t="s">
        <v>36</v>
      </c>
      <c r="W131" s="1" t="s">
        <v>37</v>
      </c>
      <c r="X131" s="1">
        <v>2</v>
      </c>
      <c r="Y131" s="1">
        <v>0</v>
      </c>
    </row>
    <row r="132" spans="1:25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1">
        <v>6</v>
      </c>
      <c r="J132" s="3" t="s">
        <v>475</v>
      </c>
      <c r="K132" s="1">
        <v>28142</v>
      </c>
      <c r="L132" s="1" t="s">
        <v>30</v>
      </c>
      <c r="M132" s="1" t="s">
        <v>540</v>
      </c>
      <c r="N132" s="1">
        <v>2024</v>
      </c>
      <c r="O132" s="1">
        <v>1</v>
      </c>
      <c r="P132" s="1" t="s">
        <v>32</v>
      </c>
      <c r="Q132" s="1">
        <v>2413050017</v>
      </c>
      <c r="R132" s="1" t="s">
        <v>541</v>
      </c>
      <c r="S132" s="1" t="s">
        <v>542</v>
      </c>
      <c r="T132" s="1" t="s">
        <v>543</v>
      </c>
      <c r="U132" s="1">
        <v>0</v>
      </c>
      <c r="V132" s="1" t="s">
        <v>36</v>
      </c>
      <c r="W132" s="1" t="s">
        <v>37</v>
      </c>
      <c r="X132" s="1">
        <v>2</v>
      </c>
      <c r="Y132" s="1">
        <v>0</v>
      </c>
    </row>
    <row r="133" spans="1:25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1">
        <v>6</v>
      </c>
      <c r="J133" s="3" t="s">
        <v>475</v>
      </c>
      <c r="K133" s="1">
        <v>1347</v>
      </c>
      <c r="L133" s="1" t="s">
        <v>535</v>
      </c>
      <c r="M133" s="1" t="s">
        <v>544</v>
      </c>
      <c r="N133" s="1">
        <v>2024</v>
      </c>
      <c r="O133" s="1">
        <v>1</v>
      </c>
      <c r="P133" s="1" t="s">
        <v>32</v>
      </c>
      <c r="Q133" s="1">
        <v>2413050018</v>
      </c>
      <c r="R133" s="1" t="s">
        <v>545</v>
      </c>
      <c r="S133" s="1" t="s">
        <v>546</v>
      </c>
      <c r="T133" s="1" t="s">
        <v>547</v>
      </c>
      <c r="U133" s="1">
        <v>0</v>
      </c>
      <c r="V133" s="1" t="s">
        <v>36</v>
      </c>
      <c r="W133" s="1" t="s">
        <v>37</v>
      </c>
      <c r="X133" s="1">
        <v>2</v>
      </c>
      <c r="Y133" s="1">
        <v>0</v>
      </c>
    </row>
    <row r="134" spans="1:25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1">
        <v>34</v>
      </c>
      <c r="J134" s="3" t="s">
        <v>503</v>
      </c>
      <c r="K134" s="1">
        <v>28157</v>
      </c>
      <c r="L134" s="1" t="s">
        <v>30</v>
      </c>
      <c r="M134" s="1" t="s">
        <v>548</v>
      </c>
      <c r="N134" s="1">
        <v>2024</v>
      </c>
      <c r="O134" s="1">
        <v>1</v>
      </c>
      <c r="P134" s="1" t="s">
        <v>32</v>
      </c>
      <c r="Q134" s="1">
        <v>2413050019</v>
      </c>
      <c r="R134" s="1" t="s">
        <v>549</v>
      </c>
      <c r="S134" s="1" t="s">
        <v>550</v>
      </c>
      <c r="T134" s="1" t="s">
        <v>551</v>
      </c>
      <c r="U134" s="1">
        <v>0</v>
      </c>
      <c r="V134" s="1" t="s">
        <v>36</v>
      </c>
      <c r="W134" s="1" t="s">
        <v>37</v>
      </c>
      <c r="X134" s="1">
        <v>2</v>
      </c>
      <c r="Y134" s="1">
        <v>0</v>
      </c>
    </row>
    <row r="135" spans="1:25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1">
        <v>6</v>
      </c>
      <c r="J135" s="3" t="s">
        <v>475</v>
      </c>
      <c r="K135" s="1">
        <v>46118</v>
      </c>
      <c r="L135" s="1" t="s">
        <v>476</v>
      </c>
      <c r="M135" s="1" t="s">
        <v>477</v>
      </c>
      <c r="N135" s="1">
        <v>2024</v>
      </c>
      <c r="O135" s="1">
        <v>1</v>
      </c>
      <c r="P135" s="1" t="s">
        <v>32</v>
      </c>
      <c r="Q135" s="1">
        <v>2413050020</v>
      </c>
      <c r="R135" s="1" t="s">
        <v>552</v>
      </c>
      <c r="S135" s="1" t="s">
        <v>553</v>
      </c>
      <c r="T135" s="1" t="s">
        <v>554</v>
      </c>
      <c r="U135" s="1">
        <v>0</v>
      </c>
      <c r="V135" s="1" t="s">
        <v>36</v>
      </c>
      <c r="W135" s="1" t="s">
        <v>37</v>
      </c>
      <c r="X135" s="1">
        <v>3</v>
      </c>
      <c r="Y135" s="1">
        <v>0</v>
      </c>
    </row>
    <row r="136" spans="1:25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1">
        <v>6</v>
      </c>
      <c r="J136" s="3" t="s">
        <v>475</v>
      </c>
      <c r="K136" s="1">
        <v>43091</v>
      </c>
      <c r="L136" s="1" t="s">
        <v>555</v>
      </c>
      <c r="M136" s="1" t="s">
        <v>556</v>
      </c>
      <c r="N136" s="1">
        <v>2024</v>
      </c>
      <c r="O136" s="1"/>
      <c r="P136" s="1"/>
      <c r="Q136" s="1">
        <v>2413050021</v>
      </c>
      <c r="R136" s="1" t="s">
        <v>557</v>
      </c>
      <c r="S136" s="1" t="s">
        <v>558</v>
      </c>
      <c r="T136" s="1" t="s">
        <v>559</v>
      </c>
      <c r="U136" s="1">
        <v>0</v>
      </c>
      <c r="V136" s="1" t="s">
        <v>36</v>
      </c>
      <c r="W136" s="1" t="s">
        <v>37</v>
      </c>
      <c r="X136" s="1">
        <v>2</v>
      </c>
      <c r="Y136" s="1">
        <v>0</v>
      </c>
    </row>
    <row r="137" spans="1:25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1">
        <v>34</v>
      </c>
      <c r="J137" s="3" t="s">
        <v>503</v>
      </c>
      <c r="K137" s="1">
        <v>28099</v>
      </c>
      <c r="L137" s="1" t="s">
        <v>30</v>
      </c>
      <c r="M137" s="1" t="s">
        <v>268</v>
      </c>
      <c r="N137" s="1">
        <v>2024</v>
      </c>
      <c r="O137" s="1">
        <v>1</v>
      </c>
      <c r="P137" s="1" t="s">
        <v>32</v>
      </c>
      <c r="Q137" s="1">
        <v>2413050022</v>
      </c>
      <c r="R137" s="1" t="s">
        <v>560</v>
      </c>
      <c r="S137" s="1" t="s">
        <v>561</v>
      </c>
      <c r="T137" s="1" t="s">
        <v>562</v>
      </c>
      <c r="U137" s="1">
        <v>0</v>
      </c>
      <c r="V137" s="1" t="s">
        <v>36</v>
      </c>
      <c r="W137" s="1" t="s">
        <v>37</v>
      </c>
      <c r="X137" s="1">
        <v>2</v>
      </c>
      <c r="Y137" s="1">
        <v>0</v>
      </c>
    </row>
    <row r="138" spans="1:25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1">
        <v>34</v>
      </c>
      <c r="J138" s="3" t="s">
        <v>503</v>
      </c>
      <c r="K138" s="1">
        <v>28098</v>
      </c>
      <c r="L138" s="1" t="s">
        <v>30</v>
      </c>
      <c r="M138" s="1" t="s">
        <v>563</v>
      </c>
      <c r="N138" s="1">
        <v>2024</v>
      </c>
      <c r="O138" s="1">
        <v>1</v>
      </c>
      <c r="P138" s="1" t="s">
        <v>32</v>
      </c>
      <c r="Q138" s="1">
        <v>2413050023</v>
      </c>
      <c r="R138" s="1" t="s">
        <v>564</v>
      </c>
      <c r="S138" s="1" t="s">
        <v>565</v>
      </c>
      <c r="T138" s="1" t="s">
        <v>566</v>
      </c>
      <c r="U138" s="1">
        <v>0</v>
      </c>
      <c r="V138" s="1" t="s">
        <v>36</v>
      </c>
      <c r="W138" s="1" t="s">
        <v>37</v>
      </c>
      <c r="X138" s="1">
        <v>2</v>
      </c>
      <c r="Y138" s="1">
        <v>0</v>
      </c>
    </row>
    <row r="139" spans="1:25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1">
        <v>6</v>
      </c>
      <c r="J139" s="3" t="s">
        <v>475</v>
      </c>
      <c r="K139" s="1">
        <v>1347</v>
      </c>
      <c r="L139" s="1" t="s">
        <v>535</v>
      </c>
      <c r="M139" s="1" t="s">
        <v>544</v>
      </c>
      <c r="N139" s="1">
        <v>2024</v>
      </c>
      <c r="O139" s="1"/>
      <c r="P139" s="1"/>
      <c r="Q139" s="1">
        <v>2413050024</v>
      </c>
      <c r="R139" s="1" t="s">
        <v>567</v>
      </c>
      <c r="S139" s="1" t="s">
        <v>568</v>
      </c>
      <c r="T139" s="1" t="s">
        <v>569</v>
      </c>
      <c r="U139" s="1">
        <v>0</v>
      </c>
      <c r="V139" s="1" t="s">
        <v>36</v>
      </c>
      <c r="W139" s="1" t="s">
        <v>37</v>
      </c>
      <c r="X139" s="1">
        <v>2</v>
      </c>
      <c r="Y139" s="1">
        <v>0</v>
      </c>
    </row>
    <row r="140" spans="1:25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1">
        <v>34</v>
      </c>
      <c r="J140" s="3" t="s">
        <v>503</v>
      </c>
      <c r="K140" s="1">
        <v>33133</v>
      </c>
      <c r="L140" s="1" t="s">
        <v>145</v>
      </c>
      <c r="M140" s="1" t="s">
        <v>570</v>
      </c>
      <c r="N140" s="1">
        <v>2024</v>
      </c>
      <c r="O140" s="1"/>
      <c r="P140" s="1"/>
      <c r="Q140" s="1">
        <v>2413050025</v>
      </c>
      <c r="R140" s="1" t="s">
        <v>571</v>
      </c>
      <c r="S140" s="1" t="s">
        <v>572</v>
      </c>
      <c r="T140" s="1" t="s">
        <v>573</v>
      </c>
      <c r="U140" s="1">
        <v>0</v>
      </c>
      <c r="V140" s="1" t="s">
        <v>36</v>
      </c>
      <c r="W140" s="1" t="s">
        <v>37</v>
      </c>
      <c r="X140" s="1">
        <v>2</v>
      </c>
      <c r="Y140" s="1">
        <v>0</v>
      </c>
    </row>
    <row r="141" spans="1:25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1">
        <v>34</v>
      </c>
      <c r="J141" s="3" t="s">
        <v>503</v>
      </c>
      <c r="K141" s="1">
        <v>28269</v>
      </c>
      <c r="L141" s="1" t="s">
        <v>30</v>
      </c>
      <c r="M141" s="1" t="s">
        <v>528</v>
      </c>
      <c r="N141" s="1">
        <v>2024</v>
      </c>
      <c r="O141" s="1"/>
      <c r="P141" s="1"/>
      <c r="Q141" s="1">
        <v>2413050026</v>
      </c>
      <c r="R141" s="1" t="s">
        <v>574</v>
      </c>
      <c r="S141" s="1" t="s">
        <v>575</v>
      </c>
      <c r="T141" s="1" t="s">
        <v>576</v>
      </c>
      <c r="U141" s="1">
        <v>0</v>
      </c>
      <c r="V141" s="1" t="s">
        <v>36</v>
      </c>
      <c r="W141" s="1" t="s">
        <v>37</v>
      </c>
      <c r="X141" s="1">
        <v>2</v>
      </c>
      <c r="Y141" s="1">
        <v>0</v>
      </c>
    </row>
    <row r="142" spans="1:25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1">
        <v>34</v>
      </c>
      <c r="J142" s="3" t="s">
        <v>503</v>
      </c>
      <c r="K142" s="1">
        <v>28100</v>
      </c>
      <c r="L142" s="1" t="s">
        <v>30</v>
      </c>
      <c r="M142" s="1" t="s">
        <v>487</v>
      </c>
      <c r="N142" s="1">
        <v>2024</v>
      </c>
      <c r="O142" s="1"/>
      <c r="P142" s="1"/>
      <c r="Q142" s="1">
        <v>2413050027</v>
      </c>
      <c r="R142" s="1" t="s">
        <v>577</v>
      </c>
      <c r="S142" s="1" t="s">
        <v>578</v>
      </c>
      <c r="T142" s="1" t="s">
        <v>579</v>
      </c>
      <c r="U142" s="1">
        <v>0</v>
      </c>
      <c r="V142" s="1" t="s">
        <v>36</v>
      </c>
      <c r="W142" s="1" t="s">
        <v>37</v>
      </c>
      <c r="X142" s="1">
        <v>2</v>
      </c>
      <c r="Y142" s="1">
        <v>0</v>
      </c>
    </row>
    <row r="143" spans="1:25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1">
        <v>34</v>
      </c>
      <c r="J143" s="3" t="s">
        <v>503</v>
      </c>
      <c r="K143" s="1">
        <v>28185</v>
      </c>
      <c r="L143" s="1" t="s">
        <v>30</v>
      </c>
      <c r="M143" s="1" t="s">
        <v>176</v>
      </c>
      <c r="N143" s="1">
        <v>2024</v>
      </c>
      <c r="O143" s="1">
        <v>1</v>
      </c>
      <c r="P143" s="1" t="s">
        <v>32</v>
      </c>
      <c r="Q143" s="1">
        <v>2413050028</v>
      </c>
      <c r="R143" s="1" t="s">
        <v>580</v>
      </c>
      <c r="S143" s="1" t="s">
        <v>581</v>
      </c>
      <c r="T143" s="1" t="s">
        <v>582</v>
      </c>
      <c r="U143" s="1">
        <v>0</v>
      </c>
      <c r="V143" s="1" t="s">
        <v>36</v>
      </c>
      <c r="W143" s="1" t="s">
        <v>37</v>
      </c>
      <c r="X143" s="1">
        <v>2</v>
      </c>
      <c r="Y143" s="1">
        <v>0</v>
      </c>
    </row>
    <row r="144" spans="1:25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1">
        <v>6</v>
      </c>
      <c r="J144" s="3" t="s">
        <v>475</v>
      </c>
      <c r="K144" s="1">
        <v>28029</v>
      </c>
      <c r="L144" s="1" t="s">
        <v>30</v>
      </c>
      <c r="M144" s="1" t="s">
        <v>194</v>
      </c>
      <c r="N144" s="1">
        <v>2024</v>
      </c>
      <c r="O144" s="1">
        <v>1</v>
      </c>
      <c r="P144" s="1" t="s">
        <v>32</v>
      </c>
      <c r="Q144" s="1">
        <v>2413050029</v>
      </c>
      <c r="R144" s="1" t="s">
        <v>583</v>
      </c>
      <c r="S144" s="1" t="s">
        <v>584</v>
      </c>
      <c r="T144" s="1" t="s">
        <v>585</v>
      </c>
      <c r="U144" s="1">
        <v>0</v>
      </c>
      <c r="V144" s="1" t="s">
        <v>36</v>
      </c>
      <c r="W144" s="1" t="s">
        <v>37</v>
      </c>
      <c r="X144" s="1">
        <v>2</v>
      </c>
      <c r="Y144" s="1">
        <v>0</v>
      </c>
    </row>
    <row r="145" spans="1:25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1">
        <v>34</v>
      </c>
      <c r="J145" s="3" t="s">
        <v>503</v>
      </c>
      <c r="K145" s="1">
        <v>28264</v>
      </c>
      <c r="L145" s="1" t="s">
        <v>30</v>
      </c>
      <c r="M145" s="1" t="s">
        <v>586</v>
      </c>
      <c r="N145" s="1">
        <v>2024</v>
      </c>
      <c r="O145" s="1">
        <v>1</v>
      </c>
      <c r="P145" s="1" t="s">
        <v>32</v>
      </c>
      <c r="Q145" s="1">
        <v>2413050030</v>
      </c>
      <c r="R145" s="1" t="s">
        <v>587</v>
      </c>
      <c r="S145" s="1" t="s">
        <v>588</v>
      </c>
      <c r="T145" s="1" t="s">
        <v>589</v>
      </c>
      <c r="U145" s="1">
        <v>0</v>
      </c>
      <c r="V145" s="1" t="s">
        <v>36</v>
      </c>
      <c r="W145" s="1" t="s">
        <v>37</v>
      </c>
      <c r="X145" s="1">
        <v>2</v>
      </c>
      <c r="Y145" s="1">
        <v>0</v>
      </c>
    </row>
    <row r="146" spans="1:25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1">
        <v>34</v>
      </c>
      <c r="J146" s="3" t="s">
        <v>503</v>
      </c>
      <c r="K146" s="1">
        <v>28088</v>
      </c>
      <c r="L146" s="1" t="s">
        <v>30</v>
      </c>
      <c r="M146" s="1" t="s">
        <v>590</v>
      </c>
      <c r="N146" s="1">
        <v>2024</v>
      </c>
      <c r="O146" s="1"/>
      <c r="P146" s="1"/>
      <c r="Q146" s="1">
        <v>2413050031</v>
      </c>
      <c r="R146" s="1" t="s">
        <v>591</v>
      </c>
      <c r="S146" s="1" t="s">
        <v>592</v>
      </c>
      <c r="T146" s="1" t="s">
        <v>593</v>
      </c>
      <c r="U146" s="1">
        <v>0</v>
      </c>
      <c r="V146" s="1" t="s">
        <v>36</v>
      </c>
      <c r="W146" s="1" t="s">
        <v>37</v>
      </c>
      <c r="X146" s="1">
        <v>2</v>
      </c>
      <c r="Y146" s="1">
        <v>0</v>
      </c>
    </row>
    <row r="147" spans="1:25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1">
        <v>34</v>
      </c>
      <c r="J147" s="3" t="s">
        <v>503</v>
      </c>
      <c r="K147" s="1">
        <v>28098</v>
      </c>
      <c r="L147" s="1" t="s">
        <v>30</v>
      </c>
      <c r="M147" s="1" t="s">
        <v>563</v>
      </c>
      <c r="N147" s="1">
        <v>2024</v>
      </c>
      <c r="O147" s="1">
        <v>1</v>
      </c>
      <c r="P147" s="1" t="s">
        <v>32</v>
      </c>
      <c r="Q147" s="1">
        <v>2413050032</v>
      </c>
      <c r="R147" s="1" t="s">
        <v>594</v>
      </c>
      <c r="S147" s="1" t="s">
        <v>595</v>
      </c>
      <c r="T147" s="1" t="s">
        <v>547</v>
      </c>
      <c r="U147" s="1">
        <v>0</v>
      </c>
      <c r="V147" s="1" t="s">
        <v>36</v>
      </c>
      <c r="W147" s="1" t="s">
        <v>37</v>
      </c>
      <c r="X147" s="1">
        <v>2</v>
      </c>
      <c r="Y147" s="1">
        <v>0</v>
      </c>
    </row>
    <row r="148" spans="1:25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1">
        <v>6</v>
      </c>
      <c r="J148" s="3" t="s">
        <v>475</v>
      </c>
      <c r="K148" s="1">
        <v>28269</v>
      </c>
      <c r="L148" s="1" t="s">
        <v>30</v>
      </c>
      <c r="M148" s="1" t="s">
        <v>528</v>
      </c>
      <c r="N148" s="1">
        <v>2024</v>
      </c>
      <c r="O148" s="1">
        <v>1</v>
      </c>
      <c r="P148" s="1" t="s">
        <v>32</v>
      </c>
      <c r="Q148" s="1">
        <v>2413050033</v>
      </c>
      <c r="R148" s="1" t="s">
        <v>596</v>
      </c>
      <c r="S148" s="1" t="s">
        <v>597</v>
      </c>
      <c r="T148" s="1" t="s">
        <v>513</v>
      </c>
      <c r="U148" s="1">
        <v>0</v>
      </c>
      <c r="V148" s="1" t="s">
        <v>36</v>
      </c>
      <c r="W148" s="1" t="s">
        <v>37</v>
      </c>
      <c r="X148" s="1">
        <v>2</v>
      </c>
      <c r="Y148" s="1">
        <v>0</v>
      </c>
    </row>
    <row r="149" spans="1:25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1">
        <v>6</v>
      </c>
      <c r="J149" s="3" t="s">
        <v>475</v>
      </c>
      <c r="K149" s="1">
        <v>28182</v>
      </c>
      <c r="L149" s="1" t="s">
        <v>30</v>
      </c>
      <c r="M149" s="1" t="s">
        <v>598</v>
      </c>
      <c r="N149" s="1">
        <v>2024</v>
      </c>
      <c r="O149" s="1"/>
      <c r="P149" s="1"/>
      <c r="Q149" s="1">
        <v>2413050034</v>
      </c>
      <c r="R149" s="1" t="s">
        <v>599</v>
      </c>
      <c r="S149" s="1" t="s">
        <v>600</v>
      </c>
      <c r="T149" s="1" t="s">
        <v>601</v>
      </c>
      <c r="U149" s="1">
        <v>0</v>
      </c>
      <c r="V149" s="1" t="s">
        <v>36</v>
      </c>
      <c r="W149" s="1" t="s">
        <v>37</v>
      </c>
      <c r="X149" s="1">
        <v>2</v>
      </c>
      <c r="Y149" s="1">
        <v>0</v>
      </c>
    </row>
    <row r="150" spans="1:25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1">
        <v>34</v>
      </c>
      <c r="J150" s="3" t="s">
        <v>503</v>
      </c>
      <c r="K150" s="1">
        <v>28193</v>
      </c>
      <c r="L150" s="1" t="s">
        <v>30</v>
      </c>
      <c r="M150" s="1" t="s">
        <v>520</v>
      </c>
      <c r="N150" s="1">
        <v>2024</v>
      </c>
      <c r="O150" s="1"/>
      <c r="P150" s="1"/>
      <c r="Q150" s="1">
        <v>2413050035</v>
      </c>
      <c r="R150" s="1" t="s">
        <v>602</v>
      </c>
      <c r="S150" s="1" t="s">
        <v>603</v>
      </c>
      <c r="T150" s="1" t="s">
        <v>604</v>
      </c>
      <c r="U150" s="1">
        <v>0</v>
      </c>
      <c r="V150" s="1" t="s">
        <v>36</v>
      </c>
      <c r="W150" s="1" t="s">
        <v>37</v>
      </c>
      <c r="X150" s="1">
        <v>2</v>
      </c>
      <c r="Y150" s="1">
        <v>0</v>
      </c>
    </row>
    <row r="151" spans="1:25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1">
        <v>6</v>
      </c>
      <c r="J151" s="3" t="s">
        <v>475</v>
      </c>
      <c r="K151" s="1">
        <v>28176</v>
      </c>
      <c r="L151" s="1" t="s">
        <v>30</v>
      </c>
      <c r="M151" s="1" t="s">
        <v>605</v>
      </c>
      <c r="N151" s="1">
        <v>2021</v>
      </c>
      <c r="O151" s="1">
        <v>1</v>
      </c>
      <c r="P151" s="1" t="s">
        <v>32</v>
      </c>
      <c r="Q151" s="1">
        <v>2413050036</v>
      </c>
      <c r="R151" s="1" t="s">
        <v>606</v>
      </c>
      <c r="S151" s="1" t="s">
        <v>607</v>
      </c>
      <c r="T151" s="1" t="s">
        <v>608</v>
      </c>
      <c r="U151" s="1">
        <v>0</v>
      </c>
      <c r="V151" s="1" t="s">
        <v>36</v>
      </c>
      <c r="W151" s="1" t="s">
        <v>37</v>
      </c>
      <c r="X151" s="1">
        <v>2</v>
      </c>
      <c r="Y151" s="1">
        <v>0</v>
      </c>
    </row>
    <row r="152" spans="1:25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1">
        <v>6</v>
      </c>
      <c r="J152" s="3" t="s">
        <v>475</v>
      </c>
      <c r="K152" s="1">
        <v>28269</v>
      </c>
      <c r="L152" s="1" t="s">
        <v>30</v>
      </c>
      <c r="M152" s="1" t="s">
        <v>528</v>
      </c>
      <c r="N152" s="1">
        <v>2024</v>
      </c>
      <c r="O152" s="1">
        <v>1</v>
      </c>
      <c r="P152" s="1" t="s">
        <v>32</v>
      </c>
      <c r="Q152" s="1">
        <v>2413050037</v>
      </c>
      <c r="R152" s="1" t="s">
        <v>609</v>
      </c>
      <c r="S152" s="1" t="s">
        <v>610</v>
      </c>
      <c r="T152" s="1" t="s">
        <v>611</v>
      </c>
      <c r="U152" s="1">
        <v>0</v>
      </c>
      <c r="V152" s="1" t="s">
        <v>36</v>
      </c>
      <c r="W152" s="1" t="s">
        <v>37</v>
      </c>
      <c r="X152" s="1">
        <v>2</v>
      </c>
      <c r="Y152" s="1">
        <v>0</v>
      </c>
    </row>
    <row r="153" spans="1:25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1">
        <v>6</v>
      </c>
      <c r="J153" s="3" t="s">
        <v>475</v>
      </c>
      <c r="K153" s="1">
        <v>28094</v>
      </c>
      <c r="L153" s="1" t="s">
        <v>30</v>
      </c>
      <c r="M153" s="1" t="s">
        <v>323</v>
      </c>
      <c r="N153" s="1">
        <v>2024</v>
      </c>
      <c r="O153" s="1">
        <v>1</v>
      </c>
      <c r="P153" s="1" t="s">
        <v>32</v>
      </c>
      <c r="Q153" s="1">
        <v>2413050038</v>
      </c>
      <c r="R153" s="1" t="s">
        <v>612</v>
      </c>
      <c r="S153" s="1" t="s">
        <v>613</v>
      </c>
      <c r="T153" s="1" t="s">
        <v>614</v>
      </c>
      <c r="U153" s="1">
        <v>0</v>
      </c>
      <c r="V153" s="1" t="s">
        <v>36</v>
      </c>
      <c r="W153" s="1" t="s">
        <v>37</v>
      </c>
      <c r="X153" s="1">
        <v>2</v>
      </c>
      <c r="Y153" s="1">
        <v>0</v>
      </c>
    </row>
    <row r="154" spans="1:25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1">
        <v>34</v>
      </c>
      <c r="J154" s="3" t="s">
        <v>503</v>
      </c>
      <c r="K154" s="1">
        <v>28029</v>
      </c>
      <c r="L154" s="1" t="s">
        <v>30</v>
      </c>
      <c r="M154" s="1" t="s">
        <v>194</v>
      </c>
      <c r="N154" s="1">
        <v>2024</v>
      </c>
      <c r="O154" s="1">
        <v>1</v>
      </c>
      <c r="P154" s="1" t="s">
        <v>32</v>
      </c>
      <c r="Q154" s="1">
        <v>2413050039</v>
      </c>
      <c r="R154" s="1" t="s">
        <v>615</v>
      </c>
      <c r="S154" s="1" t="s">
        <v>616</v>
      </c>
      <c r="T154" s="1" t="s">
        <v>617</v>
      </c>
      <c r="U154" s="1">
        <v>0</v>
      </c>
      <c r="V154" s="1" t="s">
        <v>36</v>
      </c>
      <c r="W154" s="1" t="s">
        <v>37</v>
      </c>
      <c r="X154" s="1">
        <v>2</v>
      </c>
      <c r="Y154" s="1">
        <v>0</v>
      </c>
    </row>
    <row r="155" spans="1:25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1">
        <v>34</v>
      </c>
      <c r="J155" s="3" t="s">
        <v>503</v>
      </c>
      <c r="K155" s="1">
        <v>28091</v>
      </c>
      <c r="L155" s="1" t="s">
        <v>30</v>
      </c>
      <c r="M155" s="1" t="s">
        <v>618</v>
      </c>
      <c r="N155" s="1">
        <v>2024</v>
      </c>
      <c r="O155" s="1">
        <v>1</v>
      </c>
      <c r="P155" s="1" t="s">
        <v>32</v>
      </c>
      <c r="Q155" s="1">
        <v>2413050040</v>
      </c>
      <c r="R155" s="1" t="s">
        <v>619</v>
      </c>
      <c r="S155" s="1" t="s">
        <v>620</v>
      </c>
      <c r="T155" s="1" t="s">
        <v>621</v>
      </c>
      <c r="U155" s="1">
        <v>0</v>
      </c>
      <c r="V155" s="1" t="s">
        <v>36</v>
      </c>
      <c r="W155" s="1" t="s">
        <v>37</v>
      </c>
      <c r="X155" s="1">
        <v>2</v>
      </c>
      <c r="Y155" s="1">
        <v>0</v>
      </c>
    </row>
    <row r="156" spans="1:25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1">
        <v>34</v>
      </c>
      <c r="J156" s="3" t="s">
        <v>503</v>
      </c>
      <c r="K156" s="1">
        <v>46118</v>
      </c>
      <c r="L156" s="1" t="s">
        <v>476</v>
      </c>
      <c r="M156" s="1" t="s">
        <v>477</v>
      </c>
      <c r="N156" s="1">
        <v>2024</v>
      </c>
      <c r="O156" s="1">
        <v>1</v>
      </c>
      <c r="P156" s="1" t="s">
        <v>32</v>
      </c>
      <c r="Q156" s="1">
        <v>2413050041</v>
      </c>
      <c r="R156" s="1" t="s">
        <v>622</v>
      </c>
      <c r="S156" s="1" t="s">
        <v>623</v>
      </c>
      <c r="T156" s="1" t="s">
        <v>624</v>
      </c>
      <c r="U156" s="1">
        <v>0</v>
      </c>
      <c r="V156" s="1" t="s">
        <v>36</v>
      </c>
      <c r="W156" s="1" t="s">
        <v>37</v>
      </c>
      <c r="X156" s="1">
        <v>2</v>
      </c>
      <c r="Y156" s="1">
        <v>0</v>
      </c>
    </row>
    <row r="157" spans="1:25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1">
        <v>6</v>
      </c>
      <c r="J157" s="3" t="s">
        <v>475</v>
      </c>
      <c r="K157" s="1">
        <v>28015</v>
      </c>
      <c r="L157" s="1" t="s">
        <v>30</v>
      </c>
      <c r="M157" s="1" t="s">
        <v>625</v>
      </c>
      <c r="N157" s="1">
        <v>2024</v>
      </c>
      <c r="O157" s="1"/>
      <c r="P157" s="1"/>
      <c r="Q157" s="1">
        <v>2413050042</v>
      </c>
      <c r="R157" s="1" t="s">
        <v>626</v>
      </c>
      <c r="S157" s="1" t="s">
        <v>627</v>
      </c>
      <c r="T157" s="1" t="s">
        <v>628</v>
      </c>
      <c r="U157" s="1">
        <v>0</v>
      </c>
      <c r="V157" s="1" t="s">
        <v>36</v>
      </c>
      <c r="W157" s="1" t="s">
        <v>37</v>
      </c>
      <c r="X157" s="1">
        <v>2</v>
      </c>
      <c r="Y157" s="1">
        <v>0</v>
      </c>
    </row>
    <row r="158" spans="1:25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1">
        <v>34</v>
      </c>
      <c r="J158" s="3" t="s">
        <v>503</v>
      </c>
      <c r="K158" s="1">
        <v>28152</v>
      </c>
      <c r="L158" s="1" t="s">
        <v>30</v>
      </c>
      <c r="M158" s="1" t="s">
        <v>235</v>
      </c>
      <c r="N158" s="1">
        <v>2024</v>
      </c>
      <c r="O158" s="1">
        <v>1</v>
      </c>
      <c r="P158" s="1" t="s">
        <v>32</v>
      </c>
      <c r="Q158" s="1">
        <v>2413050043</v>
      </c>
      <c r="R158" s="1" t="s">
        <v>629</v>
      </c>
      <c r="S158" s="1" t="s">
        <v>630</v>
      </c>
      <c r="T158" s="1" t="s">
        <v>281</v>
      </c>
      <c r="U158" s="1">
        <v>0</v>
      </c>
      <c r="V158" s="1" t="s">
        <v>36</v>
      </c>
      <c r="W158" s="1" t="s">
        <v>37</v>
      </c>
      <c r="X158" s="1">
        <v>2</v>
      </c>
      <c r="Y158" s="1">
        <v>0</v>
      </c>
    </row>
    <row r="159" spans="1:25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1">
        <v>6</v>
      </c>
      <c r="J159" s="3" t="s">
        <v>475</v>
      </c>
      <c r="K159" s="1">
        <v>28239</v>
      </c>
      <c r="L159" s="1" t="s">
        <v>30</v>
      </c>
      <c r="M159" s="1" t="s">
        <v>631</v>
      </c>
      <c r="N159" s="1">
        <v>2024</v>
      </c>
      <c r="O159" s="1">
        <v>1</v>
      </c>
      <c r="P159" s="1" t="s">
        <v>32</v>
      </c>
      <c r="Q159" s="1">
        <v>2413050044</v>
      </c>
      <c r="R159" s="1" t="s">
        <v>632</v>
      </c>
      <c r="S159" s="1" t="s">
        <v>633</v>
      </c>
      <c r="T159" s="1" t="s">
        <v>634</v>
      </c>
      <c r="U159" s="1">
        <v>0</v>
      </c>
      <c r="V159" s="1" t="s">
        <v>36</v>
      </c>
      <c r="W159" s="1" t="s">
        <v>37</v>
      </c>
      <c r="X159" s="1">
        <v>2</v>
      </c>
      <c r="Y159" s="1">
        <v>0</v>
      </c>
    </row>
    <row r="160" spans="1:25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1">
        <v>6</v>
      </c>
      <c r="J160" s="3" t="s">
        <v>475</v>
      </c>
      <c r="K160" s="1">
        <v>28090</v>
      </c>
      <c r="L160" s="1" t="s">
        <v>30</v>
      </c>
      <c r="M160" s="1" t="s">
        <v>635</v>
      </c>
      <c r="N160" s="1">
        <v>2024</v>
      </c>
      <c r="O160" s="1">
        <v>1</v>
      </c>
      <c r="P160" s="1" t="s">
        <v>32</v>
      </c>
      <c r="Q160" s="1">
        <v>2413050045</v>
      </c>
      <c r="R160" s="1" t="s">
        <v>636</v>
      </c>
      <c r="S160" s="1" t="s">
        <v>637</v>
      </c>
      <c r="T160" s="1" t="s">
        <v>638</v>
      </c>
      <c r="U160" s="1">
        <v>0</v>
      </c>
      <c r="V160" s="1" t="s">
        <v>36</v>
      </c>
      <c r="W160" s="1" t="s">
        <v>37</v>
      </c>
      <c r="X160" s="1">
        <v>3</v>
      </c>
      <c r="Y160" s="1">
        <v>0</v>
      </c>
    </row>
    <row r="161" spans="1:25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1">
        <v>6</v>
      </c>
      <c r="J161" s="3" t="s">
        <v>475</v>
      </c>
      <c r="K161" s="1">
        <v>17028</v>
      </c>
      <c r="L161" s="1" t="s">
        <v>639</v>
      </c>
      <c r="M161" s="1" t="s">
        <v>640</v>
      </c>
      <c r="N161" s="1">
        <v>2024</v>
      </c>
      <c r="O161" s="1"/>
      <c r="P161" s="1"/>
      <c r="Q161" s="1">
        <v>2413050046</v>
      </c>
      <c r="R161" s="1" t="s">
        <v>641</v>
      </c>
      <c r="S161" s="1" t="s">
        <v>642</v>
      </c>
      <c r="T161" s="1" t="s">
        <v>643</v>
      </c>
      <c r="U161" s="1">
        <v>0</v>
      </c>
      <c r="V161" s="1" t="s">
        <v>36</v>
      </c>
      <c r="W161" s="1" t="s">
        <v>644</v>
      </c>
      <c r="X161" s="1">
        <v>2</v>
      </c>
      <c r="Y161" s="1">
        <v>0</v>
      </c>
    </row>
    <row r="162" spans="1:25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1">
        <v>6</v>
      </c>
      <c r="J162" s="3" t="s">
        <v>475</v>
      </c>
      <c r="K162" s="1">
        <v>28173</v>
      </c>
      <c r="L162" s="1" t="s">
        <v>30</v>
      </c>
      <c r="M162" s="1" t="s">
        <v>645</v>
      </c>
      <c r="N162" s="1">
        <v>2024</v>
      </c>
      <c r="O162" s="1">
        <v>1</v>
      </c>
      <c r="P162" s="1" t="s">
        <v>32</v>
      </c>
      <c r="Q162" s="1">
        <v>2413050047</v>
      </c>
      <c r="R162" s="1" t="s">
        <v>646</v>
      </c>
      <c r="S162" s="1" t="s">
        <v>647</v>
      </c>
      <c r="T162" s="1" t="s">
        <v>648</v>
      </c>
      <c r="U162" s="1">
        <v>0</v>
      </c>
      <c r="V162" s="1" t="s">
        <v>36</v>
      </c>
      <c r="W162" s="1" t="s">
        <v>37</v>
      </c>
      <c r="X162" s="1">
        <v>2</v>
      </c>
      <c r="Y162" s="1">
        <v>0</v>
      </c>
    </row>
    <row r="163" spans="1:25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1">
        <v>34</v>
      </c>
      <c r="J163" s="3" t="s">
        <v>503</v>
      </c>
      <c r="K163" s="1">
        <v>28193</v>
      </c>
      <c r="L163" s="1" t="s">
        <v>30</v>
      </c>
      <c r="M163" s="1" t="s">
        <v>520</v>
      </c>
      <c r="N163" s="1">
        <v>2024</v>
      </c>
      <c r="O163" s="1">
        <v>1</v>
      </c>
      <c r="P163" s="1" t="s">
        <v>32</v>
      </c>
      <c r="Q163" s="1">
        <v>2413050048</v>
      </c>
      <c r="R163" s="1" t="s">
        <v>649</v>
      </c>
      <c r="S163" s="1" t="s">
        <v>650</v>
      </c>
      <c r="T163" s="1" t="s">
        <v>651</v>
      </c>
      <c r="U163" s="1">
        <v>0</v>
      </c>
      <c r="V163" s="1" t="s">
        <v>36</v>
      </c>
      <c r="W163" s="1" t="s">
        <v>37</v>
      </c>
      <c r="X163" s="1">
        <v>2</v>
      </c>
      <c r="Y163" s="1">
        <v>0</v>
      </c>
    </row>
    <row r="164" spans="1:25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1">
        <v>6</v>
      </c>
      <c r="J164" s="3" t="s">
        <v>475</v>
      </c>
      <c r="K164" s="1">
        <v>28277</v>
      </c>
      <c r="L164" s="1" t="s">
        <v>30</v>
      </c>
      <c r="M164" s="1" t="s">
        <v>652</v>
      </c>
      <c r="N164" s="1">
        <v>2024</v>
      </c>
      <c r="O164" s="1">
        <v>1</v>
      </c>
      <c r="P164" s="1" t="s">
        <v>32</v>
      </c>
      <c r="Q164" s="1">
        <v>2413050049</v>
      </c>
      <c r="R164" s="1" t="s">
        <v>653</v>
      </c>
      <c r="S164" s="1" t="s">
        <v>654</v>
      </c>
      <c r="T164" s="1" t="s">
        <v>655</v>
      </c>
      <c r="U164" s="1">
        <v>0</v>
      </c>
      <c r="V164" s="1" t="s">
        <v>36</v>
      </c>
      <c r="W164" s="1" t="s">
        <v>37</v>
      </c>
      <c r="X164" s="1">
        <v>2</v>
      </c>
      <c r="Y164" s="1">
        <v>0</v>
      </c>
    </row>
    <row r="165" spans="1:25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1">
        <v>6</v>
      </c>
      <c r="J165" s="3" t="s">
        <v>475</v>
      </c>
      <c r="K165" s="1">
        <v>28126</v>
      </c>
      <c r="L165" s="1" t="s">
        <v>30</v>
      </c>
      <c r="M165" s="1" t="s">
        <v>656</v>
      </c>
      <c r="N165" s="1">
        <v>2024</v>
      </c>
      <c r="O165" s="1">
        <v>1</v>
      </c>
      <c r="P165" s="1" t="s">
        <v>32</v>
      </c>
      <c r="Q165" s="1">
        <v>2413050050</v>
      </c>
      <c r="R165" s="1" t="s">
        <v>657</v>
      </c>
      <c r="S165" s="1" t="s">
        <v>658</v>
      </c>
      <c r="T165" s="1" t="s">
        <v>659</v>
      </c>
      <c r="U165" s="1">
        <v>0</v>
      </c>
      <c r="V165" s="1" t="s">
        <v>36</v>
      </c>
      <c r="W165" s="1" t="s">
        <v>37</v>
      </c>
      <c r="X165" s="1">
        <v>2</v>
      </c>
      <c r="Y165" s="1">
        <v>0</v>
      </c>
    </row>
    <row r="166" spans="1:25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1">
        <v>6</v>
      </c>
      <c r="J166" s="3" t="s">
        <v>475</v>
      </c>
      <c r="K166" s="1">
        <v>28095</v>
      </c>
      <c r="L166" s="1" t="s">
        <v>30</v>
      </c>
      <c r="M166" s="1" t="s">
        <v>491</v>
      </c>
      <c r="N166" s="1">
        <v>2021</v>
      </c>
      <c r="O166" s="1"/>
      <c r="P166" s="1"/>
      <c r="Q166" s="1">
        <v>2413050051</v>
      </c>
      <c r="R166" s="1" t="s">
        <v>660</v>
      </c>
      <c r="S166" s="1" t="s">
        <v>661</v>
      </c>
      <c r="T166" s="1" t="s">
        <v>662</v>
      </c>
      <c r="U166" s="1">
        <v>0</v>
      </c>
      <c r="V166" s="1" t="s">
        <v>36</v>
      </c>
      <c r="W166" s="1" t="s">
        <v>37</v>
      </c>
      <c r="X166" s="1">
        <v>2</v>
      </c>
      <c r="Y166" s="1">
        <v>0</v>
      </c>
    </row>
    <row r="167" spans="1:25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1">
        <v>34</v>
      </c>
      <c r="J167" s="3" t="s">
        <v>503</v>
      </c>
      <c r="K167" s="1">
        <v>47076</v>
      </c>
      <c r="L167" s="1" t="s">
        <v>663</v>
      </c>
      <c r="M167" s="1" t="s">
        <v>664</v>
      </c>
      <c r="N167" s="1">
        <v>2024</v>
      </c>
      <c r="O167" s="1">
        <v>1</v>
      </c>
      <c r="P167" s="1" t="s">
        <v>32</v>
      </c>
      <c r="Q167" s="1">
        <v>2413050052</v>
      </c>
      <c r="R167" s="1" t="s">
        <v>665</v>
      </c>
      <c r="S167" s="1" t="s">
        <v>666</v>
      </c>
      <c r="T167" s="1" t="s">
        <v>467</v>
      </c>
      <c r="U167" s="1">
        <v>0</v>
      </c>
      <c r="V167" s="1" t="s">
        <v>36</v>
      </c>
      <c r="W167" s="1" t="s">
        <v>37</v>
      </c>
      <c r="X167" s="1">
        <v>2</v>
      </c>
      <c r="Y167" s="1">
        <v>0</v>
      </c>
    </row>
    <row r="168" spans="1:25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1">
        <v>34</v>
      </c>
      <c r="J168" s="3" t="s">
        <v>503</v>
      </c>
      <c r="K168" s="1">
        <v>28098</v>
      </c>
      <c r="L168" s="1" t="s">
        <v>30</v>
      </c>
      <c r="M168" s="1" t="s">
        <v>563</v>
      </c>
      <c r="N168" s="1">
        <v>2024</v>
      </c>
      <c r="O168" s="1">
        <v>1</v>
      </c>
      <c r="P168" s="1" t="s">
        <v>32</v>
      </c>
      <c r="Q168" s="1">
        <v>2413050053</v>
      </c>
      <c r="R168" s="1" t="s">
        <v>667</v>
      </c>
      <c r="S168" s="1" t="s">
        <v>668</v>
      </c>
      <c r="T168" s="1" t="s">
        <v>669</v>
      </c>
      <c r="U168" s="1">
        <v>0</v>
      </c>
      <c r="V168" s="1" t="s">
        <v>36</v>
      </c>
      <c r="W168" s="1" t="s">
        <v>37</v>
      </c>
      <c r="X168" s="1">
        <v>2</v>
      </c>
      <c r="Y168" s="1">
        <v>0</v>
      </c>
    </row>
    <row r="169" spans="1:25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1">
        <v>34</v>
      </c>
      <c r="J169" s="3" t="s">
        <v>503</v>
      </c>
      <c r="K169" s="1">
        <v>33133</v>
      </c>
      <c r="L169" s="1" t="s">
        <v>145</v>
      </c>
      <c r="M169" s="1" t="s">
        <v>570</v>
      </c>
      <c r="N169" s="1">
        <v>2024</v>
      </c>
      <c r="O169" s="1">
        <v>1</v>
      </c>
      <c r="P169" s="1" t="s">
        <v>32</v>
      </c>
      <c r="Q169" s="1">
        <v>2413050054</v>
      </c>
      <c r="R169" s="1" t="s">
        <v>670</v>
      </c>
      <c r="S169" s="1" t="s">
        <v>671</v>
      </c>
      <c r="T169" s="1" t="s">
        <v>672</v>
      </c>
      <c r="U169" s="1">
        <v>0</v>
      </c>
      <c r="V169" s="1" t="s">
        <v>36</v>
      </c>
      <c r="W169" s="1" t="s">
        <v>37</v>
      </c>
      <c r="X169" s="1">
        <v>2</v>
      </c>
      <c r="Y169" s="1">
        <v>0</v>
      </c>
    </row>
    <row r="170" spans="1:25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1">
        <v>6</v>
      </c>
      <c r="J170" s="3" t="s">
        <v>475</v>
      </c>
      <c r="K170" s="1">
        <v>28269</v>
      </c>
      <c r="L170" s="1" t="s">
        <v>30</v>
      </c>
      <c r="M170" s="1" t="s">
        <v>528</v>
      </c>
      <c r="N170" s="1">
        <v>2024</v>
      </c>
      <c r="O170" s="1">
        <v>1</v>
      </c>
      <c r="P170" s="1" t="s">
        <v>32</v>
      </c>
      <c r="Q170" s="1">
        <v>2413050055</v>
      </c>
      <c r="R170" s="1" t="s">
        <v>673</v>
      </c>
      <c r="S170" s="1" t="s">
        <v>674</v>
      </c>
      <c r="T170" s="1" t="s">
        <v>675</v>
      </c>
      <c r="U170" s="1">
        <v>0</v>
      </c>
      <c r="V170" s="1" t="s">
        <v>36</v>
      </c>
      <c r="W170" s="1" t="s">
        <v>37</v>
      </c>
      <c r="X170" s="1">
        <v>2</v>
      </c>
      <c r="Y170" s="1">
        <v>0</v>
      </c>
    </row>
    <row r="171" spans="1:25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1">
        <v>6</v>
      </c>
      <c r="J171" s="3" t="s">
        <v>475</v>
      </c>
      <c r="K171" s="1">
        <v>47076</v>
      </c>
      <c r="L171" s="1" t="s">
        <v>663</v>
      </c>
      <c r="M171" s="1" t="s">
        <v>664</v>
      </c>
      <c r="N171" s="1">
        <v>2024</v>
      </c>
      <c r="O171" s="1"/>
      <c r="P171" s="1"/>
      <c r="Q171" s="1">
        <v>2413050056</v>
      </c>
      <c r="R171" s="1" t="s">
        <v>676</v>
      </c>
      <c r="S171" s="1" t="s">
        <v>677</v>
      </c>
      <c r="T171" s="1" t="s">
        <v>678</v>
      </c>
      <c r="U171" s="1">
        <v>0</v>
      </c>
      <c r="V171" s="1" t="s">
        <v>36</v>
      </c>
      <c r="W171" s="1" t="s">
        <v>37</v>
      </c>
      <c r="X171" s="1">
        <v>2</v>
      </c>
      <c r="Y171" s="1">
        <v>0</v>
      </c>
    </row>
    <row r="172" spans="1:25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1">
        <v>6</v>
      </c>
      <c r="J172" s="3" t="s">
        <v>475</v>
      </c>
      <c r="K172" s="1">
        <v>33032</v>
      </c>
      <c r="L172" s="1" t="s">
        <v>145</v>
      </c>
      <c r="M172" s="1" t="s">
        <v>679</v>
      </c>
      <c r="N172" s="1">
        <v>2022</v>
      </c>
      <c r="O172" s="1"/>
      <c r="P172" s="1"/>
      <c r="Q172" s="1">
        <v>2413050057</v>
      </c>
      <c r="R172" s="1" t="s">
        <v>680</v>
      </c>
      <c r="S172" s="1" t="s">
        <v>681</v>
      </c>
      <c r="T172" s="1" t="s">
        <v>682</v>
      </c>
      <c r="U172" s="1">
        <v>0</v>
      </c>
      <c r="V172" s="1" t="s">
        <v>36</v>
      </c>
      <c r="W172" s="1" t="s">
        <v>150</v>
      </c>
      <c r="X172" s="1">
        <v>2</v>
      </c>
      <c r="Y172" s="1">
        <v>0</v>
      </c>
    </row>
    <row r="173" spans="1:25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1">
        <v>34</v>
      </c>
      <c r="J173" s="3" t="s">
        <v>503</v>
      </c>
      <c r="K173" s="1">
        <v>28168</v>
      </c>
      <c r="L173" s="1" t="s">
        <v>30</v>
      </c>
      <c r="M173" s="1" t="s">
        <v>683</v>
      </c>
      <c r="N173" s="1">
        <v>2024</v>
      </c>
      <c r="O173" s="1"/>
      <c r="P173" s="1"/>
      <c r="Q173" s="1">
        <v>2413050058</v>
      </c>
      <c r="R173" s="1" t="s">
        <v>684</v>
      </c>
      <c r="S173" s="1" t="s">
        <v>685</v>
      </c>
      <c r="T173" s="1" t="s">
        <v>686</v>
      </c>
      <c r="U173" s="1">
        <v>0</v>
      </c>
      <c r="V173" s="1" t="s">
        <v>36</v>
      </c>
      <c r="W173" s="1" t="s">
        <v>37</v>
      </c>
      <c r="X173" s="1">
        <v>2</v>
      </c>
      <c r="Y173" s="1">
        <v>0</v>
      </c>
    </row>
    <row r="174" spans="1:25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1">
        <v>6</v>
      </c>
      <c r="J174" s="3" t="s">
        <v>475</v>
      </c>
      <c r="K174" s="1">
        <v>33133</v>
      </c>
      <c r="L174" s="1" t="s">
        <v>145</v>
      </c>
      <c r="M174" s="1" t="s">
        <v>570</v>
      </c>
      <c r="N174" s="1">
        <v>2024</v>
      </c>
      <c r="O174" s="1"/>
      <c r="P174" s="1"/>
      <c r="Q174" s="1">
        <v>2413050059</v>
      </c>
      <c r="R174" s="1" t="s">
        <v>687</v>
      </c>
      <c r="S174" s="1" t="s">
        <v>688</v>
      </c>
      <c r="T174" s="1" t="s">
        <v>638</v>
      </c>
      <c r="U174" s="1">
        <v>0</v>
      </c>
      <c r="V174" s="1" t="s">
        <v>36</v>
      </c>
      <c r="W174" s="1" t="s">
        <v>37</v>
      </c>
      <c r="X174" s="1">
        <v>3</v>
      </c>
      <c r="Y174" s="1">
        <v>0</v>
      </c>
    </row>
    <row r="175" spans="1:25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1">
        <v>6</v>
      </c>
      <c r="J175" s="3" t="s">
        <v>475</v>
      </c>
      <c r="K175" s="1">
        <v>28175</v>
      </c>
      <c r="L175" s="1" t="s">
        <v>30</v>
      </c>
      <c r="M175" s="1" t="s">
        <v>689</v>
      </c>
      <c r="N175" s="1">
        <v>2024</v>
      </c>
      <c r="O175" s="1">
        <v>1</v>
      </c>
      <c r="P175" s="1" t="s">
        <v>32</v>
      </c>
      <c r="Q175" s="1">
        <v>2413050060</v>
      </c>
      <c r="R175" s="1" t="s">
        <v>690</v>
      </c>
      <c r="S175" s="1" t="s">
        <v>691</v>
      </c>
      <c r="T175" s="1" t="s">
        <v>692</v>
      </c>
      <c r="U175" s="1">
        <v>0</v>
      </c>
      <c r="V175" s="1" t="s">
        <v>36</v>
      </c>
      <c r="W175" s="1" t="s">
        <v>37</v>
      </c>
      <c r="X175" s="1">
        <v>2</v>
      </c>
      <c r="Y175" s="1">
        <v>0</v>
      </c>
    </row>
    <row r="176" spans="1:25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1">
        <v>6</v>
      </c>
      <c r="J176" s="3" t="s">
        <v>475</v>
      </c>
      <c r="K176" s="1">
        <v>33030</v>
      </c>
      <c r="L176" s="1" t="s">
        <v>145</v>
      </c>
      <c r="M176" s="1" t="s">
        <v>693</v>
      </c>
      <c r="N176" s="1">
        <v>2021</v>
      </c>
      <c r="O176" s="1">
        <v>1</v>
      </c>
      <c r="P176" s="1" t="s">
        <v>32</v>
      </c>
      <c r="Q176" s="1">
        <v>2413050061</v>
      </c>
      <c r="R176" s="1" t="s">
        <v>694</v>
      </c>
      <c r="S176" s="1" t="s">
        <v>695</v>
      </c>
      <c r="T176" s="1" t="s">
        <v>696</v>
      </c>
      <c r="U176" s="1">
        <v>0</v>
      </c>
      <c r="V176" s="1" t="s">
        <v>36</v>
      </c>
      <c r="W176" s="1" t="s">
        <v>37</v>
      </c>
      <c r="X176" s="1">
        <v>2</v>
      </c>
      <c r="Y176" s="1">
        <v>0</v>
      </c>
    </row>
    <row r="177" spans="1:25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1">
        <v>5</v>
      </c>
      <c r="J177" s="3" t="s">
        <v>137</v>
      </c>
      <c r="K177" s="1">
        <v>28088</v>
      </c>
      <c r="L177" s="1" t="s">
        <v>30</v>
      </c>
      <c r="M177" s="1" t="s">
        <v>590</v>
      </c>
      <c r="N177" s="1">
        <v>2024</v>
      </c>
      <c r="O177" s="1">
        <v>1</v>
      </c>
      <c r="P177" s="1" t="s">
        <v>32</v>
      </c>
      <c r="Q177" s="1">
        <v>2413150001</v>
      </c>
      <c r="R177" s="1" t="s">
        <v>701</v>
      </c>
      <c r="S177" s="1" t="s">
        <v>702</v>
      </c>
      <c r="T177" s="1" t="s">
        <v>703</v>
      </c>
      <c r="U177" s="1">
        <v>0</v>
      </c>
      <c r="V177" s="1" t="s">
        <v>36</v>
      </c>
      <c r="W177" s="1" t="s">
        <v>37</v>
      </c>
      <c r="X177" s="1">
        <v>2</v>
      </c>
      <c r="Y177" s="1">
        <v>0</v>
      </c>
    </row>
    <row r="178" spans="1:25" x14ac:dyDescent="0.2">
      <c r="A178" s="3" t="s">
        <v>1331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1">
        <v>2</v>
      </c>
      <c r="J178" s="3" t="s">
        <v>29</v>
      </c>
      <c r="K178" s="1">
        <v>28094</v>
      </c>
      <c r="L178" s="1" t="s">
        <v>30</v>
      </c>
      <c r="M178" s="1" t="s">
        <v>323</v>
      </c>
      <c r="N178" s="1">
        <v>2024</v>
      </c>
      <c r="O178" s="1">
        <v>1</v>
      </c>
      <c r="P178" s="1" t="s">
        <v>32</v>
      </c>
      <c r="Q178" s="1">
        <v>2413150002</v>
      </c>
      <c r="R178" s="1" t="s">
        <v>705</v>
      </c>
      <c r="S178" s="1" t="s">
        <v>706</v>
      </c>
      <c r="T178" s="1" t="s">
        <v>707</v>
      </c>
      <c r="U178" s="1">
        <v>0</v>
      </c>
      <c r="V178" s="1" t="s">
        <v>36</v>
      </c>
      <c r="W178" s="1" t="s">
        <v>37</v>
      </c>
      <c r="X178" s="1">
        <v>2</v>
      </c>
      <c r="Y178" s="1">
        <v>0</v>
      </c>
    </row>
    <row r="179" spans="1:25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1">
        <v>3</v>
      </c>
      <c r="J179" s="3" t="s">
        <v>68</v>
      </c>
      <c r="K179" s="1">
        <v>28091</v>
      </c>
      <c r="L179" s="1" t="s">
        <v>30</v>
      </c>
      <c r="M179" s="1" t="s">
        <v>618</v>
      </c>
      <c r="N179" s="1">
        <v>2024</v>
      </c>
      <c r="O179" s="1">
        <v>1</v>
      </c>
      <c r="P179" s="1" t="s">
        <v>32</v>
      </c>
      <c r="Q179" s="1">
        <v>2413150003</v>
      </c>
      <c r="R179" s="1" t="s">
        <v>709</v>
      </c>
      <c r="S179" s="1" t="s">
        <v>710</v>
      </c>
      <c r="T179" s="1" t="s">
        <v>711</v>
      </c>
      <c r="U179" s="1">
        <v>0</v>
      </c>
      <c r="V179" s="1" t="s">
        <v>36</v>
      </c>
      <c r="W179" s="1" t="s">
        <v>37</v>
      </c>
      <c r="X179" s="1">
        <v>2</v>
      </c>
      <c r="Y179" s="1">
        <v>0</v>
      </c>
    </row>
    <row r="180" spans="1:25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1">
        <v>8</v>
      </c>
      <c r="J180" s="3" t="s">
        <v>96</v>
      </c>
      <c r="K180" s="1">
        <v>28107</v>
      </c>
      <c r="L180" s="1" t="s">
        <v>30</v>
      </c>
      <c r="M180" s="1" t="s">
        <v>713</v>
      </c>
      <c r="N180" s="1">
        <v>2024</v>
      </c>
      <c r="O180" s="1">
        <v>1</v>
      </c>
      <c r="P180" s="1" t="s">
        <v>32</v>
      </c>
      <c r="Q180" s="1">
        <v>2413150004</v>
      </c>
      <c r="R180" s="1" t="s">
        <v>714</v>
      </c>
      <c r="S180" s="1" t="s">
        <v>715</v>
      </c>
      <c r="T180" s="1" t="s">
        <v>716</v>
      </c>
      <c r="U180" s="1">
        <v>0</v>
      </c>
      <c r="V180" s="1" t="s">
        <v>36</v>
      </c>
      <c r="W180" s="1" t="s">
        <v>37</v>
      </c>
      <c r="X180" s="1">
        <v>2</v>
      </c>
      <c r="Y180" s="1">
        <v>0</v>
      </c>
    </row>
    <row r="181" spans="1:25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1">
        <v>8</v>
      </c>
      <c r="J181" s="3" t="s">
        <v>96</v>
      </c>
      <c r="K181" s="1">
        <v>28103</v>
      </c>
      <c r="L181" s="1" t="s">
        <v>30</v>
      </c>
      <c r="M181" s="1" t="s">
        <v>718</v>
      </c>
      <c r="N181" s="1">
        <v>2024</v>
      </c>
      <c r="O181" s="1">
        <v>1</v>
      </c>
      <c r="P181" s="1" t="s">
        <v>32</v>
      </c>
      <c r="Q181" s="1">
        <v>2413150005</v>
      </c>
      <c r="R181" s="1" t="s">
        <v>719</v>
      </c>
      <c r="S181" s="1" t="s">
        <v>720</v>
      </c>
      <c r="T181" s="1" t="s">
        <v>721</v>
      </c>
      <c r="U181" s="1">
        <v>0</v>
      </c>
      <c r="V181" s="1" t="s">
        <v>36</v>
      </c>
      <c r="W181" s="1" t="s">
        <v>37</v>
      </c>
      <c r="X181" s="1">
        <v>2</v>
      </c>
      <c r="Y181" s="1">
        <v>0</v>
      </c>
    </row>
    <row r="182" spans="1:25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1">
        <v>8</v>
      </c>
      <c r="J182" s="3" t="s">
        <v>96</v>
      </c>
      <c r="K182" s="1">
        <v>28091</v>
      </c>
      <c r="L182" s="1" t="s">
        <v>30</v>
      </c>
      <c r="M182" s="1" t="s">
        <v>618</v>
      </c>
      <c r="N182" s="1">
        <v>2024</v>
      </c>
      <c r="O182" s="1">
        <v>1</v>
      </c>
      <c r="P182" s="1" t="s">
        <v>32</v>
      </c>
      <c r="Q182" s="1">
        <v>2413150006</v>
      </c>
      <c r="R182" s="1" t="s">
        <v>723</v>
      </c>
      <c r="S182" s="1" t="s">
        <v>724</v>
      </c>
      <c r="T182" s="1" t="s">
        <v>576</v>
      </c>
      <c r="U182" s="1">
        <v>0</v>
      </c>
      <c r="V182" s="1" t="s">
        <v>36</v>
      </c>
      <c r="W182" s="1" t="s">
        <v>37</v>
      </c>
      <c r="X182" s="1">
        <v>2</v>
      </c>
      <c r="Y182" s="1">
        <v>0</v>
      </c>
    </row>
    <row r="183" spans="1:25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1">
        <v>8</v>
      </c>
      <c r="J183" s="3" t="s">
        <v>96</v>
      </c>
      <c r="K183" s="1">
        <v>28178</v>
      </c>
      <c r="L183" s="1" t="s">
        <v>30</v>
      </c>
      <c r="M183" s="1" t="s">
        <v>504</v>
      </c>
      <c r="N183" s="1">
        <v>2024</v>
      </c>
      <c r="O183" s="1">
        <v>1</v>
      </c>
      <c r="P183" s="1" t="s">
        <v>32</v>
      </c>
      <c r="Q183" s="1">
        <v>2413150007</v>
      </c>
      <c r="R183" s="1" t="s">
        <v>725</v>
      </c>
      <c r="S183" s="1" t="s">
        <v>726</v>
      </c>
      <c r="T183" s="1" t="s">
        <v>727</v>
      </c>
      <c r="U183" s="1">
        <v>0</v>
      </c>
      <c r="V183" s="1" t="s">
        <v>36</v>
      </c>
      <c r="W183" s="1" t="s">
        <v>37</v>
      </c>
      <c r="X183" s="1">
        <v>2</v>
      </c>
      <c r="Y183" s="1">
        <v>0</v>
      </c>
    </row>
    <row r="184" spans="1:25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1">
        <v>8</v>
      </c>
      <c r="J184" s="3" t="s">
        <v>96</v>
      </c>
      <c r="K184" s="1">
        <v>28168</v>
      </c>
      <c r="L184" s="1" t="s">
        <v>30</v>
      </c>
      <c r="M184" s="1" t="s">
        <v>683</v>
      </c>
      <c r="N184" s="1">
        <v>2024</v>
      </c>
      <c r="O184" s="1">
        <v>1</v>
      </c>
      <c r="P184" s="1" t="s">
        <v>32</v>
      </c>
      <c r="Q184" s="1">
        <v>2413150008</v>
      </c>
      <c r="R184" s="1" t="s">
        <v>728</v>
      </c>
      <c r="S184" s="1" t="s">
        <v>729</v>
      </c>
      <c r="T184" s="1" t="s">
        <v>730</v>
      </c>
      <c r="U184" s="1">
        <v>0</v>
      </c>
      <c r="V184" s="1" t="s">
        <v>36</v>
      </c>
      <c r="W184" s="1" t="s">
        <v>37</v>
      </c>
      <c r="X184" s="1">
        <v>2</v>
      </c>
      <c r="Y184" s="1">
        <v>0</v>
      </c>
    </row>
    <row r="185" spans="1:25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1">
        <v>8</v>
      </c>
      <c r="J185" s="3" t="s">
        <v>96</v>
      </c>
      <c r="K185" s="1">
        <v>28107</v>
      </c>
      <c r="L185" s="1" t="s">
        <v>30</v>
      </c>
      <c r="M185" s="1" t="s">
        <v>713</v>
      </c>
      <c r="N185" s="1">
        <v>2024</v>
      </c>
      <c r="O185" s="1"/>
      <c r="P185" s="1"/>
      <c r="Q185" s="1">
        <v>2413150009</v>
      </c>
      <c r="R185" s="1" t="s">
        <v>731</v>
      </c>
      <c r="S185" s="1" t="s">
        <v>732</v>
      </c>
      <c r="T185" s="1" t="s">
        <v>733</v>
      </c>
      <c r="U185" s="1">
        <v>0</v>
      </c>
      <c r="V185" s="1" t="s">
        <v>36</v>
      </c>
      <c r="W185" s="1" t="s">
        <v>37</v>
      </c>
      <c r="X185" s="1">
        <v>2</v>
      </c>
      <c r="Y185" s="1">
        <v>0</v>
      </c>
    </row>
    <row r="186" spans="1:25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1">
        <v>5</v>
      </c>
      <c r="J186" s="3" t="s">
        <v>137</v>
      </c>
      <c r="K186" s="1">
        <v>28144</v>
      </c>
      <c r="L186" s="1" t="s">
        <v>30</v>
      </c>
      <c r="M186" s="1" t="s">
        <v>734</v>
      </c>
      <c r="N186" s="1">
        <v>2024</v>
      </c>
      <c r="O186" s="1">
        <v>1</v>
      </c>
      <c r="P186" s="1" t="s">
        <v>32</v>
      </c>
      <c r="Q186" s="1">
        <v>2413150010</v>
      </c>
      <c r="R186" s="1" t="s">
        <v>735</v>
      </c>
      <c r="S186" s="1" t="s">
        <v>736</v>
      </c>
      <c r="T186" s="1" t="s">
        <v>737</v>
      </c>
      <c r="U186" s="1">
        <v>0</v>
      </c>
      <c r="V186" s="1" t="s">
        <v>36</v>
      </c>
      <c r="W186" s="1" t="s">
        <v>37</v>
      </c>
      <c r="X186" s="1">
        <v>2</v>
      </c>
      <c r="Y186" s="1">
        <v>0</v>
      </c>
    </row>
    <row r="187" spans="1:25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1">
        <v>5</v>
      </c>
      <c r="J187" s="3" t="s">
        <v>137</v>
      </c>
      <c r="K187" s="1">
        <v>28094</v>
      </c>
      <c r="L187" s="1" t="s">
        <v>30</v>
      </c>
      <c r="M187" s="1" t="s">
        <v>323</v>
      </c>
      <c r="N187" s="1">
        <v>2024</v>
      </c>
      <c r="O187" s="1">
        <v>1</v>
      </c>
      <c r="P187" s="1" t="s">
        <v>32</v>
      </c>
      <c r="Q187" s="1">
        <v>2413150011</v>
      </c>
      <c r="R187" s="1" t="s">
        <v>738</v>
      </c>
      <c r="S187" s="1" t="s">
        <v>739</v>
      </c>
      <c r="T187" s="1" t="s">
        <v>740</v>
      </c>
      <c r="U187" s="1">
        <v>0</v>
      </c>
      <c r="V187" s="1" t="s">
        <v>36</v>
      </c>
      <c r="W187" s="1" t="s">
        <v>37</v>
      </c>
      <c r="X187" s="1">
        <v>2</v>
      </c>
      <c r="Y187" s="1">
        <v>0</v>
      </c>
    </row>
    <row r="188" spans="1:25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1">
        <v>10</v>
      </c>
      <c r="J188" s="3" t="s">
        <v>744</v>
      </c>
      <c r="K188" s="1">
        <v>28094</v>
      </c>
      <c r="L188" s="1" t="s">
        <v>30</v>
      </c>
      <c r="M188" s="1" t="s">
        <v>323</v>
      </c>
      <c r="N188" s="1">
        <v>2024</v>
      </c>
      <c r="O188" s="1"/>
      <c r="P188" s="1"/>
      <c r="Q188" s="1">
        <v>2413150012</v>
      </c>
      <c r="R188" s="1" t="s">
        <v>745</v>
      </c>
      <c r="S188" s="1" t="s">
        <v>746</v>
      </c>
      <c r="T188" s="1" t="s">
        <v>747</v>
      </c>
      <c r="U188" s="1">
        <v>0</v>
      </c>
      <c r="V188" s="1" t="s">
        <v>36</v>
      </c>
      <c r="W188" s="1" t="s">
        <v>37</v>
      </c>
      <c r="X188" s="1">
        <v>2</v>
      </c>
      <c r="Y188" s="1">
        <v>0</v>
      </c>
    </row>
    <row r="189" spans="1:25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1">
        <v>10</v>
      </c>
      <c r="J189" s="3" t="s">
        <v>744</v>
      </c>
      <c r="K189" s="1">
        <v>26068</v>
      </c>
      <c r="L189" s="1" t="s">
        <v>748</v>
      </c>
      <c r="M189" s="1" t="s">
        <v>749</v>
      </c>
      <c r="N189" s="1">
        <v>2024</v>
      </c>
      <c r="O189" s="1">
        <v>1</v>
      </c>
      <c r="P189" s="1" t="s">
        <v>32</v>
      </c>
      <c r="Q189" s="1">
        <v>2413150013</v>
      </c>
      <c r="R189" s="1" t="s">
        <v>750</v>
      </c>
      <c r="S189" s="1" t="s">
        <v>751</v>
      </c>
      <c r="T189" s="1" t="s">
        <v>752</v>
      </c>
      <c r="U189" s="1">
        <v>0</v>
      </c>
      <c r="V189" s="1" t="s">
        <v>36</v>
      </c>
      <c r="W189" s="1" t="s">
        <v>753</v>
      </c>
      <c r="X189" s="1">
        <v>2</v>
      </c>
      <c r="Y189" s="1">
        <v>0</v>
      </c>
    </row>
    <row r="190" spans="1:25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1">
        <v>10</v>
      </c>
      <c r="J190" s="3" t="s">
        <v>744</v>
      </c>
      <c r="K190" s="1">
        <v>28169</v>
      </c>
      <c r="L190" s="1" t="s">
        <v>30</v>
      </c>
      <c r="M190" s="1" t="s">
        <v>754</v>
      </c>
      <c r="N190" s="1">
        <v>2024</v>
      </c>
      <c r="O190" s="1"/>
      <c r="P190" s="1"/>
      <c r="Q190" s="1">
        <v>2413150014</v>
      </c>
      <c r="R190" s="1" t="s">
        <v>755</v>
      </c>
      <c r="S190" s="1" t="s">
        <v>756</v>
      </c>
      <c r="T190" s="1" t="s">
        <v>757</v>
      </c>
      <c r="U190" s="1">
        <v>0</v>
      </c>
      <c r="V190" s="1" t="s">
        <v>36</v>
      </c>
      <c r="W190" s="1" t="s">
        <v>37</v>
      </c>
      <c r="X190" s="1">
        <v>2</v>
      </c>
      <c r="Y190" s="1">
        <v>0</v>
      </c>
    </row>
    <row r="191" spans="1:25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1">
        <v>10</v>
      </c>
      <c r="J191" s="3" t="s">
        <v>744</v>
      </c>
      <c r="K191" s="1">
        <v>42097</v>
      </c>
      <c r="L191" s="1" t="s">
        <v>758</v>
      </c>
      <c r="M191" s="1" t="s">
        <v>759</v>
      </c>
      <c r="N191" s="1">
        <v>2024</v>
      </c>
      <c r="O191" s="1">
        <v>1</v>
      </c>
      <c r="P191" s="1" t="s">
        <v>32</v>
      </c>
      <c r="Q191" s="1">
        <v>2413150015</v>
      </c>
      <c r="R191" s="1" t="s">
        <v>760</v>
      </c>
      <c r="S191" s="1" t="s">
        <v>761</v>
      </c>
      <c r="T191" s="1" t="s">
        <v>762</v>
      </c>
      <c r="U191" s="1">
        <v>0</v>
      </c>
      <c r="V191" s="1" t="s">
        <v>36</v>
      </c>
      <c r="W191" s="1" t="s">
        <v>37</v>
      </c>
      <c r="X191" s="1">
        <v>2</v>
      </c>
      <c r="Y191" s="1">
        <v>0</v>
      </c>
    </row>
    <row r="192" spans="1:25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1">
        <v>2</v>
      </c>
      <c r="J192" s="3" t="s">
        <v>29</v>
      </c>
      <c r="K192" s="1">
        <v>28231</v>
      </c>
      <c r="L192" s="1" t="s">
        <v>30</v>
      </c>
      <c r="M192" s="1" t="s">
        <v>217</v>
      </c>
      <c r="N192" s="1">
        <v>2024</v>
      </c>
      <c r="O192" s="1">
        <v>1</v>
      </c>
      <c r="P192" s="1" t="s">
        <v>32</v>
      </c>
      <c r="Q192" s="1">
        <v>2413150016</v>
      </c>
      <c r="R192" s="1" t="s">
        <v>763</v>
      </c>
      <c r="S192" s="1" t="s">
        <v>764</v>
      </c>
      <c r="T192" s="1" t="s">
        <v>765</v>
      </c>
      <c r="U192" s="1">
        <v>0</v>
      </c>
      <c r="V192" s="1" t="s">
        <v>36</v>
      </c>
      <c r="W192" s="1" t="s">
        <v>37</v>
      </c>
      <c r="X192" s="1">
        <v>2</v>
      </c>
      <c r="Y192" s="1">
        <v>0</v>
      </c>
    </row>
    <row r="193" spans="1:25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1">
        <v>2</v>
      </c>
      <c r="J193" s="3" t="s">
        <v>29</v>
      </c>
      <c r="K193" s="1">
        <v>28231</v>
      </c>
      <c r="L193" s="1" t="s">
        <v>30</v>
      </c>
      <c r="M193" s="1" t="s">
        <v>217</v>
      </c>
      <c r="N193" s="1">
        <v>2024</v>
      </c>
      <c r="O193" s="1"/>
      <c r="P193" s="1"/>
      <c r="Q193" s="1">
        <v>2413150017</v>
      </c>
      <c r="R193" s="1" t="s">
        <v>766</v>
      </c>
      <c r="S193" s="1" t="s">
        <v>767</v>
      </c>
      <c r="T193" s="1" t="s">
        <v>768</v>
      </c>
      <c r="U193" s="1">
        <v>0</v>
      </c>
      <c r="V193" s="1" t="s">
        <v>36</v>
      </c>
      <c r="W193" s="1" t="s">
        <v>37</v>
      </c>
      <c r="X193" s="1">
        <v>2</v>
      </c>
      <c r="Y193" s="1">
        <v>0</v>
      </c>
    </row>
    <row r="194" spans="1:25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1">
        <v>2</v>
      </c>
      <c r="J194" s="3" t="s">
        <v>29</v>
      </c>
      <c r="K194" s="1">
        <v>28087</v>
      </c>
      <c r="L194" s="1" t="s">
        <v>30</v>
      </c>
      <c r="M194" s="1" t="s">
        <v>769</v>
      </c>
      <c r="N194" s="1">
        <v>2024</v>
      </c>
      <c r="O194" s="1">
        <v>1</v>
      </c>
      <c r="P194" s="1" t="s">
        <v>32</v>
      </c>
      <c r="Q194" s="1">
        <v>2413150018</v>
      </c>
      <c r="R194" s="1" t="s">
        <v>770</v>
      </c>
      <c r="S194" s="1" t="s">
        <v>771</v>
      </c>
      <c r="T194" s="1" t="s">
        <v>772</v>
      </c>
      <c r="U194" s="1">
        <v>0</v>
      </c>
      <c r="V194" s="1" t="s">
        <v>36</v>
      </c>
      <c r="W194" s="1" t="s">
        <v>37</v>
      </c>
      <c r="X194" s="1">
        <v>2</v>
      </c>
      <c r="Y194" s="1">
        <v>0</v>
      </c>
    </row>
    <row r="195" spans="1:25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1">
        <v>2</v>
      </c>
      <c r="J195" s="3" t="s">
        <v>29</v>
      </c>
      <c r="K195" s="1">
        <v>28087</v>
      </c>
      <c r="L195" s="1" t="s">
        <v>30</v>
      </c>
      <c r="M195" s="1" t="s">
        <v>769</v>
      </c>
      <c r="N195" s="1">
        <v>2024</v>
      </c>
      <c r="O195" s="1">
        <v>1</v>
      </c>
      <c r="P195" s="1" t="s">
        <v>32</v>
      </c>
      <c r="Q195" s="1">
        <v>2413150019</v>
      </c>
      <c r="R195" s="1" t="s">
        <v>773</v>
      </c>
      <c r="S195" s="1" t="s">
        <v>774</v>
      </c>
      <c r="T195" s="1" t="s">
        <v>775</v>
      </c>
      <c r="U195" s="1">
        <v>0</v>
      </c>
      <c r="V195" s="1" t="s">
        <v>36</v>
      </c>
      <c r="W195" s="1" t="s">
        <v>37</v>
      </c>
      <c r="X195" s="1">
        <v>2</v>
      </c>
      <c r="Y195" s="1">
        <v>0</v>
      </c>
    </row>
    <row r="196" spans="1:25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1">
        <v>2</v>
      </c>
      <c r="J196" s="3" t="s">
        <v>29</v>
      </c>
      <c r="K196" s="1">
        <v>28157</v>
      </c>
      <c r="L196" s="1" t="s">
        <v>30</v>
      </c>
      <c r="M196" s="1" t="s">
        <v>548</v>
      </c>
      <c r="N196" s="1">
        <v>2024</v>
      </c>
      <c r="O196" s="1">
        <v>1</v>
      </c>
      <c r="P196" s="1" t="s">
        <v>32</v>
      </c>
      <c r="Q196" s="1">
        <v>2413150020</v>
      </c>
      <c r="R196" s="1" t="s">
        <v>776</v>
      </c>
      <c r="S196" s="1" t="s">
        <v>777</v>
      </c>
      <c r="T196" s="1" t="s">
        <v>778</v>
      </c>
      <c r="U196" s="1">
        <v>0</v>
      </c>
      <c r="V196" s="1" t="s">
        <v>36</v>
      </c>
      <c r="W196" s="1" t="s">
        <v>37</v>
      </c>
      <c r="X196" s="1">
        <v>2</v>
      </c>
      <c r="Y196" s="1">
        <v>0</v>
      </c>
    </row>
    <row r="197" spans="1:25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1">
        <v>2</v>
      </c>
      <c r="J197" s="3" t="s">
        <v>29</v>
      </c>
      <c r="K197" s="1">
        <v>28088</v>
      </c>
      <c r="L197" s="1" t="s">
        <v>30</v>
      </c>
      <c r="M197" s="1" t="s">
        <v>590</v>
      </c>
      <c r="N197" s="1">
        <v>2024</v>
      </c>
      <c r="O197" s="1">
        <v>1</v>
      </c>
      <c r="P197" s="1" t="s">
        <v>32</v>
      </c>
      <c r="Q197" s="1">
        <v>2413150021</v>
      </c>
      <c r="R197" s="1" t="s">
        <v>779</v>
      </c>
      <c r="S197" s="1" t="s">
        <v>780</v>
      </c>
      <c r="T197" s="1" t="s">
        <v>781</v>
      </c>
      <c r="U197" s="1">
        <v>0</v>
      </c>
      <c r="V197" s="1" t="s">
        <v>36</v>
      </c>
      <c r="W197" s="1" t="s">
        <v>37</v>
      </c>
      <c r="X197" s="1">
        <v>2</v>
      </c>
      <c r="Y197" s="1">
        <v>0</v>
      </c>
    </row>
    <row r="198" spans="1:25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1">
        <v>2</v>
      </c>
      <c r="J198" s="3" t="s">
        <v>29</v>
      </c>
      <c r="K198" s="1">
        <v>28205</v>
      </c>
      <c r="L198" s="1" t="s">
        <v>30</v>
      </c>
      <c r="M198" s="1" t="s">
        <v>304</v>
      </c>
      <c r="N198" s="1">
        <v>2024</v>
      </c>
      <c r="O198" s="1">
        <v>1</v>
      </c>
      <c r="P198" s="1" t="s">
        <v>32</v>
      </c>
      <c r="Q198" s="1">
        <v>2413150022</v>
      </c>
      <c r="R198" s="1" t="s">
        <v>782</v>
      </c>
      <c r="S198" s="1" t="s">
        <v>783</v>
      </c>
      <c r="T198" s="1" t="s">
        <v>513</v>
      </c>
      <c r="U198" s="1">
        <v>0</v>
      </c>
      <c r="V198" s="1" t="s">
        <v>36</v>
      </c>
      <c r="W198" s="1" t="s">
        <v>37</v>
      </c>
      <c r="X198" s="1">
        <v>2</v>
      </c>
      <c r="Y198" s="1">
        <v>0</v>
      </c>
    </row>
    <row r="199" spans="1:25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1">
        <v>2</v>
      </c>
      <c r="J199" s="3" t="s">
        <v>29</v>
      </c>
      <c r="K199" s="1">
        <v>28099</v>
      </c>
      <c r="L199" s="1" t="s">
        <v>30</v>
      </c>
      <c r="M199" s="1" t="s">
        <v>268</v>
      </c>
      <c r="N199" s="1">
        <v>2024</v>
      </c>
      <c r="O199" s="1">
        <v>1</v>
      </c>
      <c r="P199" s="1" t="s">
        <v>32</v>
      </c>
      <c r="Q199" s="1">
        <v>2413150023</v>
      </c>
      <c r="R199" s="1" t="s">
        <v>785</v>
      </c>
      <c r="S199" s="1" t="s">
        <v>786</v>
      </c>
      <c r="T199" s="1" t="s">
        <v>787</v>
      </c>
      <c r="U199" s="1">
        <v>0</v>
      </c>
      <c r="V199" s="1" t="s">
        <v>36</v>
      </c>
      <c r="W199" s="1" t="s">
        <v>37</v>
      </c>
      <c r="X199" s="1">
        <v>2</v>
      </c>
      <c r="Y199" s="1">
        <v>0</v>
      </c>
    </row>
    <row r="200" spans="1:25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1">
        <v>3</v>
      </c>
      <c r="J200" s="3" t="s">
        <v>68</v>
      </c>
      <c r="K200" s="1">
        <v>28247</v>
      </c>
      <c r="L200" s="1" t="s">
        <v>30</v>
      </c>
      <c r="M200" s="1" t="s">
        <v>507</v>
      </c>
      <c r="N200" s="1">
        <v>2024</v>
      </c>
      <c r="O200" s="1">
        <v>1</v>
      </c>
      <c r="P200" s="1" t="s">
        <v>32</v>
      </c>
      <c r="Q200" s="1">
        <v>2413150024</v>
      </c>
      <c r="R200" s="1" t="s">
        <v>788</v>
      </c>
      <c r="S200" s="1" t="s">
        <v>789</v>
      </c>
      <c r="T200" s="1" t="s">
        <v>686</v>
      </c>
      <c r="U200" s="1">
        <v>0</v>
      </c>
      <c r="V200" s="1" t="s">
        <v>36</v>
      </c>
      <c r="W200" s="1" t="s">
        <v>37</v>
      </c>
      <c r="X200" s="1">
        <v>2</v>
      </c>
      <c r="Y200" s="1">
        <v>0</v>
      </c>
    </row>
    <row r="201" spans="1:25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1">
        <v>2</v>
      </c>
      <c r="J201" s="3" t="s">
        <v>29</v>
      </c>
      <c r="K201" s="1">
        <v>28098</v>
      </c>
      <c r="L201" s="1" t="s">
        <v>30</v>
      </c>
      <c r="M201" s="1" t="s">
        <v>563</v>
      </c>
      <c r="N201" s="1">
        <v>2024</v>
      </c>
      <c r="O201" s="1">
        <v>1</v>
      </c>
      <c r="P201" s="1" t="s">
        <v>32</v>
      </c>
      <c r="Q201" s="1">
        <v>2413150025</v>
      </c>
      <c r="R201" s="1" t="s">
        <v>790</v>
      </c>
      <c r="S201" s="1" t="s">
        <v>791</v>
      </c>
      <c r="T201" s="1" t="s">
        <v>792</v>
      </c>
      <c r="U201" s="1">
        <v>0</v>
      </c>
      <c r="V201" s="1" t="s">
        <v>36</v>
      </c>
      <c r="W201" s="1" t="s">
        <v>37</v>
      </c>
      <c r="X201" s="1">
        <v>2</v>
      </c>
      <c r="Y201" s="1">
        <v>0</v>
      </c>
    </row>
    <row r="202" spans="1:25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1">
        <v>2</v>
      </c>
      <c r="J202" s="3" t="s">
        <v>29</v>
      </c>
      <c r="K202" s="1">
        <v>28200</v>
      </c>
      <c r="L202" s="1" t="s">
        <v>30</v>
      </c>
      <c r="M202" s="1" t="s">
        <v>187</v>
      </c>
      <c r="N202" s="1">
        <v>2024</v>
      </c>
      <c r="O202" s="1">
        <v>1</v>
      </c>
      <c r="P202" s="1" t="s">
        <v>32</v>
      </c>
      <c r="Q202" s="1">
        <v>2413150026</v>
      </c>
      <c r="R202" s="1" t="s">
        <v>794</v>
      </c>
      <c r="S202" s="1" t="s">
        <v>795</v>
      </c>
      <c r="T202" s="1" t="s">
        <v>796</v>
      </c>
      <c r="U202" s="1">
        <v>0</v>
      </c>
      <c r="V202" s="1" t="s">
        <v>36</v>
      </c>
      <c r="W202" s="1" t="s">
        <v>37</v>
      </c>
      <c r="X202" s="1">
        <v>1</v>
      </c>
      <c r="Y202" s="1">
        <v>0</v>
      </c>
    </row>
    <row r="203" spans="1:25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1">
        <v>2</v>
      </c>
      <c r="J203" s="3" t="s">
        <v>29</v>
      </c>
      <c r="K203" s="1">
        <v>28177</v>
      </c>
      <c r="L203" s="1" t="s">
        <v>30</v>
      </c>
      <c r="M203" s="1" t="s">
        <v>797</v>
      </c>
      <c r="N203" s="1">
        <v>2024</v>
      </c>
      <c r="O203" s="1"/>
      <c r="P203" s="1"/>
      <c r="Q203" s="1">
        <v>2413150027</v>
      </c>
      <c r="R203" s="1" t="s">
        <v>798</v>
      </c>
      <c r="S203" s="1" t="s">
        <v>799</v>
      </c>
      <c r="T203" s="1" t="s">
        <v>800</v>
      </c>
      <c r="U203" s="1">
        <v>0</v>
      </c>
      <c r="V203" s="1" t="s">
        <v>36</v>
      </c>
      <c r="W203" s="1" t="s">
        <v>37</v>
      </c>
      <c r="X203" s="1">
        <v>2</v>
      </c>
      <c r="Y203" s="1">
        <v>0</v>
      </c>
    </row>
    <row r="204" spans="1:25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1">
        <v>8</v>
      </c>
      <c r="J204" s="3" t="s">
        <v>96</v>
      </c>
      <c r="K204" s="1">
        <v>28168</v>
      </c>
      <c r="L204" s="1" t="s">
        <v>30</v>
      </c>
      <c r="M204" s="1" t="s">
        <v>683</v>
      </c>
      <c r="N204" s="1">
        <v>2024</v>
      </c>
      <c r="O204" s="1">
        <v>1</v>
      </c>
      <c r="P204" s="1" t="s">
        <v>32</v>
      </c>
      <c r="Q204" s="1">
        <v>2413150028</v>
      </c>
      <c r="R204" s="1" t="s">
        <v>801</v>
      </c>
      <c r="S204" s="1" t="s">
        <v>802</v>
      </c>
      <c r="T204" s="1" t="s">
        <v>803</v>
      </c>
      <c r="U204" s="1">
        <v>0</v>
      </c>
      <c r="V204" s="1" t="s">
        <v>36</v>
      </c>
      <c r="W204" s="1" t="s">
        <v>37</v>
      </c>
      <c r="X204" s="1">
        <v>2</v>
      </c>
      <c r="Y204" s="1">
        <v>0</v>
      </c>
    </row>
    <row r="205" spans="1:25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1">
        <v>2</v>
      </c>
      <c r="J205" s="3" t="s">
        <v>29</v>
      </c>
      <c r="K205" s="1">
        <v>28970</v>
      </c>
      <c r="L205" s="1" t="s">
        <v>30</v>
      </c>
      <c r="M205" s="1" t="s">
        <v>804</v>
      </c>
      <c r="N205" s="1">
        <v>2024</v>
      </c>
      <c r="O205" s="1">
        <v>1</v>
      </c>
      <c r="P205" s="1" t="s">
        <v>32</v>
      </c>
      <c r="Q205" s="1">
        <v>2413150029</v>
      </c>
      <c r="R205" s="1" t="s">
        <v>805</v>
      </c>
      <c r="S205" s="1" t="s">
        <v>806</v>
      </c>
      <c r="T205" s="1" t="s">
        <v>807</v>
      </c>
      <c r="U205" s="1">
        <v>0</v>
      </c>
      <c r="V205" s="1" t="s">
        <v>36</v>
      </c>
      <c r="W205" s="1" t="s">
        <v>45</v>
      </c>
      <c r="X205" s="1">
        <v>2</v>
      </c>
      <c r="Y205" s="1">
        <v>0</v>
      </c>
    </row>
    <row r="206" spans="1:25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1">
        <v>2</v>
      </c>
      <c r="J206" s="3" t="s">
        <v>29</v>
      </c>
      <c r="K206" s="1">
        <v>28178</v>
      </c>
      <c r="L206" s="1" t="s">
        <v>30</v>
      </c>
      <c r="M206" s="1" t="s">
        <v>504</v>
      </c>
      <c r="N206" s="1">
        <v>2024</v>
      </c>
      <c r="O206" s="1">
        <v>1</v>
      </c>
      <c r="P206" s="1" t="s">
        <v>32</v>
      </c>
      <c r="Q206" s="1">
        <v>2413150030</v>
      </c>
      <c r="R206" s="1" t="s">
        <v>808</v>
      </c>
      <c r="S206" s="1" t="s">
        <v>809</v>
      </c>
      <c r="T206" s="1" t="s">
        <v>810</v>
      </c>
      <c r="U206" s="1">
        <v>0</v>
      </c>
      <c r="V206" s="1" t="s">
        <v>36</v>
      </c>
      <c r="W206" s="1" t="s">
        <v>37</v>
      </c>
      <c r="X206" s="1">
        <v>2</v>
      </c>
      <c r="Y206" s="1">
        <v>0</v>
      </c>
    </row>
    <row r="207" spans="1:25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1">
        <v>2</v>
      </c>
      <c r="J207" s="3" t="s">
        <v>29</v>
      </c>
      <c r="K207" s="1">
        <v>33134</v>
      </c>
      <c r="L207" s="1" t="s">
        <v>145</v>
      </c>
      <c r="M207" s="1" t="s">
        <v>811</v>
      </c>
      <c r="N207" s="1">
        <v>2024</v>
      </c>
      <c r="O207" s="1"/>
      <c r="P207" s="1"/>
      <c r="Q207" s="1">
        <v>2413150031</v>
      </c>
      <c r="R207" s="1" t="s">
        <v>812</v>
      </c>
      <c r="S207" s="1" t="s">
        <v>813</v>
      </c>
      <c r="T207" s="1" t="s">
        <v>814</v>
      </c>
      <c r="U207" s="1">
        <v>0</v>
      </c>
      <c r="V207" s="1" t="s">
        <v>36</v>
      </c>
      <c r="W207" s="1" t="s">
        <v>150</v>
      </c>
      <c r="X207" s="1">
        <v>2</v>
      </c>
      <c r="Y207" s="1">
        <v>0</v>
      </c>
    </row>
    <row r="208" spans="1:25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1">
        <v>2</v>
      </c>
      <c r="J208" s="3" t="s">
        <v>29</v>
      </c>
      <c r="K208" s="1">
        <v>28124</v>
      </c>
      <c r="L208" s="1" t="s">
        <v>30</v>
      </c>
      <c r="M208" s="1" t="s">
        <v>221</v>
      </c>
      <c r="N208" s="1">
        <v>2024</v>
      </c>
      <c r="O208" s="1">
        <v>1</v>
      </c>
      <c r="P208" s="1" t="s">
        <v>32</v>
      </c>
      <c r="Q208" s="1">
        <v>2413150032</v>
      </c>
      <c r="R208" s="1" t="s">
        <v>815</v>
      </c>
      <c r="S208" s="1" t="s">
        <v>816</v>
      </c>
      <c r="T208" s="1" t="s">
        <v>259</v>
      </c>
      <c r="U208" s="1">
        <v>0</v>
      </c>
      <c r="V208" s="1" t="s">
        <v>36</v>
      </c>
      <c r="W208" s="1" t="s">
        <v>37</v>
      </c>
      <c r="X208" s="1">
        <v>1</v>
      </c>
      <c r="Y208" s="1">
        <v>0</v>
      </c>
    </row>
    <row r="209" spans="1:25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1">
        <v>2</v>
      </c>
      <c r="J209" s="3" t="s">
        <v>29</v>
      </c>
      <c r="K209" s="1">
        <v>28247</v>
      </c>
      <c r="L209" s="1" t="s">
        <v>30</v>
      </c>
      <c r="M209" s="1" t="s">
        <v>507</v>
      </c>
      <c r="N209" s="1">
        <v>2024</v>
      </c>
      <c r="O209" s="1"/>
      <c r="P209" s="1"/>
      <c r="Q209" s="1">
        <v>2413150033</v>
      </c>
      <c r="R209" s="1" t="s">
        <v>817</v>
      </c>
      <c r="S209" s="1" t="s">
        <v>818</v>
      </c>
      <c r="T209" s="1" t="s">
        <v>819</v>
      </c>
      <c r="U209" s="1">
        <v>0</v>
      </c>
      <c r="V209" s="1" t="s">
        <v>36</v>
      </c>
      <c r="W209" s="1" t="s">
        <v>37</v>
      </c>
      <c r="X209" s="1">
        <v>1</v>
      </c>
      <c r="Y209" s="1">
        <v>0</v>
      </c>
    </row>
    <row r="210" spans="1:25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1">
        <v>8</v>
      </c>
      <c r="J210" s="3" t="s">
        <v>96</v>
      </c>
      <c r="K210" s="1">
        <v>28103</v>
      </c>
      <c r="L210" s="1" t="s">
        <v>30</v>
      </c>
      <c r="M210" s="1" t="s">
        <v>718</v>
      </c>
      <c r="N210" s="1">
        <v>2024</v>
      </c>
      <c r="O210" s="1">
        <v>1</v>
      </c>
      <c r="P210" s="1" t="s">
        <v>32</v>
      </c>
      <c r="Q210" s="1">
        <v>2413150034</v>
      </c>
      <c r="R210" s="1" t="s">
        <v>820</v>
      </c>
      <c r="S210" s="1" t="s">
        <v>821</v>
      </c>
      <c r="T210" s="1" t="s">
        <v>651</v>
      </c>
      <c r="U210" s="1">
        <v>0</v>
      </c>
      <c r="V210" s="1" t="s">
        <v>36</v>
      </c>
      <c r="W210" s="1" t="s">
        <v>37</v>
      </c>
      <c r="X210" s="1">
        <v>2</v>
      </c>
      <c r="Y210" s="1">
        <v>0</v>
      </c>
    </row>
    <row r="211" spans="1:25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1">
        <v>8</v>
      </c>
      <c r="J211" s="3" t="s">
        <v>96</v>
      </c>
      <c r="K211" s="1">
        <v>28187</v>
      </c>
      <c r="L211" s="1" t="s">
        <v>30</v>
      </c>
      <c r="M211" s="1" t="s">
        <v>822</v>
      </c>
      <c r="N211" s="1">
        <v>2024</v>
      </c>
      <c r="O211" s="1"/>
      <c r="P211" s="1"/>
      <c r="Q211" s="1">
        <v>2413150035</v>
      </c>
      <c r="R211" s="1" t="s">
        <v>823</v>
      </c>
      <c r="S211" s="1" t="s">
        <v>824</v>
      </c>
      <c r="T211" s="1" t="s">
        <v>825</v>
      </c>
      <c r="U211" s="1">
        <v>0</v>
      </c>
      <c r="V211" s="1" t="s">
        <v>36</v>
      </c>
      <c r="W211" s="1" t="s">
        <v>37</v>
      </c>
      <c r="X211" s="1">
        <v>2</v>
      </c>
      <c r="Y211" s="1">
        <v>0</v>
      </c>
    </row>
    <row r="212" spans="1:25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1">
        <v>5</v>
      </c>
      <c r="J212" s="3" t="s">
        <v>137</v>
      </c>
      <c r="K212" s="1">
        <v>28103</v>
      </c>
      <c r="L212" s="1" t="s">
        <v>30</v>
      </c>
      <c r="M212" s="1" t="s">
        <v>718</v>
      </c>
      <c r="N212" s="1">
        <v>2024</v>
      </c>
      <c r="O212" s="1">
        <v>1</v>
      </c>
      <c r="P212" s="1" t="s">
        <v>32</v>
      </c>
      <c r="Q212" s="1">
        <v>2413150036</v>
      </c>
      <c r="R212" s="1" t="s">
        <v>826</v>
      </c>
      <c r="S212" s="1" t="s">
        <v>827</v>
      </c>
      <c r="T212" s="1" t="s">
        <v>828</v>
      </c>
      <c r="U212" s="1">
        <v>0</v>
      </c>
      <c r="V212" s="1" t="s">
        <v>36</v>
      </c>
      <c r="W212" s="1" t="s">
        <v>37</v>
      </c>
      <c r="X212" s="1">
        <v>2</v>
      </c>
      <c r="Y212" s="1">
        <v>0</v>
      </c>
    </row>
    <row r="213" spans="1:25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1">
        <v>5</v>
      </c>
      <c r="J213" s="3" t="s">
        <v>137</v>
      </c>
      <c r="K213" s="1">
        <v>28103</v>
      </c>
      <c r="L213" s="1" t="s">
        <v>30</v>
      </c>
      <c r="M213" s="1" t="s">
        <v>718</v>
      </c>
      <c r="N213" s="1">
        <v>2024</v>
      </c>
      <c r="O213" s="1">
        <v>1</v>
      </c>
      <c r="P213" s="1" t="s">
        <v>32</v>
      </c>
      <c r="Q213" s="1">
        <v>2413150037</v>
      </c>
      <c r="R213" s="1" t="s">
        <v>829</v>
      </c>
      <c r="S213" s="1" t="s">
        <v>830</v>
      </c>
      <c r="T213" s="1" t="s">
        <v>831</v>
      </c>
      <c r="U213" s="1">
        <v>0</v>
      </c>
      <c r="V213" s="1" t="s">
        <v>36</v>
      </c>
      <c r="W213" s="1" t="s">
        <v>37</v>
      </c>
      <c r="X213" s="1">
        <v>2</v>
      </c>
      <c r="Y213" s="1">
        <v>0</v>
      </c>
    </row>
    <row r="214" spans="1:25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1">
        <v>5</v>
      </c>
      <c r="J214" s="3" t="s">
        <v>137</v>
      </c>
      <c r="K214" s="1">
        <v>28107</v>
      </c>
      <c r="L214" s="1" t="s">
        <v>30</v>
      </c>
      <c r="M214" s="1" t="s">
        <v>713</v>
      </c>
      <c r="N214" s="1">
        <v>2024</v>
      </c>
      <c r="O214" s="1">
        <v>1</v>
      </c>
      <c r="P214" s="1" t="s">
        <v>32</v>
      </c>
      <c r="Q214" s="1">
        <v>2413150038</v>
      </c>
      <c r="R214" s="1" t="s">
        <v>832</v>
      </c>
      <c r="S214" s="1" t="s">
        <v>833</v>
      </c>
      <c r="T214" s="1" t="s">
        <v>566</v>
      </c>
      <c r="U214" s="1">
        <v>0</v>
      </c>
      <c r="V214" s="1" t="s">
        <v>36</v>
      </c>
      <c r="W214" s="1" t="s">
        <v>37</v>
      </c>
      <c r="X214" s="1">
        <v>2</v>
      </c>
      <c r="Y214" s="1">
        <v>0</v>
      </c>
    </row>
    <row r="215" spans="1:25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1">
        <v>10</v>
      </c>
      <c r="J215" s="3" t="s">
        <v>744</v>
      </c>
      <c r="K215" s="1">
        <v>28087</v>
      </c>
      <c r="L215" s="1" t="s">
        <v>30</v>
      </c>
      <c r="M215" s="1" t="s">
        <v>769</v>
      </c>
      <c r="N215" s="1">
        <v>2024</v>
      </c>
      <c r="O215" s="1">
        <v>1</v>
      </c>
      <c r="P215" s="1" t="s">
        <v>32</v>
      </c>
      <c r="Q215" s="1">
        <v>2413150039</v>
      </c>
      <c r="R215" s="1" t="s">
        <v>834</v>
      </c>
      <c r="S215" s="1" t="s">
        <v>835</v>
      </c>
      <c r="T215" s="1" t="s">
        <v>836</v>
      </c>
      <c r="U215" s="1">
        <v>0</v>
      </c>
      <c r="V215" s="1" t="s">
        <v>36</v>
      </c>
      <c r="W215" s="1" t="s">
        <v>37</v>
      </c>
      <c r="X215" s="1">
        <v>2</v>
      </c>
      <c r="Y215" s="1">
        <v>0</v>
      </c>
    </row>
    <row r="216" spans="1:25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1">
        <v>10</v>
      </c>
      <c r="J216" s="3" t="s">
        <v>744</v>
      </c>
      <c r="K216" s="1">
        <v>28240</v>
      </c>
      <c r="L216" s="1" t="s">
        <v>30</v>
      </c>
      <c r="M216" s="1" t="s">
        <v>837</v>
      </c>
      <c r="N216" s="1">
        <v>2024</v>
      </c>
      <c r="O216" s="1">
        <v>1</v>
      </c>
      <c r="P216" s="1" t="s">
        <v>32</v>
      </c>
      <c r="Q216" s="1">
        <v>2413150040</v>
      </c>
      <c r="R216" s="1" t="s">
        <v>838</v>
      </c>
      <c r="S216" s="1" t="s">
        <v>839</v>
      </c>
      <c r="T216" s="1" t="s">
        <v>840</v>
      </c>
      <c r="U216" s="1">
        <v>0</v>
      </c>
      <c r="V216" s="1" t="s">
        <v>36</v>
      </c>
      <c r="W216" s="1" t="s">
        <v>37</v>
      </c>
      <c r="X216" s="1">
        <v>2</v>
      </c>
      <c r="Y216" s="1">
        <v>0</v>
      </c>
    </row>
    <row r="217" spans="1:25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1">
        <v>5</v>
      </c>
      <c r="J217" s="3" t="s">
        <v>137</v>
      </c>
      <c r="K217" s="1">
        <v>28100</v>
      </c>
      <c r="L217" s="1" t="s">
        <v>30</v>
      </c>
      <c r="M217" s="1" t="s">
        <v>487</v>
      </c>
      <c r="N217" s="1">
        <v>2024</v>
      </c>
      <c r="O217" s="1">
        <v>1</v>
      </c>
      <c r="P217" s="1" t="s">
        <v>32</v>
      </c>
      <c r="Q217" s="1">
        <v>2413150041</v>
      </c>
      <c r="R217" s="1" t="s">
        <v>842</v>
      </c>
      <c r="S217" s="1" t="s">
        <v>843</v>
      </c>
      <c r="T217" s="1" t="s">
        <v>844</v>
      </c>
      <c r="U217" s="1">
        <v>0</v>
      </c>
      <c r="V217" s="1" t="s">
        <v>36</v>
      </c>
      <c r="W217" s="1" t="s">
        <v>37</v>
      </c>
      <c r="X217" s="1">
        <v>2</v>
      </c>
      <c r="Y217" s="1">
        <v>0</v>
      </c>
    </row>
    <row r="218" spans="1:25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1">
        <v>10</v>
      </c>
      <c r="J218" s="3" t="s">
        <v>744</v>
      </c>
      <c r="K218" s="1">
        <v>28108</v>
      </c>
      <c r="L218" s="1" t="s">
        <v>30</v>
      </c>
      <c r="M218" s="1" t="s">
        <v>845</v>
      </c>
      <c r="N218" s="1">
        <v>2024</v>
      </c>
      <c r="O218" s="1"/>
      <c r="P218" s="1"/>
      <c r="Q218" s="1">
        <v>2413150042</v>
      </c>
      <c r="R218" s="1" t="s">
        <v>846</v>
      </c>
      <c r="S218" s="1" t="s">
        <v>847</v>
      </c>
      <c r="T218" s="1" t="s">
        <v>848</v>
      </c>
      <c r="U218" s="1">
        <v>0</v>
      </c>
      <c r="V218" s="1" t="s">
        <v>36</v>
      </c>
      <c r="W218" s="1" t="s">
        <v>37</v>
      </c>
      <c r="X218" s="1">
        <v>2</v>
      </c>
      <c r="Y218" s="1">
        <v>0</v>
      </c>
    </row>
    <row r="219" spans="1:25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1">
        <v>2</v>
      </c>
      <c r="J219" s="3" t="s">
        <v>29</v>
      </c>
      <c r="K219" s="1">
        <v>28209</v>
      </c>
      <c r="L219" s="1" t="s">
        <v>30</v>
      </c>
      <c r="M219" s="1" t="s">
        <v>849</v>
      </c>
      <c r="N219" s="1">
        <v>2024</v>
      </c>
      <c r="O219" s="1">
        <v>1</v>
      </c>
      <c r="P219" s="1" t="s">
        <v>32</v>
      </c>
      <c r="Q219" s="1">
        <v>2413150043</v>
      </c>
      <c r="R219" s="1" t="s">
        <v>850</v>
      </c>
      <c r="S219" s="1" t="s">
        <v>851</v>
      </c>
      <c r="T219" s="1" t="s">
        <v>852</v>
      </c>
      <c r="U219" s="1">
        <v>0</v>
      </c>
      <c r="V219" s="1" t="s">
        <v>36</v>
      </c>
      <c r="W219" s="1" t="s">
        <v>37</v>
      </c>
      <c r="X219" s="1">
        <v>1</v>
      </c>
      <c r="Y219" s="1">
        <v>0</v>
      </c>
    </row>
    <row r="220" spans="1:25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1">
        <v>2</v>
      </c>
      <c r="J220" s="3" t="s">
        <v>29</v>
      </c>
      <c r="K220" s="1">
        <v>28007</v>
      </c>
      <c r="L220" s="1" t="s">
        <v>30</v>
      </c>
      <c r="M220" s="1" t="s">
        <v>853</v>
      </c>
      <c r="N220" s="1">
        <v>2024</v>
      </c>
      <c r="O220" s="1"/>
      <c r="P220" s="1"/>
      <c r="Q220" s="1">
        <v>2413150044</v>
      </c>
      <c r="R220" s="1" t="s">
        <v>854</v>
      </c>
      <c r="S220" s="1" t="s">
        <v>855</v>
      </c>
      <c r="T220" s="1" t="s">
        <v>543</v>
      </c>
      <c r="U220" s="1">
        <v>0</v>
      </c>
      <c r="V220" s="1" t="s">
        <v>36</v>
      </c>
      <c r="W220" s="1" t="s">
        <v>37</v>
      </c>
      <c r="X220" s="1">
        <v>1</v>
      </c>
      <c r="Y220" s="1">
        <v>0</v>
      </c>
    </row>
    <row r="221" spans="1:25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1">
        <v>2</v>
      </c>
      <c r="J221" s="3" t="s">
        <v>29</v>
      </c>
      <c r="K221" s="1">
        <v>28015</v>
      </c>
      <c r="L221" s="1" t="s">
        <v>30</v>
      </c>
      <c r="M221" s="1" t="s">
        <v>625</v>
      </c>
      <c r="N221" s="1">
        <v>2024</v>
      </c>
      <c r="O221" s="1">
        <v>1</v>
      </c>
      <c r="P221" s="1" t="s">
        <v>32</v>
      </c>
      <c r="Q221" s="1">
        <v>2413150045</v>
      </c>
      <c r="R221" s="1" t="s">
        <v>857</v>
      </c>
      <c r="S221" s="1" t="s">
        <v>858</v>
      </c>
      <c r="T221" s="1" t="s">
        <v>859</v>
      </c>
      <c r="U221" s="1">
        <v>0</v>
      </c>
      <c r="V221" s="1" t="s">
        <v>36</v>
      </c>
      <c r="W221" s="1" t="s">
        <v>37</v>
      </c>
      <c r="X221" s="1">
        <v>2</v>
      </c>
      <c r="Y221" s="1">
        <v>0</v>
      </c>
    </row>
    <row r="222" spans="1:25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1">
        <v>2</v>
      </c>
      <c r="J222" s="3" t="s">
        <v>29</v>
      </c>
      <c r="K222" s="1">
        <v>28094</v>
      </c>
      <c r="L222" s="1" t="s">
        <v>30</v>
      </c>
      <c r="M222" s="1" t="s">
        <v>323</v>
      </c>
      <c r="N222" s="1">
        <v>2024</v>
      </c>
      <c r="O222" s="1">
        <v>1</v>
      </c>
      <c r="P222" s="1" t="s">
        <v>32</v>
      </c>
      <c r="Q222" s="1">
        <v>2413150046</v>
      </c>
      <c r="R222" s="1" t="s">
        <v>860</v>
      </c>
      <c r="S222" s="1" t="s">
        <v>861</v>
      </c>
      <c r="T222" s="1" t="s">
        <v>862</v>
      </c>
      <c r="U222" s="1">
        <v>0</v>
      </c>
      <c r="V222" s="1" t="s">
        <v>36</v>
      </c>
      <c r="W222" s="1" t="s">
        <v>37</v>
      </c>
      <c r="X222" s="1">
        <v>2</v>
      </c>
      <c r="Y222" s="1">
        <v>0</v>
      </c>
    </row>
    <row r="223" spans="1:25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1">
        <v>2</v>
      </c>
      <c r="J223" s="3" t="s">
        <v>29</v>
      </c>
      <c r="K223" s="1">
        <v>28015</v>
      </c>
      <c r="L223" s="1" t="s">
        <v>30</v>
      </c>
      <c r="M223" s="1" t="s">
        <v>625</v>
      </c>
      <c r="N223" s="1">
        <v>2024</v>
      </c>
      <c r="O223" s="1">
        <v>1</v>
      </c>
      <c r="P223" s="1" t="s">
        <v>32</v>
      </c>
      <c r="Q223" s="1">
        <v>2413150047</v>
      </c>
      <c r="R223" s="1" t="s">
        <v>863</v>
      </c>
      <c r="S223" s="1" t="s">
        <v>864</v>
      </c>
      <c r="T223" s="1" t="s">
        <v>865</v>
      </c>
      <c r="U223" s="1">
        <v>0</v>
      </c>
      <c r="V223" s="1" t="s">
        <v>36</v>
      </c>
      <c r="W223" s="1" t="s">
        <v>37</v>
      </c>
      <c r="X223" s="1">
        <v>2</v>
      </c>
      <c r="Y223" s="1">
        <v>0</v>
      </c>
    </row>
    <row r="224" spans="1:25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1">
        <v>1</v>
      </c>
      <c r="J224" s="3" t="s">
        <v>39</v>
      </c>
      <c r="K224" s="1">
        <v>28157</v>
      </c>
      <c r="L224" s="1" t="s">
        <v>30</v>
      </c>
      <c r="M224" s="1" t="s">
        <v>548</v>
      </c>
      <c r="N224" s="1">
        <v>2024</v>
      </c>
      <c r="O224" s="1">
        <v>1</v>
      </c>
      <c r="P224" s="1" t="s">
        <v>32</v>
      </c>
      <c r="Q224" s="1">
        <v>2413150048</v>
      </c>
      <c r="R224" s="1" t="s">
        <v>866</v>
      </c>
      <c r="S224" s="1" t="s">
        <v>867</v>
      </c>
      <c r="T224" s="1" t="s">
        <v>778</v>
      </c>
      <c r="U224" s="1">
        <v>0</v>
      </c>
      <c r="V224" s="1" t="s">
        <v>36</v>
      </c>
      <c r="W224" s="1" t="s">
        <v>37</v>
      </c>
      <c r="X224" s="1">
        <v>2</v>
      </c>
      <c r="Y224" s="1">
        <v>0</v>
      </c>
    </row>
    <row r="225" spans="1:25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1">
        <v>2</v>
      </c>
      <c r="J225" s="3" t="s">
        <v>29</v>
      </c>
      <c r="K225" s="1">
        <v>28099</v>
      </c>
      <c r="L225" s="1" t="s">
        <v>30</v>
      </c>
      <c r="M225" s="1" t="s">
        <v>268</v>
      </c>
      <c r="N225" s="1">
        <v>2024</v>
      </c>
      <c r="O225" s="1">
        <v>1</v>
      </c>
      <c r="P225" s="1" t="s">
        <v>32</v>
      </c>
      <c r="Q225" s="1">
        <v>2413150049</v>
      </c>
      <c r="R225" s="1" t="s">
        <v>868</v>
      </c>
      <c r="S225" s="1" t="s">
        <v>869</v>
      </c>
      <c r="T225" s="1" t="s">
        <v>870</v>
      </c>
      <c r="U225" s="1">
        <v>0</v>
      </c>
      <c r="V225" s="1" t="s">
        <v>36</v>
      </c>
      <c r="W225" s="1" t="s">
        <v>37</v>
      </c>
      <c r="X225" s="1">
        <v>2</v>
      </c>
      <c r="Y225" s="1">
        <v>0</v>
      </c>
    </row>
    <row r="226" spans="1:25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1">
        <v>3</v>
      </c>
      <c r="J226" s="3" t="s">
        <v>68</v>
      </c>
      <c r="K226" s="1">
        <v>8158</v>
      </c>
      <c r="L226" s="1" t="s">
        <v>871</v>
      </c>
      <c r="M226" s="1" t="s">
        <v>872</v>
      </c>
      <c r="N226" s="1">
        <v>2024</v>
      </c>
      <c r="O226" s="1">
        <v>1</v>
      </c>
      <c r="P226" s="1" t="s">
        <v>32</v>
      </c>
      <c r="Q226" s="1">
        <v>2413150050</v>
      </c>
      <c r="R226" s="1" t="s">
        <v>873</v>
      </c>
      <c r="S226" s="1" t="s">
        <v>874</v>
      </c>
      <c r="T226" s="1" t="s">
        <v>875</v>
      </c>
      <c r="U226" s="1">
        <v>0</v>
      </c>
      <c r="V226" s="1" t="s">
        <v>36</v>
      </c>
      <c r="W226" s="1" t="s">
        <v>37</v>
      </c>
      <c r="X226" s="1">
        <v>2</v>
      </c>
      <c r="Y226" s="1">
        <v>0</v>
      </c>
    </row>
    <row r="227" spans="1:25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1">
        <v>2</v>
      </c>
      <c r="J227" s="3" t="s">
        <v>29</v>
      </c>
      <c r="K227" s="1">
        <v>28095</v>
      </c>
      <c r="L227" s="1" t="s">
        <v>30</v>
      </c>
      <c r="M227" s="1" t="s">
        <v>491</v>
      </c>
      <c r="N227" s="1">
        <v>2024</v>
      </c>
      <c r="O227" s="1">
        <v>1</v>
      </c>
      <c r="P227" s="1" t="s">
        <v>32</v>
      </c>
      <c r="Q227" s="1">
        <v>2413150051</v>
      </c>
      <c r="R227" s="1" t="s">
        <v>876</v>
      </c>
      <c r="S227" s="1" t="s">
        <v>877</v>
      </c>
      <c r="T227" s="1" t="s">
        <v>878</v>
      </c>
      <c r="U227" s="1">
        <v>0</v>
      </c>
      <c r="V227" s="1" t="s">
        <v>36</v>
      </c>
      <c r="W227" s="1" t="s">
        <v>37</v>
      </c>
      <c r="X227" s="1">
        <v>2</v>
      </c>
      <c r="Y227" s="1">
        <v>0</v>
      </c>
    </row>
    <row r="228" spans="1:25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1">
        <v>2</v>
      </c>
      <c r="J228" s="3" t="s">
        <v>29</v>
      </c>
      <c r="K228" s="1">
        <v>28094</v>
      </c>
      <c r="L228" s="1" t="s">
        <v>30</v>
      </c>
      <c r="M228" s="1" t="s">
        <v>323</v>
      </c>
      <c r="N228" s="1">
        <v>2024</v>
      </c>
      <c r="O228" s="1">
        <v>1</v>
      </c>
      <c r="P228" s="1" t="s">
        <v>32</v>
      </c>
      <c r="Q228" s="1">
        <v>2413150052</v>
      </c>
      <c r="R228" s="1" t="s">
        <v>879</v>
      </c>
      <c r="S228" s="1" t="s">
        <v>880</v>
      </c>
      <c r="T228" s="1" t="s">
        <v>881</v>
      </c>
      <c r="U228" s="1">
        <v>0</v>
      </c>
      <c r="V228" s="1" t="s">
        <v>36</v>
      </c>
      <c r="W228" s="1" t="s">
        <v>37</v>
      </c>
      <c r="X228" s="1">
        <v>2</v>
      </c>
      <c r="Y228" s="1">
        <v>0</v>
      </c>
    </row>
    <row r="229" spans="1:25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1">
        <v>2</v>
      </c>
      <c r="J229" s="3" t="s">
        <v>29</v>
      </c>
      <c r="K229" s="1">
        <v>28231</v>
      </c>
      <c r="L229" s="1" t="s">
        <v>30</v>
      </c>
      <c r="M229" s="1" t="s">
        <v>217</v>
      </c>
      <c r="N229" s="1">
        <v>2024</v>
      </c>
      <c r="O229" s="1">
        <v>1</v>
      </c>
      <c r="P229" s="1" t="s">
        <v>32</v>
      </c>
      <c r="Q229" s="1">
        <v>2413150053</v>
      </c>
      <c r="R229" s="1" t="s">
        <v>882</v>
      </c>
      <c r="S229" s="1" t="s">
        <v>883</v>
      </c>
      <c r="T229" s="1" t="s">
        <v>884</v>
      </c>
      <c r="U229" s="1">
        <v>0</v>
      </c>
      <c r="V229" s="1" t="s">
        <v>36</v>
      </c>
      <c r="W229" s="1" t="s">
        <v>37</v>
      </c>
      <c r="X229" s="1">
        <v>2</v>
      </c>
      <c r="Y229" s="1">
        <v>0</v>
      </c>
    </row>
    <row r="230" spans="1:25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1">
        <v>5</v>
      </c>
      <c r="J230" s="3" t="s">
        <v>137</v>
      </c>
      <c r="K230" s="1">
        <v>28097</v>
      </c>
      <c r="L230" s="1" t="s">
        <v>30</v>
      </c>
      <c r="M230" s="1" t="s">
        <v>886</v>
      </c>
      <c r="N230" s="1">
        <v>2024</v>
      </c>
      <c r="O230" s="1">
        <v>1</v>
      </c>
      <c r="P230" s="1" t="s">
        <v>32</v>
      </c>
      <c r="Q230" s="1">
        <v>2413150054</v>
      </c>
      <c r="R230" s="1" t="s">
        <v>887</v>
      </c>
      <c r="S230" s="1" t="s">
        <v>888</v>
      </c>
      <c r="T230" s="1" t="s">
        <v>889</v>
      </c>
      <c r="U230" s="1">
        <v>0</v>
      </c>
      <c r="V230" s="1" t="s">
        <v>36</v>
      </c>
      <c r="W230" s="1" t="s">
        <v>37</v>
      </c>
      <c r="X230" s="1">
        <v>2</v>
      </c>
      <c r="Y230" s="1">
        <v>0</v>
      </c>
    </row>
    <row r="231" spans="1:25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1">
        <v>5</v>
      </c>
      <c r="J231" s="3" t="s">
        <v>137</v>
      </c>
      <c r="K231" s="1">
        <v>31003</v>
      </c>
      <c r="L231" s="1" t="s">
        <v>40</v>
      </c>
      <c r="M231" s="1" t="s">
        <v>890</v>
      </c>
      <c r="N231" s="1">
        <v>2024</v>
      </c>
      <c r="O231" s="1"/>
      <c r="P231" s="1"/>
      <c r="Q231" s="1">
        <v>2413150055</v>
      </c>
      <c r="R231" s="1" t="s">
        <v>891</v>
      </c>
      <c r="S231" s="1" t="s">
        <v>892</v>
      </c>
      <c r="T231" s="1" t="s">
        <v>893</v>
      </c>
      <c r="U231" s="1">
        <v>0</v>
      </c>
      <c r="V231" s="1" t="s">
        <v>36</v>
      </c>
      <c r="W231" s="1" t="s">
        <v>45</v>
      </c>
      <c r="X231" s="1">
        <v>2</v>
      </c>
      <c r="Y231" s="1">
        <v>0</v>
      </c>
    </row>
    <row r="232" spans="1:25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1">
        <v>3</v>
      </c>
      <c r="J232" s="3" t="s">
        <v>68</v>
      </c>
      <c r="K232" s="1">
        <v>28157</v>
      </c>
      <c r="L232" s="1" t="s">
        <v>30</v>
      </c>
      <c r="M232" s="1" t="s">
        <v>548</v>
      </c>
      <c r="N232" s="1">
        <v>2024</v>
      </c>
      <c r="O232" s="1">
        <v>1</v>
      </c>
      <c r="P232" s="1" t="s">
        <v>32</v>
      </c>
      <c r="Q232" s="1">
        <v>2413150056</v>
      </c>
      <c r="R232" s="1" t="s">
        <v>894</v>
      </c>
      <c r="S232" s="1" t="s">
        <v>895</v>
      </c>
      <c r="T232" s="1" t="s">
        <v>878</v>
      </c>
      <c r="U232" s="1">
        <v>0</v>
      </c>
      <c r="V232" s="1" t="s">
        <v>36</v>
      </c>
      <c r="W232" s="1" t="s">
        <v>37</v>
      </c>
      <c r="X232" s="1">
        <v>2</v>
      </c>
      <c r="Y232" s="1">
        <v>0</v>
      </c>
    </row>
    <row r="233" spans="1:25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1">
        <v>5</v>
      </c>
      <c r="J233" s="3" t="s">
        <v>137</v>
      </c>
      <c r="K233" s="1">
        <v>28104</v>
      </c>
      <c r="L233" s="1" t="s">
        <v>30</v>
      </c>
      <c r="M233" s="1" t="s">
        <v>896</v>
      </c>
      <c r="N233" s="1">
        <v>2024</v>
      </c>
      <c r="O233" s="1">
        <v>1</v>
      </c>
      <c r="P233" s="1" t="s">
        <v>32</v>
      </c>
      <c r="Q233" s="1">
        <v>2413150057</v>
      </c>
      <c r="R233" s="1" t="s">
        <v>897</v>
      </c>
      <c r="S233" s="1" t="s">
        <v>898</v>
      </c>
      <c r="T233" s="1" t="s">
        <v>899</v>
      </c>
      <c r="U233" s="1">
        <v>0</v>
      </c>
      <c r="V233" s="1" t="s">
        <v>36</v>
      </c>
      <c r="W233" s="1" t="s">
        <v>37</v>
      </c>
      <c r="X233" s="1">
        <v>2</v>
      </c>
      <c r="Y233" s="1">
        <v>0</v>
      </c>
    </row>
    <row r="234" spans="1:25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1">
        <v>2</v>
      </c>
      <c r="J234" s="3" t="s">
        <v>29</v>
      </c>
      <c r="K234" s="1">
        <v>28098</v>
      </c>
      <c r="L234" s="1" t="s">
        <v>30</v>
      </c>
      <c r="M234" s="1" t="s">
        <v>563</v>
      </c>
      <c r="N234" s="1">
        <v>2024</v>
      </c>
      <c r="O234" s="1"/>
      <c r="P234" s="1"/>
      <c r="Q234" s="1">
        <v>2413150058</v>
      </c>
      <c r="R234" s="1" t="s">
        <v>900</v>
      </c>
      <c r="S234" s="1" t="s">
        <v>901</v>
      </c>
      <c r="T234" s="1" t="s">
        <v>902</v>
      </c>
      <c r="U234" s="1">
        <v>0</v>
      </c>
      <c r="V234" s="1" t="s">
        <v>36</v>
      </c>
      <c r="W234" s="1" t="s">
        <v>37</v>
      </c>
      <c r="X234" s="1">
        <v>1</v>
      </c>
      <c r="Y234" s="1">
        <v>0</v>
      </c>
    </row>
    <row r="235" spans="1:25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1">
        <v>2</v>
      </c>
      <c r="J235" s="3" t="s">
        <v>29</v>
      </c>
      <c r="K235" s="1">
        <v>28094</v>
      </c>
      <c r="L235" s="1" t="s">
        <v>30</v>
      </c>
      <c r="M235" s="1" t="s">
        <v>323</v>
      </c>
      <c r="N235" s="1">
        <v>2024</v>
      </c>
      <c r="O235" s="1">
        <v>1</v>
      </c>
      <c r="P235" s="1" t="s">
        <v>32</v>
      </c>
      <c r="Q235" s="1">
        <v>2413150059</v>
      </c>
      <c r="R235" s="1" t="s">
        <v>903</v>
      </c>
      <c r="S235" s="1" t="s">
        <v>904</v>
      </c>
      <c r="T235" s="1" t="s">
        <v>905</v>
      </c>
      <c r="U235" s="1">
        <v>0</v>
      </c>
      <c r="V235" s="1" t="s">
        <v>36</v>
      </c>
      <c r="W235" s="1" t="s">
        <v>37</v>
      </c>
      <c r="X235" s="1">
        <v>2</v>
      </c>
      <c r="Y235" s="1">
        <v>0</v>
      </c>
    </row>
    <row r="236" spans="1:25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1">
        <v>2</v>
      </c>
      <c r="J236" s="3" t="s">
        <v>29</v>
      </c>
      <c r="K236" s="1">
        <v>28091</v>
      </c>
      <c r="L236" s="1" t="s">
        <v>30</v>
      </c>
      <c r="M236" s="1" t="s">
        <v>618</v>
      </c>
      <c r="N236" s="1">
        <v>2024</v>
      </c>
      <c r="O236" s="1">
        <v>1</v>
      </c>
      <c r="P236" s="1" t="s">
        <v>32</v>
      </c>
      <c r="Q236" s="1">
        <v>2413150060</v>
      </c>
      <c r="R236" s="1" t="s">
        <v>906</v>
      </c>
      <c r="S236" s="1" t="s">
        <v>907</v>
      </c>
      <c r="T236" s="1" t="s">
        <v>908</v>
      </c>
      <c r="U236" s="1">
        <v>0</v>
      </c>
      <c r="V236" s="1" t="s">
        <v>36</v>
      </c>
      <c r="W236" s="1" t="s">
        <v>37</v>
      </c>
      <c r="X236" s="1">
        <v>2</v>
      </c>
      <c r="Y236" s="1">
        <v>0</v>
      </c>
    </row>
    <row r="237" spans="1:25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1">
        <v>2</v>
      </c>
      <c r="J237" s="3" t="s">
        <v>29</v>
      </c>
      <c r="K237" s="1">
        <v>28175</v>
      </c>
      <c r="L237" s="1" t="s">
        <v>30</v>
      </c>
      <c r="M237" s="1" t="s">
        <v>689</v>
      </c>
      <c r="N237" s="1">
        <v>2024</v>
      </c>
      <c r="O237" s="1"/>
      <c r="P237" s="1"/>
      <c r="Q237" s="1">
        <v>2413150061</v>
      </c>
      <c r="R237" s="1" t="s">
        <v>909</v>
      </c>
      <c r="S237" s="1" t="s">
        <v>910</v>
      </c>
      <c r="T237" s="1" t="s">
        <v>692</v>
      </c>
      <c r="U237" s="1">
        <v>0</v>
      </c>
      <c r="V237" s="1" t="s">
        <v>36</v>
      </c>
      <c r="W237" s="1" t="s">
        <v>37</v>
      </c>
      <c r="X237" s="1">
        <v>2</v>
      </c>
      <c r="Y237" s="1">
        <v>0</v>
      </c>
    </row>
    <row r="238" spans="1:25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1">
        <v>2</v>
      </c>
      <c r="J238" s="3" t="s">
        <v>29</v>
      </c>
      <c r="K238" s="1">
        <v>28108</v>
      </c>
      <c r="L238" s="1" t="s">
        <v>30</v>
      </c>
      <c r="M238" s="1" t="s">
        <v>845</v>
      </c>
      <c r="N238" s="1">
        <v>2024</v>
      </c>
      <c r="O238" s="1">
        <v>1</v>
      </c>
      <c r="P238" s="1" t="s">
        <v>32</v>
      </c>
      <c r="Q238" s="1">
        <v>2413150062</v>
      </c>
      <c r="R238" s="1" t="s">
        <v>911</v>
      </c>
      <c r="S238" s="1" t="s">
        <v>912</v>
      </c>
      <c r="T238" s="1" t="s">
        <v>624</v>
      </c>
      <c r="U238" s="1">
        <v>0</v>
      </c>
      <c r="V238" s="1" t="s">
        <v>36</v>
      </c>
      <c r="W238" s="1" t="s">
        <v>37</v>
      </c>
      <c r="X238" s="1">
        <v>1</v>
      </c>
      <c r="Y238" s="1">
        <v>0</v>
      </c>
    </row>
    <row r="239" spans="1:25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1">
        <v>10</v>
      </c>
      <c r="J239" s="3" t="s">
        <v>744</v>
      </c>
      <c r="K239" s="1">
        <v>28200</v>
      </c>
      <c r="L239" s="1" t="s">
        <v>30</v>
      </c>
      <c r="M239" s="1" t="s">
        <v>187</v>
      </c>
      <c r="N239" s="1">
        <v>2024</v>
      </c>
      <c r="O239" s="1"/>
      <c r="P239" s="1"/>
      <c r="Q239" s="1">
        <v>2413150063</v>
      </c>
      <c r="R239" s="1" t="s">
        <v>913</v>
      </c>
      <c r="S239" s="1" t="s">
        <v>914</v>
      </c>
      <c r="T239" s="1" t="s">
        <v>915</v>
      </c>
      <c r="U239" s="1">
        <v>0</v>
      </c>
      <c r="V239" s="1" t="s">
        <v>36</v>
      </c>
      <c r="W239" s="1" t="s">
        <v>37</v>
      </c>
      <c r="X239" s="1">
        <v>2</v>
      </c>
      <c r="Y239" s="1">
        <v>0</v>
      </c>
    </row>
    <row r="240" spans="1:25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1">
        <v>2</v>
      </c>
      <c r="J240" s="3" t="s">
        <v>29</v>
      </c>
      <c r="K240" s="1">
        <v>28024</v>
      </c>
      <c r="L240" s="1" t="s">
        <v>30</v>
      </c>
      <c r="M240" s="1" t="s">
        <v>312</v>
      </c>
      <c r="N240" s="1">
        <v>2024</v>
      </c>
      <c r="O240" s="1">
        <v>1</v>
      </c>
      <c r="P240" s="1" t="s">
        <v>32</v>
      </c>
      <c r="Q240" s="1">
        <v>2413150064</v>
      </c>
      <c r="R240" s="1" t="s">
        <v>916</v>
      </c>
      <c r="S240" s="1" t="s">
        <v>917</v>
      </c>
      <c r="T240" s="1" t="s">
        <v>918</v>
      </c>
      <c r="U240" s="1">
        <v>0</v>
      </c>
      <c r="V240" s="1" t="s">
        <v>36</v>
      </c>
      <c r="W240" s="1" t="s">
        <v>37</v>
      </c>
      <c r="X240" s="1">
        <v>2</v>
      </c>
      <c r="Y240" s="1">
        <v>0</v>
      </c>
    </row>
    <row r="241" spans="1:25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1">
        <v>5</v>
      </c>
      <c r="J241" s="3" t="s">
        <v>137</v>
      </c>
      <c r="K241" s="1">
        <v>28175</v>
      </c>
      <c r="L241" s="1" t="s">
        <v>30</v>
      </c>
      <c r="M241" s="1" t="s">
        <v>689</v>
      </c>
      <c r="N241" s="1">
        <v>2024</v>
      </c>
      <c r="O241" s="1">
        <v>1</v>
      </c>
      <c r="P241" s="1" t="s">
        <v>32</v>
      </c>
      <c r="Q241" s="1">
        <v>2413150065</v>
      </c>
      <c r="R241" s="1" t="s">
        <v>919</v>
      </c>
      <c r="S241" s="1" t="s">
        <v>920</v>
      </c>
      <c r="T241" s="1" t="s">
        <v>531</v>
      </c>
      <c r="U241" s="1">
        <v>0</v>
      </c>
      <c r="V241" s="1" t="s">
        <v>36</v>
      </c>
      <c r="W241" s="1" t="s">
        <v>37</v>
      </c>
      <c r="X241" s="1">
        <v>2</v>
      </c>
      <c r="Y241" s="1">
        <v>0</v>
      </c>
    </row>
    <row r="242" spans="1:25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1">
        <v>2</v>
      </c>
      <c r="J242" s="3" t="s">
        <v>29</v>
      </c>
      <c r="K242" s="1">
        <v>28200</v>
      </c>
      <c r="L242" s="1" t="s">
        <v>30</v>
      </c>
      <c r="M242" s="1" t="s">
        <v>187</v>
      </c>
      <c r="N242" s="1">
        <v>2024</v>
      </c>
      <c r="O242" s="1">
        <v>1</v>
      </c>
      <c r="P242" s="1" t="s">
        <v>32</v>
      </c>
      <c r="Q242" s="1">
        <v>2413150066</v>
      </c>
      <c r="R242" s="1" t="s">
        <v>921</v>
      </c>
      <c r="S242" s="1" t="s">
        <v>922</v>
      </c>
      <c r="T242" s="1" t="s">
        <v>585</v>
      </c>
      <c r="U242" s="1">
        <v>0</v>
      </c>
      <c r="V242" s="1" t="s">
        <v>36</v>
      </c>
      <c r="W242" s="1" t="s">
        <v>37</v>
      </c>
      <c r="X242" s="1">
        <v>1</v>
      </c>
      <c r="Y242" s="1">
        <v>0</v>
      </c>
    </row>
    <row r="243" spans="1:25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1">
        <v>10</v>
      </c>
      <c r="J243" s="3" t="s">
        <v>744</v>
      </c>
      <c r="K243" s="1">
        <v>13995</v>
      </c>
      <c r="L243" s="1" t="s">
        <v>923</v>
      </c>
      <c r="M243" s="1" t="s">
        <v>924</v>
      </c>
      <c r="N243" s="1">
        <v>2024</v>
      </c>
      <c r="O243" s="1"/>
      <c r="P243" s="1"/>
      <c r="Q243" s="1">
        <v>2413150067</v>
      </c>
      <c r="R243" s="1" t="s">
        <v>925</v>
      </c>
      <c r="S243" s="1" t="s">
        <v>926</v>
      </c>
      <c r="T243" s="1" t="s">
        <v>927</v>
      </c>
      <c r="U243" s="1">
        <v>0</v>
      </c>
      <c r="V243" s="1" t="s">
        <v>36</v>
      </c>
      <c r="W243" s="1" t="s">
        <v>37</v>
      </c>
      <c r="X243" s="1">
        <v>2</v>
      </c>
      <c r="Y243" s="1">
        <v>0</v>
      </c>
    </row>
    <row r="244" spans="1:25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1">
        <v>10</v>
      </c>
      <c r="J244" s="3" t="s">
        <v>744</v>
      </c>
      <c r="K244" s="1">
        <v>1347</v>
      </c>
      <c r="L244" s="1" t="s">
        <v>535</v>
      </c>
      <c r="M244" s="1" t="s">
        <v>544</v>
      </c>
      <c r="N244" s="1">
        <v>2024</v>
      </c>
      <c r="O244" s="1"/>
      <c r="P244" s="1"/>
      <c r="Q244" s="1">
        <v>2413150068</v>
      </c>
      <c r="R244" s="1" t="s">
        <v>928</v>
      </c>
      <c r="S244" s="1" t="s">
        <v>929</v>
      </c>
      <c r="T244" s="1" t="s">
        <v>930</v>
      </c>
      <c r="U244" s="1">
        <v>0</v>
      </c>
      <c r="V244" s="1" t="s">
        <v>36</v>
      </c>
      <c r="W244" s="1" t="s">
        <v>37</v>
      </c>
      <c r="X244" s="1">
        <v>2</v>
      </c>
      <c r="Y244" s="1">
        <v>0</v>
      </c>
    </row>
    <row r="245" spans="1:25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1">
        <v>2</v>
      </c>
      <c r="J245" s="3" t="s">
        <v>29</v>
      </c>
      <c r="K245" s="1">
        <v>28139</v>
      </c>
      <c r="L245" s="1" t="s">
        <v>30</v>
      </c>
      <c r="M245" s="1" t="s">
        <v>931</v>
      </c>
      <c r="N245" s="1">
        <v>2024</v>
      </c>
      <c r="O245" s="1">
        <v>1</v>
      </c>
      <c r="P245" s="1" t="s">
        <v>32</v>
      </c>
      <c r="Q245" s="1">
        <v>2413150069</v>
      </c>
      <c r="R245" s="1" t="s">
        <v>932</v>
      </c>
      <c r="S245" s="1" t="s">
        <v>933</v>
      </c>
      <c r="T245" s="1" t="s">
        <v>934</v>
      </c>
      <c r="U245" s="1">
        <v>0</v>
      </c>
      <c r="V245" s="1" t="s">
        <v>36</v>
      </c>
      <c r="W245" s="1" t="s">
        <v>37</v>
      </c>
      <c r="X245" s="1">
        <v>1</v>
      </c>
      <c r="Y245" s="1">
        <v>0</v>
      </c>
    </row>
    <row r="246" spans="1:25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1">
        <v>2</v>
      </c>
      <c r="J246" s="3" t="s">
        <v>29</v>
      </c>
      <c r="K246" s="1">
        <v>28157</v>
      </c>
      <c r="L246" s="1" t="s">
        <v>30</v>
      </c>
      <c r="M246" s="1" t="s">
        <v>548</v>
      </c>
      <c r="N246" s="1">
        <v>2024</v>
      </c>
      <c r="O246" s="1">
        <v>1</v>
      </c>
      <c r="P246" s="1" t="s">
        <v>32</v>
      </c>
      <c r="Q246" s="1">
        <v>2413150070</v>
      </c>
      <c r="R246" s="1" t="s">
        <v>935</v>
      </c>
      <c r="S246" s="1" t="s">
        <v>936</v>
      </c>
      <c r="T246" s="1" t="s">
        <v>937</v>
      </c>
      <c r="U246" s="1">
        <v>0</v>
      </c>
      <c r="V246" s="1" t="s">
        <v>36</v>
      </c>
      <c r="W246" s="1" t="s">
        <v>37</v>
      </c>
      <c r="X246" s="1">
        <v>1</v>
      </c>
      <c r="Y246" s="1">
        <v>0</v>
      </c>
    </row>
    <row r="247" spans="1:25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1">
        <v>2</v>
      </c>
      <c r="J247" s="3" t="s">
        <v>29</v>
      </c>
      <c r="K247" s="1">
        <v>28090</v>
      </c>
      <c r="L247" s="1" t="s">
        <v>30</v>
      </c>
      <c r="M247" s="1" t="s">
        <v>635</v>
      </c>
      <c r="N247" s="1">
        <v>2024</v>
      </c>
      <c r="O247" s="1"/>
      <c r="P247" s="1"/>
      <c r="Q247" s="1">
        <v>2413150071</v>
      </c>
      <c r="R247" s="1" t="s">
        <v>938</v>
      </c>
      <c r="S247" s="1" t="s">
        <v>939</v>
      </c>
      <c r="T247" s="1" t="s">
        <v>825</v>
      </c>
      <c r="U247" s="1">
        <v>0</v>
      </c>
      <c r="V247" s="1" t="s">
        <v>36</v>
      </c>
      <c r="W247" s="1" t="s">
        <v>37</v>
      </c>
      <c r="X247" s="1">
        <v>1</v>
      </c>
      <c r="Y247" s="1">
        <v>0</v>
      </c>
    </row>
    <row r="248" spans="1:25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1">
        <v>2</v>
      </c>
      <c r="J248" s="3" t="s">
        <v>29</v>
      </c>
      <c r="K248" s="1">
        <v>28175</v>
      </c>
      <c r="L248" s="1" t="s">
        <v>30</v>
      </c>
      <c r="M248" s="1" t="s">
        <v>689</v>
      </c>
      <c r="N248" s="1">
        <v>2024</v>
      </c>
      <c r="O248" s="1">
        <v>1</v>
      </c>
      <c r="P248" s="1" t="s">
        <v>32</v>
      </c>
      <c r="Q248" s="1">
        <v>2413150072</v>
      </c>
      <c r="R248" s="1" t="s">
        <v>940</v>
      </c>
      <c r="S248" s="1" t="s">
        <v>941</v>
      </c>
      <c r="T248" s="1" t="s">
        <v>942</v>
      </c>
      <c r="U248" s="1">
        <v>0</v>
      </c>
      <c r="V248" s="1" t="s">
        <v>36</v>
      </c>
      <c r="W248" s="1" t="s">
        <v>37</v>
      </c>
      <c r="X248" s="1">
        <v>2</v>
      </c>
      <c r="Y248" s="1">
        <v>0</v>
      </c>
    </row>
    <row r="249" spans="1:25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1">
        <v>2</v>
      </c>
      <c r="J249" s="3" t="s">
        <v>29</v>
      </c>
      <c r="K249" s="1">
        <v>28090</v>
      </c>
      <c r="L249" s="1" t="s">
        <v>30</v>
      </c>
      <c r="M249" s="1" t="s">
        <v>635</v>
      </c>
      <c r="N249" s="1">
        <v>2024</v>
      </c>
      <c r="O249" s="1"/>
      <c r="P249" s="1"/>
      <c r="Q249" s="1">
        <v>2413150073</v>
      </c>
      <c r="R249" s="1" t="s">
        <v>943</v>
      </c>
      <c r="S249" s="1" t="s">
        <v>944</v>
      </c>
      <c r="T249" s="1" t="s">
        <v>480</v>
      </c>
      <c r="U249" s="1">
        <v>0</v>
      </c>
      <c r="V249" s="1" t="s">
        <v>36</v>
      </c>
      <c r="W249" s="1" t="s">
        <v>37</v>
      </c>
      <c r="X249" s="1">
        <v>2</v>
      </c>
      <c r="Y249" s="1">
        <v>0</v>
      </c>
    </row>
    <row r="250" spans="1:25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1">
        <v>2</v>
      </c>
      <c r="J250" s="3" t="s">
        <v>29</v>
      </c>
      <c r="K250" s="1">
        <v>28098</v>
      </c>
      <c r="L250" s="1" t="s">
        <v>30</v>
      </c>
      <c r="M250" s="1" t="s">
        <v>563</v>
      </c>
      <c r="N250" s="1">
        <v>2024</v>
      </c>
      <c r="O250" s="1"/>
      <c r="P250" s="1"/>
      <c r="Q250" s="1">
        <v>2413150074</v>
      </c>
      <c r="R250" s="1" t="s">
        <v>945</v>
      </c>
      <c r="S250" s="1" t="s">
        <v>946</v>
      </c>
      <c r="T250" s="1" t="s">
        <v>902</v>
      </c>
      <c r="U250" s="1">
        <v>0</v>
      </c>
      <c r="V250" s="1" t="s">
        <v>36</v>
      </c>
      <c r="W250" s="1" t="s">
        <v>37</v>
      </c>
      <c r="X250" s="1">
        <v>2</v>
      </c>
      <c r="Y250" s="1">
        <v>0</v>
      </c>
    </row>
    <row r="251" spans="1:25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1">
        <v>2</v>
      </c>
      <c r="J251" s="3" t="s">
        <v>29</v>
      </c>
      <c r="K251" s="1">
        <v>28157</v>
      </c>
      <c r="L251" s="1" t="s">
        <v>30</v>
      </c>
      <c r="M251" s="1" t="s">
        <v>548</v>
      </c>
      <c r="N251" s="1">
        <v>2024</v>
      </c>
      <c r="O251" s="1">
        <v>1</v>
      </c>
      <c r="P251" s="1" t="s">
        <v>32</v>
      </c>
      <c r="Q251" s="1">
        <v>2413150075</v>
      </c>
      <c r="R251" s="1" t="s">
        <v>947</v>
      </c>
      <c r="S251" s="1" t="s">
        <v>948</v>
      </c>
      <c r="T251" s="1" t="s">
        <v>655</v>
      </c>
      <c r="U251" s="1">
        <v>0</v>
      </c>
      <c r="V251" s="1" t="s">
        <v>36</v>
      </c>
      <c r="W251" s="1" t="s">
        <v>37</v>
      </c>
      <c r="X251" s="1">
        <v>1</v>
      </c>
      <c r="Y251" s="1">
        <v>0</v>
      </c>
    </row>
    <row r="252" spans="1:25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1">
        <v>2</v>
      </c>
      <c r="J252" s="3" t="s">
        <v>29</v>
      </c>
      <c r="K252" s="1">
        <v>28098</v>
      </c>
      <c r="L252" s="1" t="s">
        <v>30</v>
      </c>
      <c r="M252" s="1" t="s">
        <v>563</v>
      </c>
      <c r="N252" s="1">
        <v>2024</v>
      </c>
      <c r="O252" s="1"/>
      <c r="P252" s="1"/>
      <c r="Q252" s="1">
        <v>2413150076</v>
      </c>
      <c r="R252" s="1" t="s">
        <v>949</v>
      </c>
      <c r="S252" s="1" t="s">
        <v>950</v>
      </c>
      <c r="T252" s="1" t="s">
        <v>951</v>
      </c>
      <c r="U252" s="1">
        <v>0</v>
      </c>
      <c r="V252" s="1" t="s">
        <v>36</v>
      </c>
      <c r="W252" s="1" t="s">
        <v>37</v>
      </c>
      <c r="X252" s="1">
        <v>1</v>
      </c>
      <c r="Y252" s="1">
        <v>0</v>
      </c>
    </row>
    <row r="253" spans="1:25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1">
        <v>3</v>
      </c>
      <c r="J253" s="3" t="s">
        <v>68</v>
      </c>
      <c r="K253" s="1">
        <v>28091</v>
      </c>
      <c r="L253" s="1" t="s">
        <v>30</v>
      </c>
      <c r="M253" s="1" t="s">
        <v>618</v>
      </c>
      <c r="N253" s="1">
        <v>2024</v>
      </c>
      <c r="O253" s="1">
        <v>1</v>
      </c>
      <c r="P253" s="1" t="s">
        <v>32</v>
      </c>
      <c r="Q253" s="1">
        <v>2413150077</v>
      </c>
      <c r="R253" s="1" t="s">
        <v>952</v>
      </c>
      <c r="S253" s="1" t="s">
        <v>953</v>
      </c>
      <c r="T253" s="1" t="s">
        <v>954</v>
      </c>
      <c r="U253" s="1">
        <v>0</v>
      </c>
      <c r="V253" s="1" t="s">
        <v>36</v>
      </c>
      <c r="W253" s="1" t="s">
        <v>37</v>
      </c>
      <c r="X253" s="1">
        <v>2</v>
      </c>
      <c r="Y253" s="1">
        <v>0</v>
      </c>
    </row>
    <row r="254" spans="1:25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1">
        <v>2</v>
      </c>
      <c r="J254" s="3" t="s">
        <v>29</v>
      </c>
      <c r="K254" s="1">
        <v>33029</v>
      </c>
      <c r="L254" s="1" t="s">
        <v>145</v>
      </c>
      <c r="M254" s="1" t="s">
        <v>955</v>
      </c>
      <c r="N254" s="1">
        <v>2024</v>
      </c>
      <c r="O254" s="1"/>
      <c r="P254" s="1"/>
      <c r="Q254" s="1">
        <v>2413150078</v>
      </c>
      <c r="R254" s="1" t="s">
        <v>956</v>
      </c>
      <c r="S254" s="1" t="s">
        <v>957</v>
      </c>
      <c r="T254" s="1" t="s">
        <v>958</v>
      </c>
      <c r="U254" s="1">
        <v>0</v>
      </c>
      <c r="V254" s="1" t="s">
        <v>36</v>
      </c>
      <c r="W254" s="1" t="s">
        <v>37</v>
      </c>
      <c r="X254" s="1">
        <v>2</v>
      </c>
      <c r="Y254" s="1">
        <v>0</v>
      </c>
    </row>
    <row r="255" spans="1:25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1">
        <v>3</v>
      </c>
      <c r="J255" s="3" t="s">
        <v>68</v>
      </c>
      <c r="K255" s="1">
        <v>28970</v>
      </c>
      <c r="L255" s="1" t="s">
        <v>30</v>
      </c>
      <c r="M255" s="1" t="s">
        <v>804</v>
      </c>
      <c r="N255" s="1">
        <v>2024</v>
      </c>
      <c r="O255" s="1">
        <v>1</v>
      </c>
      <c r="P255" s="1" t="s">
        <v>32</v>
      </c>
      <c r="Q255" s="1">
        <v>2413150079</v>
      </c>
      <c r="R255" s="1" t="s">
        <v>959</v>
      </c>
      <c r="S255" s="1" t="s">
        <v>960</v>
      </c>
      <c r="T255" s="1" t="s">
        <v>589</v>
      </c>
      <c r="U255" s="1">
        <v>0</v>
      </c>
      <c r="V255" s="1" t="s">
        <v>36</v>
      </c>
      <c r="W255" s="1" t="s">
        <v>37</v>
      </c>
      <c r="X255" s="1">
        <v>2</v>
      </c>
      <c r="Y255" s="1">
        <v>0</v>
      </c>
    </row>
    <row r="256" spans="1:25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1">
        <v>2</v>
      </c>
      <c r="J256" s="3" t="s">
        <v>29</v>
      </c>
      <c r="K256" s="1">
        <v>28168</v>
      </c>
      <c r="L256" s="1" t="s">
        <v>30</v>
      </c>
      <c r="M256" s="1" t="s">
        <v>683</v>
      </c>
      <c r="N256" s="1">
        <v>2024</v>
      </c>
      <c r="O256" s="1">
        <v>1</v>
      </c>
      <c r="P256" s="1" t="s">
        <v>32</v>
      </c>
      <c r="Q256" s="1">
        <v>2413150080</v>
      </c>
      <c r="R256" s="1" t="s">
        <v>961</v>
      </c>
      <c r="S256" s="1" t="s">
        <v>962</v>
      </c>
      <c r="T256" s="1" t="s">
        <v>963</v>
      </c>
      <c r="U256" s="1">
        <v>0</v>
      </c>
      <c r="V256" s="1" t="s">
        <v>36</v>
      </c>
      <c r="W256" s="1" t="s">
        <v>37</v>
      </c>
      <c r="X256" s="1">
        <v>1</v>
      </c>
      <c r="Y256" s="1">
        <v>0</v>
      </c>
    </row>
    <row r="257" spans="1:25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1">
        <v>2</v>
      </c>
      <c r="J257" s="3" t="s">
        <v>29</v>
      </c>
      <c r="K257" s="1">
        <v>28168</v>
      </c>
      <c r="L257" s="1" t="s">
        <v>30</v>
      </c>
      <c r="M257" s="1" t="s">
        <v>683</v>
      </c>
      <c r="N257" s="1">
        <v>2024</v>
      </c>
      <c r="O257" s="1"/>
      <c r="P257" s="1"/>
      <c r="Q257" s="1">
        <v>2413150081</v>
      </c>
      <c r="R257" s="1" t="s">
        <v>964</v>
      </c>
      <c r="S257" s="1" t="s">
        <v>965</v>
      </c>
      <c r="T257" s="1" t="s">
        <v>966</v>
      </c>
      <c r="U257" s="1">
        <v>0</v>
      </c>
      <c r="V257" s="1" t="s">
        <v>36</v>
      </c>
      <c r="W257" s="1" t="s">
        <v>37</v>
      </c>
      <c r="X257" s="1">
        <v>2</v>
      </c>
      <c r="Y257" s="1">
        <v>0</v>
      </c>
    </row>
    <row r="258" spans="1:25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1">
        <v>2</v>
      </c>
      <c r="J258" s="3" t="s">
        <v>29</v>
      </c>
      <c r="K258" s="1">
        <v>28173</v>
      </c>
      <c r="L258" s="1" t="s">
        <v>30</v>
      </c>
      <c r="M258" s="1" t="s">
        <v>645</v>
      </c>
      <c r="N258" s="1">
        <v>2024</v>
      </c>
      <c r="O258" s="1">
        <v>1</v>
      </c>
      <c r="P258" s="1" t="s">
        <v>32</v>
      </c>
      <c r="Q258" s="1">
        <v>2413150082</v>
      </c>
      <c r="R258" s="1" t="s">
        <v>967</v>
      </c>
      <c r="S258" s="1" t="s">
        <v>968</v>
      </c>
      <c r="T258" s="1" t="s">
        <v>969</v>
      </c>
      <c r="U258" s="1">
        <v>0</v>
      </c>
      <c r="V258" s="1" t="s">
        <v>36</v>
      </c>
      <c r="W258" s="1" t="s">
        <v>37</v>
      </c>
      <c r="X258" s="1">
        <v>2</v>
      </c>
      <c r="Y258" s="1">
        <v>0</v>
      </c>
    </row>
    <row r="259" spans="1:25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1">
        <v>2</v>
      </c>
      <c r="J259" s="3" t="s">
        <v>29</v>
      </c>
      <c r="K259" s="1">
        <v>28099</v>
      </c>
      <c r="L259" s="1" t="s">
        <v>30</v>
      </c>
      <c r="M259" s="1" t="s">
        <v>268</v>
      </c>
      <c r="N259" s="1">
        <v>2024</v>
      </c>
      <c r="O259" s="1">
        <v>1</v>
      </c>
      <c r="P259" s="1" t="s">
        <v>32</v>
      </c>
      <c r="Q259" s="1">
        <v>2413150083</v>
      </c>
      <c r="R259" s="1" t="s">
        <v>970</v>
      </c>
      <c r="S259" s="1" t="s">
        <v>971</v>
      </c>
      <c r="T259" s="1" t="s">
        <v>972</v>
      </c>
      <c r="U259" s="1">
        <v>0</v>
      </c>
      <c r="V259" s="1" t="s">
        <v>36</v>
      </c>
      <c r="W259" s="1" t="s">
        <v>37</v>
      </c>
      <c r="X259" s="1">
        <v>2</v>
      </c>
      <c r="Y259" s="1">
        <v>0</v>
      </c>
    </row>
    <row r="260" spans="1:25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1">
        <v>2</v>
      </c>
      <c r="J260" s="3" t="s">
        <v>29</v>
      </c>
      <c r="K260" s="1">
        <v>28180</v>
      </c>
      <c r="L260" s="1" t="s">
        <v>30</v>
      </c>
      <c r="M260" s="1" t="s">
        <v>973</v>
      </c>
      <c r="N260" s="1">
        <v>2024</v>
      </c>
      <c r="O260" s="1"/>
      <c r="P260" s="1"/>
      <c r="Q260" s="1">
        <v>2413150084</v>
      </c>
      <c r="R260" s="1" t="s">
        <v>974</v>
      </c>
      <c r="S260" s="1" t="s">
        <v>975</v>
      </c>
      <c r="T260" s="1" t="s">
        <v>976</v>
      </c>
      <c r="U260" s="1">
        <v>0</v>
      </c>
      <c r="V260" s="1" t="s">
        <v>36</v>
      </c>
      <c r="W260" s="1" t="s">
        <v>37</v>
      </c>
      <c r="X260" s="1">
        <v>2</v>
      </c>
      <c r="Y260" s="1">
        <v>0</v>
      </c>
    </row>
    <row r="261" spans="1:25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1">
        <v>5</v>
      </c>
      <c r="J261" s="3" t="s">
        <v>137</v>
      </c>
      <c r="K261" s="1">
        <v>28017</v>
      </c>
      <c r="L261" s="1" t="s">
        <v>30</v>
      </c>
      <c r="M261" s="1" t="s">
        <v>282</v>
      </c>
      <c r="N261" s="1">
        <v>2024</v>
      </c>
      <c r="O261" s="1">
        <v>1</v>
      </c>
      <c r="P261" s="1" t="s">
        <v>32</v>
      </c>
      <c r="Q261" s="1">
        <v>2413150085</v>
      </c>
      <c r="R261" s="1" t="s">
        <v>978</v>
      </c>
      <c r="S261" s="1" t="s">
        <v>979</v>
      </c>
      <c r="T261" s="1" t="s">
        <v>500</v>
      </c>
      <c r="U261" s="1">
        <v>0</v>
      </c>
      <c r="V261" s="1" t="s">
        <v>36</v>
      </c>
      <c r="W261" s="1" t="s">
        <v>37</v>
      </c>
      <c r="X261" s="1">
        <v>2</v>
      </c>
      <c r="Y261" s="1">
        <v>0</v>
      </c>
    </row>
    <row r="262" spans="1:25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1">
        <v>2</v>
      </c>
      <c r="J262" s="3" t="s">
        <v>29</v>
      </c>
      <c r="K262" s="1">
        <v>28098</v>
      </c>
      <c r="L262" s="1" t="s">
        <v>30</v>
      </c>
      <c r="M262" s="1" t="s">
        <v>563</v>
      </c>
      <c r="N262" s="1">
        <v>2024</v>
      </c>
      <c r="O262" s="1">
        <v>1</v>
      </c>
      <c r="P262" s="1" t="s">
        <v>32</v>
      </c>
      <c r="Q262" s="1">
        <v>2413150086</v>
      </c>
      <c r="R262" s="1" t="s">
        <v>980</v>
      </c>
      <c r="S262" s="1" t="s">
        <v>981</v>
      </c>
      <c r="T262" s="1" t="s">
        <v>982</v>
      </c>
      <c r="U262" s="1">
        <v>0</v>
      </c>
      <c r="V262" s="1" t="s">
        <v>36</v>
      </c>
      <c r="W262" s="1" t="s">
        <v>37</v>
      </c>
      <c r="X262" s="1">
        <v>2</v>
      </c>
      <c r="Y262" s="1">
        <v>0</v>
      </c>
    </row>
    <row r="263" spans="1:25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1">
        <v>2</v>
      </c>
      <c r="J263" s="3" t="s">
        <v>29</v>
      </c>
      <c r="K263" s="1">
        <v>28094</v>
      </c>
      <c r="L263" s="1" t="s">
        <v>30</v>
      </c>
      <c r="M263" s="1" t="s">
        <v>323</v>
      </c>
      <c r="N263" s="1">
        <v>2024</v>
      </c>
      <c r="O263" s="1">
        <v>1</v>
      </c>
      <c r="P263" s="1" t="s">
        <v>32</v>
      </c>
      <c r="Q263" s="1">
        <v>2413150087</v>
      </c>
      <c r="R263" s="1" t="s">
        <v>983</v>
      </c>
      <c r="S263" s="1" t="s">
        <v>984</v>
      </c>
      <c r="T263" s="1" t="s">
        <v>985</v>
      </c>
      <c r="U263" s="1">
        <v>0</v>
      </c>
      <c r="V263" s="1" t="s">
        <v>36</v>
      </c>
      <c r="W263" s="1" t="s">
        <v>37</v>
      </c>
      <c r="X263" s="1">
        <v>1</v>
      </c>
      <c r="Y263" s="1">
        <v>0</v>
      </c>
    </row>
    <row r="264" spans="1:25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1">
        <v>5</v>
      </c>
      <c r="J264" s="3" t="s">
        <v>137</v>
      </c>
      <c r="K264" s="1">
        <v>28094</v>
      </c>
      <c r="L264" s="1" t="s">
        <v>30</v>
      </c>
      <c r="M264" s="1" t="s">
        <v>323</v>
      </c>
      <c r="N264" s="1">
        <v>2024</v>
      </c>
      <c r="O264" s="1">
        <v>1</v>
      </c>
      <c r="P264" s="1" t="s">
        <v>32</v>
      </c>
      <c r="Q264" s="1">
        <v>2413150088</v>
      </c>
      <c r="R264" s="1" t="s">
        <v>986</v>
      </c>
      <c r="S264" s="1" t="s">
        <v>987</v>
      </c>
      <c r="T264" s="1" t="s">
        <v>988</v>
      </c>
      <c r="U264" s="1">
        <v>0</v>
      </c>
      <c r="V264" s="1" t="s">
        <v>36</v>
      </c>
      <c r="W264" s="1" t="s">
        <v>37</v>
      </c>
      <c r="X264" s="1">
        <v>2</v>
      </c>
      <c r="Y264" s="1">
        <v>0</v>
      </c>
    </row>
    <row r="265" spans="1:25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1">
        <v>8</v>
      </c>
      <c r="J265" s="3" t="s">
        <v>96</v>
      </c>
      <c r="K265" s="1">
        <v>28124</v>
      </c>
      <c r="L265" s="1" t="s">
        <v>30</v>
      </c>
      <c r="M265" s="1" t="s">
        <v>221</v>
      </c>
      <c r="N265" s="1">
        <v>2024</v>
      </c>
      <c r="O265" s="1"/>
      <c r="P265" s="1"/>
      <c r="Q265" s="1">
        <v>2413150089</v>
      </c>
      <c r="R265" s="1" t="s">
        <v>989</v>
      </c>
      <c r="S265" s="1" t="s">
        <v>990</v>
      </c>
      <c r="T265" s="1" t="s">
        <v>991</v>
      </c>
      <c r="U265" s="1">
        <v>0</v>
      </c>
      <c r="V265" s="1" t="s">
        <v>36</v>
      </c>
      <c r="W265" s="1" t="s">
        <v>37</v>
      </c>
      <c r="X265" s="1">
        <v>2</v>
      </c>
      <c r="Y265" s="1">
        <v>0</v>
      </c>
    </row>
    <row r="266" spans="1:25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1">
        <v>8</v>
      </c>
      <c r="J266" s="3" t="s">
        <v>96</v>
      </c>
      <c r="K266" s="1">
        <v>33133</v>
      </c>
      <c r="L266" s="1" t="s">
        <v>145</v>
      </c>
      <c r="M266" s="1" t="s">
        <v>570</v>
      </c>
      <c r="N266" s="1">
        <v>2024</v>
      </c>
      <c r="O266" s="1">
        <v>1</v>
      </c>
      <c r="P266" s="1" t="s">
        <v>32</v>
      </c>
      <c r="Q266" s="1">
        <v>2413150090</v>
      </c>
      <c r="R266" s="1" t="s">
        <v>992</v>
      </c>
      <c r="S266" s="1" t="s">
        <v>993</v>
      </c>
      <c r="T266" s="1" t="s">
        <v>224</v>
      </c>
      <c r="U266" s="1">
        <v>0</v>
      </c>
      <c r="V266" s="1" t="s">
        <v>36</v>
      </c>
      <c r="W266" s="1" t="s">
        <v>37</v>
      </c>
      <c r="X266" s="1">
        <v>2</v>
      </c>
      <c r="Y266" s="1">
        <v>0</v>
      </c>
    </row>
    <row r="267" spans="1:25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1">
        <v>10</v>
      </c>
      <c r="J267" s="3" t="s">
        <v>744</v>
      </c>
      <c r="K267" s="1">
        <v>28187</v>
      </c>
      <c r="L267" s="1" t="s">
        <v>30</v>
      </c>
      <c r="M267" s="1" t="s">
        <v>822</v>
      </c>
      <c r="N267" s="1">
        <v>2024</v>
      </c>
      <c r="O267" s="1">
        <v>1</v>
      </c>
      <c r="P267" s="1" t="s">
        <v>32</v>
      </c>
      <c r="Q267" s="1">
        <v>2413150091</v>
      </c>
      <c r="R267" s="1" t="s">
        <v>994</v>
      </c>
      <c r="S267" s="1" t="s">
        <v>995</v>
      </c>
      <c r="T267" s="1" t="s">
        <v>840</v>
      </c>
      <c r="U267" s="1">
        <v>0</v>
      </c>
      <c r="V267" s="1" t="s">
        <v>36</v>
      </c>
      <c r="W267" s="1" t="s">
        <v>37</v>
      </c>
      <c r="X267" s="1">
        <v>2</v>
      </c>
      <c r="Y267" s="1">
        <v>0</v>
      </c>
    </row>
    <row r="268" spans="1:25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1">
        <v>2</v>
      </c>
      <c r="J268" s="3" t="s">
        <v>29</v>
      </c>
      <c r="K268" s="1">
        <v>28156</v>
      </c>
      <c r="L268" s="1" t="s">
        <v>30</v>
      </c>
      <c r="M268" s="1" t="s">
        <v>996</v>
      </c>
      <c r="N268" s="1">
        <v>2024</v>
      </c>
      <c r="O268" s="1">
        <v>1</v>
      </c>
      <c r="P268" s="1" t="s">
        <v>32</v>
      </c>
      <c r="Q268" s="1">
        <v>2413150092</v>
      </c>
      <c r="R268" s="1" t="s">
        <v>997</v>
      </c>
      <c r="S268" s="1" t="s">
        <v>998</v>
      </c>
      <c r="T268" s="1" t="s">
        <v>999</v>
      </c>
      <c r="U268" s="1">
        <v>0</v>
      </c>
      <c r="V268" s="1" t="s">
        <v>36</v>
      </c>
      <c r="W268" s="1" t="s">
        <v>37</v>
      </c>
      <c r="X268" s="1">
        <v>1</v>
      </c>
      <c r="Y268" s="1">
        <v>0</v>
      </c>
    </row>
    <row r="269" spans="1:25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1">
        <v>2</v>
      </c>
      <c r="J269" s="3" t="s">
        <v>29</v>
      </c>
      <c r="K269" s="1">
        <v>28091</v>
      </c>
      <c r="L269" s="1" t="s">
        <v>30</v>
      </c>
      <c r="M269" s="1" t="s">
        <v>618</v>
      </c>
      <c r="N269" s="1">
        <v>2024</v>
      </c>
      <c r="O269" s="1">
        <v>1</v>
      </c>
      <c r="P269" s="1" t="s">
        <v>32</v>
      </c>
      <c r="Q269" s="1">
        <v>2413150093</v>
      </c>
      <c r="R269" s="1" t="s">
        <v>1000</v>
      </c>
      <c r="S269" s="1" t="s">
        <v>1001</v>
      </c>
      <c r="T269" s="1" t="s">
        <v>516</v>
      </c>
      <c r="U269" s="1">
        <v>0</v>
      </c>
      <c r="V269" s="1" t="s">
        <v>36</v>
      </c>
      <c r="W269" s="1" t="s">
        <v>37</v>
      </c>
      <c r="X269" s="1">
        <v>1</v>
      </c>
      <c r="Y269" s="1">
        <v>0</v>
      </c>
    </row>
    <row r="270" spans="1:25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1">
        <v>2</v>
      </c>
      <c r="J270" s="3" t="s">
        <v>29</v>
      </c>
      <c r="K270" s="1">
        <v>28098</v>
      </c>
      <c r="L270" s="1" t="s">
        <v>30</v>
      </c>
      <c r="M270" s="1" t="s">
        <v>563</v>
      </c>
      <c r="N270" s="1">
        <v>2024</v>
      </c>
      <c r="O270" s="1"/>
      <c r="P270" s="1"/>
      <c r="Q270" s="1">
        <v>2413150094</v>
      </c>
      <c r="R270" s="1" t="s">
        <v>1002</v>
      </c>
      <c r="S270" s="1" t="s">
        <v>1003</v>
      </c>
      <c r="T270" s="1" t="s">
        <v>1004</v>
      </c>
      <c r="U270" s="1">
        <v>0</v>
      </c>
      <c r="V270" s="1" t="s">
        <v>36</v>
      </c>
      <c r="W270" s="1" t="s">
        <v>37</v>
      </c>
      <c r="X270" s="1">
        <v>1</v>
      </c>
      <c r="Y270" s="1">
        <v>0</v>
      </c>
    </row>
    <row r="271" spans="1:25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1">
        <v>2</v>
      </c>
      <c r="J271" s="3" t="s">
        <v>29</v>
      </c>
      <c r="K271" s="1">
        <v>28200</v>
      </c>
      <c r="L271" s="1" t="s">
        <v>30</v>
      </c>
      <c r="M271" s="1" t="s">
        <v>187</v>
      </c>
      <c r="N271" s="1">
        <v>2024</v>
      </c>
      <c r="O271" s="1">
        <v>1</v>
      </c>
      <c r="P271" s="1" t="s">
        <v>32</v>
      </c>
      <c r="Q271" s="1">
        <v>2413150095</v>
      </c>
      <c r="R271" s="1" t="s">
        <v>1005</v>
      </c>
      <c r="S271" s="1" t="s">
        <v>1006</v>
      </c>
      <c r="T271" s="1" t="s">
        <v>1007</v>
      </c>
      <c r="U271" s="1">
        <v>0</v>
      </c>
      <c r="V271" s="1" t="s">
        <v>36</v>
      </c>
      <c r="W271" s="1" t="s">
        <v>37</v>
      </c>
      <c r="X271" s="1">
        <v>1</v>
      </c>
      <c r="Y271" s="1">
        <v>0</v>
      </c>
    </row>
    <row r="272" spans="1:25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1">
        <v>5</v>
      </c>
      <c r="J272" s="3" t="s">
        <v>137</v>
      </c>
      <c r="K272" s="1">
        <v>28175</v>
      </c>
      <c r="L272" s="1" t="s">
        <v>30</v>
      </c>
      <c r="M272" s="1" t="s">
        <v>689</v>
      </c>
      <c r="N272" s="1">
        <v>2024</v>
      </c>
      <c r="O272" s="1"/>
      <c r="P272" s="1"/>
      <c r="Q272" s="1">
        <v>2413150096</v>
      </c>
      <c r="R272" s="1" t="s">
        <v>1008</v>
      </c>
      <c r="S272" s="1" t="s">
        <v>1009</v>
      </c>
      <c r="T272" s="1" t="s">
        <v>1010</v>
      </c>
      <c r="U272" s="1">
        <v>0</v>
      </c>
      <c r="V272" s="1" t="s">
        <v>36</v>
      </c>
      <c r="W272" s="1" t="s">
        <v>37</v>
      </c>
      <c r="X272" s="1">
        <v>2</v>
      </c>
      <c r="Y272" s="1">
        <v>0</v>
      </c>
    </row>
    <row r="273" spans="1:25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1">
        <v>2</v>
      </c>
      <c r="J273" s="3" t="s">
        <v>29</v>
      </c>
      <c r="K273" s="1">
        <v>28098</v>
      </c>
      <c r="L273" s="1" t="s">
        <v>30</v>
      </c>
      <c r="M273" s="1" t="s">
        <v>563</v>
      </c>
      <c r="N273" s="1">
        <v>2024</v>
      </c>
      <c r="O273" s="1">
        <v>1</v>
      </c>
      <c r="P273" s="1" t="s">
        <v>32</v>
      </c>
      <c r="Q273" s="1">
        <v>2413150097</v>
      </c>
      <c r="R273" s="1" t="s">
        <v>1011</v>
      </c>
      <c r="S273" s="1" t="s">
        <v>1012</v>
      </c>
      <c r="T273" s="1" t="s">
        <v>1013</v>
      </c>
      <c r="U273" s="1">
        <v>0</v>
      </c>
      <c r="V273" s="1" t="s">
        <v>36</v>
      </c>
      <c r="W273" s="1" t="s">
        <v>37</v>
      </c>
      <c r="X273" s="1">
        <v>2</v>
      </c>
      <c r="Y273" s="1">
        <v>0</v>
      </c>
    </row>
    <row r="274" spans="1:25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1">
        <v>5</v>
      </c>
      <c r="J274" s="3" t="s">
        <v>137</v>
      </c>
      <c r="K274" s="1">
        <v>28205</v>
      </c>
      <c r="L274" s="1" t="s">
        <v>30</v>
      </c>
      <c r="M274" s="1" t="s">
        <v>304</v>
      </c>
      <c r="N274" s="1">
        <v>2024</v>
      </c>
      <c r="O274" s="1">
        <v>1</v>
      </c>
      <c r="P274" s="1" t="s">
        <v>32</v>
      </c>
      <c r="Q274" s="1">
        <v>2413150098</v>
      </c>
      <c r="R274" s="1" t="s">
        <v>1014</v>
      </c>
      <c r="S274" s="1" t="s">
        <v>1015</v>
      </c>
      <c r="T274" s="1" t="s">
        <v>1016</v>
      </c>
      <c r="U274" s="1">
        <v>0</v>
      </c>
      <c r="V274" s="1" t="s">
        <v>36</v>
      </c>
      <c r="W274" s="1" t="s">
        <v>37</v>
      </c>
      <c r="X274" s="1">
        <v>2</v>
      </c>
      <c r="Y274" s="1">
        <v>0</v>
      </c>
    </row>
    <row r="275" spans="1:25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1">
        <v>2</v>
      </c>
      <c r="J275" s="3" t="s">
        <v>29</v>
      </c>
      <c r="K275" s="1">
        <v>28166</v>
      </c>
      <c r="L275" s="1" t="s">
        <v>30</v>
      </c>
      <c r="M275" s="1" t="s">
        <v>1017</v>
      </c>
      <c r="N275" s="1">
        <v>2023</v>
      </c>
      <c r="O275" s="1">
        <v>1</v>
      </c>
      <c r="P275" s="1" t="s">
        <v>32</v>
      </c>
      <c r="Q275" s="1">
        <v>2413150099</v>
      </c>
      <c r="R275" s="1" t="s">
        <v>1018</v>
      </c>
      <c r="S275" s="1" t="s">
        <v>1019</v>
      </c>
      <c r="T275" s="1" t="s">
        <v>1020</v>
      </c>
      <c r="U275" s="1">
        <v>0</v>
      </c>
      <c r="V275" s="1" t="s">
        <v>36</v>
      </c>
      <c r="W275" s="1" t="s">
        <v>37</v>
      </c>
      <c r="X275" s="1">
        <v>2</v>
      </c>
      <c r="Y275" s="1">
        <v>0</v>
      </c>
    </row>
    <row r="276" spans="1:25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1">
        <v>2</v>
      </c>
      <c r="J276" s="3" t="s">
        <v>29</v>
      </c>
      <c r="K276" s="1">
        <v>28127</v>
      </c>
      <c r="L276" s="1" t="s">
        <v>30</v>
      </c>
      <c r="M276" s="1" t="s">
        <v>1021</v>
      </c>
      <c r="N276" s="1">
        <v>2024</v>
      </c>
      <c r="O276" s="1">
        <v>1</v>
      </c>
      <c r="P276" s="1" t="s">
        <v>32</v>
      </c>
      <c r="Q276" s="1">
        <v>2413150100</v>
      </c>
      <c r="R276" s="1" t="s">
        <v>1022</v>
      </c>
      <c r="S276" s="1" t="s">
        <v>1023</v>
      </c>
      <c r="T276" s="1" t="s">
        <v>1024</v>
      </c>
      <c r="U276" s="1">
        <v>0</v>
      </c>
      <c r="V276" s="1" t="s">
        <v>36</v>
      </c>
      <c r="W276" s="1" t="s">
        <v>37</v>
      </c>
      <c r="X276" s="1">
        <v>2</v>
      </c>
      <c r="Y276" s="1">
        <v>0</v>
      </c>
    </row>
    <row r="277" spans="1:25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1">
        <v>2</v>
      </c>
      <c r="J277" s="3" t="s">
        <v>29</v>
      </c>
      <c r="K277" s="1">
        <v>28193</v>
      </c>
      <c r="L277" s="1" t="s">
        <v>30</v>
      </c>
      <c r="M277" s="1" t="s">
        <v>520</v>
      </c>
      <c r="N277" s="1">
        <v>2024</v>
      </c>
      <c r="O277" s="1">
        <v>1</v>
      </c>
      <c r="P277" s="1" t="s">
        <v>32</v>
      </c>
      <c r="Q277" s="1">
        <v>2413150101</v>
      </c>
      <c r="R277" s="1" t="s">
        <v>1025</v>
      </c>
      <c r="S277" s="1" t="s">
        <v>1026</v>
      </c>
      <c r="T277" s="1" t="s">
        <v>1027</v>
      </c>
      <c r="U277" s="1">
        <v>0</v>
      </c>
      <c r="V277" s="1" t="s">
        <v>36</v>
      </c>
      <c r="W277" s="1" t="s">
        <v>37</v>
      </c>
      <c r="X277" s="1">
        <v>1</v>
      </c>
      <c r="Y277" s="1">
        <v>0</v>
      </c>
    </row>
    <row r="278" spans="1:25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1">
        <v>2</v>
      </c>
      <c r="J278" s="3" t="s">
        <v>29</v>
      </c>
      <c r="K278" s="1">
        <v>28098</v>
      </c>
      <c r="L278" s="1" t="s">
        <v>30</v>
      </c>
      <c r="M278" s="1" t="s">
        <v>563</v>
      </c>
      <c r="N278" s="1">
        <v>2024</v>
      </c>
      <c r="O278" s="1">
        <v>1</v>
      </c>
      <c r="P278" s="1" t="s">
        <v>32</v>
      </c>
      <c r="Q278" s="1">
        <v>2413150102</v>
      </c>
      <c r="R278" s="1" t="s">
        <v>1028</v>
      </c>
      <c r="S278" s="1" t="s">
        <v>1029</v>
      </c>
      <c r="T278" s="1" t="s">
        <v>655</v>
      </c>
      <c r="U278" s="1">
        <v>0</v>
      </c>
      <c r="V278" s="1" t="s">
        <v>36</v>
      </c>
      <c r="W278" s="1" t="s">
        <v>37</v>
      </c>
      <c r="X278" s="1">
        <v>2</v>
      </c>
      <c r="Y278" s="1">
        <v>0</v>
      </c>
    </row>
    <row r="279" spans="1:25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1">
        <v>2</v>
      </c>
      <c r="J279" s="3" t="s">
        <v>29</v>
      </c>
      <c r="K279" s="1">
        <v>28193</v>
      </c>
      <c r="L279" s="1" t="s">
        <v>30</v>
      </c>
      <c r="M279" s="1" t="s">
        <v>520</v>
      </c>
      <c r="N279" s="1">
        <v>2024</v>
      </c>
      <c r="O279" s="1">
        <v>1</v>
      </c>
      <c r="P279" s="1" t="s">
        <v>32</v>
      </c>
      <c r="Q279" s="1">
        <v>2413150103</v>
      </c>
      <c r="R279" s="1" t="s">
        <v>1030</v>
      </c>
      <c r="S279" s="1" t="s">
        <v>1031</v>
      </c>
      <c r="T279" s="1" t="s">
        <v>1032</v>
      </c>
      <c r="U279" s="1">
        <v>0</v>
      </c>
      <c r="V279" s="1" t="s">
        <v>36</v>
      </c>
      <c r="W279" s="1" t="s">
        <v>37</v>
      </c>
      <c r="X279" s="1">
        <v>2</v>
      </c>
      <c r="Y279" s="1">
        <v>0</v>
      </c>
    </row>
    <row r="280" spans="1:25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1">
        <v>2</v>
      </c>
      <c r="J280" s="3" t="s">
        <v>29</v>
      </c>
      <c r="K280" s="1">
        <v>28015</v>
      </c>
      <c r="L280" s="1" t="s">
        <v>30</v>
      </c>
      <c r="M280" s="1" t="s">
        <v>625</v>
      </c>
      <c r="N280" s="1">
        <v>2024</v>
      </c>
      <c r="O280" s="1">
        <v>1</v>
      </c>
      <c r="P280" s="1" t="s">
        <v>32</v>
      </c>
      <c r="Q280" s="1">
        <v>2413150104</v>
      </c>
      <c r="R280" s="1" t="s">
        <v>1033</v>
      </c>
      <c r="S280" s="1" t="s">
        <v>1034</v>
      </c>
      <c r="T280" s="1" t="s">
        <v>831</v>
      </c>
      <c r="U280" s="1">
        <v>0</v>
      </c>
      <c r="V280" s="1" t="s">
        <v>36</v>
      </c>
      <c r="W280" s="1" t="s">
        <v>37</v>
      </c>
      <c r="X280" s="1">
        <v>2</v>
      </c>
      <c r="Y280" s="1">
        <v>0</v>
      </c>
    </row>
    <row r="281" spans="1:25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1">
        <v>10</v>
      </c>
      <c r="J281" s="3" t="s">
        <v>744</v>
      </c>
      <c r="K281" s="1">
        <v>16056</v>
      </c>
      <c r="L281" s="1" t="s">
        <v>1035</v>
      </c>
      <c r="M281" s="1" t="s">
        <v>1036</v>
      </c>
      <c r="N281" s="1">
        <v>2024</v>
      </c>
      <c r="O281" s="1">
        <v>1</v>
      </c>
      <c r="P281" s="1" t="s">
        <v>32</v>
      </c>
      <c r="Q281" s="1">
        <v>2413150105</v>
      </c>
      <c r="R281" s="1" t="s">
        <v>1037</v>
      </c>
      <c r="S281" s="1" t="s">
        <v>1038</v>
      </c>
      <c r="T281" s="1" t="s">
        <v>1039</v>
      </c>
      <c r="U281" s="1">
        <v>0</v>
      </c>
      <c r="V281" s="1" t="s">
        <v>36</v>
      </c>
      <c r="W281" s="1" t="s">
        <v>1040</v>
      </c>
      <c r="X281" s="1">
        <v>2</v>
      </c>
      <c r="Y281" s="1">
        <v>0</v>
      </c>
    </row>
    <row r="282" spans="1:25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1">
        <v>8</v>
      </c>
      <c r="J282" s="3" t="s">
        <v>96</v>
      </c>
      <c r="K282" s="1">
        <v>28205</v>
      </c>
      <c r="L282" s="1" t="s">
        <v>30</v>
      </c>
      <c r="M282" s="1" t="s">
        <v>304</v>
      </c>
      <c r="N282" s="1">
        <v>2024</v>
      </c>
      <c r="O282" s="1">
        <v>1</v>
      </c>
      <c r="P282" s="1" t="s">
        <v>32</v>
      </c>
      <c r="Q282" s="1">
        <v>2413150106</v>
      </c>
      <c r="R282" s="1" t="s">
        <v>1041</v>
      </c>
      <c r="S282" s="1" t="s">
        <v>1042</v>
      </c>
      <c r="T282" s="1" t="s">
        <v>1043</v>
      </c>
      <c r="U282" s="1">
        <v>0</v>
      </c>
      <c r="V282" s="1" t="s">
        <v>36</v>
      </c>
      <c r="W282" s="1" t="s">
        <v>37</v>
      </c>
      <c r="X282" s="1">
        <v>2</v>
      </c>
      <c r="Y282" s="1">
        <v>0</v>
      </c>
    </row>
    <row r="283" spans="1:25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1">
        <v>8</v>
      </c>
      <c r="J283" s="3" t="s">
        <v>96</v>
      </c>
      <c r="K283" s="1">
        <v>28187</v>
      </c>
      <c r="L283" s="1" t="s">
        <v>30</v>
      </c>
      <c r="M283" s="1" t="s">
        <v>822</v>
      </c>
      <c r="N283" s="1">
        <v>2024</v>
      </c>
      <c r="O283" s="1">
        <v>1</v>
      </c>
      <c r="P283" s="1" t="s">
        <v>32</v>
      </c>
      <c r="Q283" s="1">
        <v>2413150107</v>
      </c>
      <c r="R283" s="1" t="s">
        <v>1044</v>
      </c>
      <c r="S283" s="1" t="s">
        <v>1045</v>
      </c>
      <c r="T283" s="1" t="s">
        <v>593</v>
      </c>
      <c r="U283" s="1">
        <v>0</v>
      </c>
      <c r="V283" s="1" t="s">
        <v>36</v>
      </c>
      <c r="W283" s="1" t="s">
        <v>37</v>
      </c>
      <c r="X283" s="1">
        <v>2</v>
      </c>
      <c r="Y283" s="1">
        <v>0</v>
      </c>
    </row>
    <row r="284" spans="1:25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1">
        <v>2</v>
      </c>
      <c r="J284" s="3" t="s">
        <v>29</v>
      </c>
      <c r="K284" s="1">
        <v>28139</v>
      </c>
      <c r="L284" s="1" t="s">
        <v>30</v>
      </c>
      <c r="M284" s="1" t="s">
        <v>931</v>
      </c>
      <c r="N284" s="1">
        <v>2024</v>
      </c>
      <c r="O284" s="1">
        <v>1</v>
      </c>
      <c r="P284" s="1" t="s">
        <v>32</v>
      </c>
      <c r="Q284" s="1">
        <v>2413150108</v>
      </c>
      <c r="R284" s="1" t="s">
        <v>1046</v>
      </c>
      <c r="S284" s="1" t="s">
        <v>1047</v>
      </c>
      <c r="T284" s="1" t="s">
        <v>1048</v>
      </c>
      <c r="U284" s="1">
        <v>0</v>
      </c>
      <c r="V284" s="1" t="s">
        <v>36</v>
      </c>
      <c r="W284" s="1" t="s">
        <v>37</v>
      </c>
      <c r="X284" s="1">
        <v>2</v>
      </c>
      <c r="Y284" s="1">
        <v>0</v>
      </c>
    </row>
    <row r="285" spans="1:25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1">
        <v>2</v>
      </c>
      <c r="J285" s="3" t="s">
        <v>29</v>
      </c>
      <c r="K285" s="1">
        <v>28174</v>
      </c>
      <c r="L285" s="1" t="s">
        <v>30</v>
      </c>
      <c r="M285" s="1" t="s">
        <v>1049</v>
      </c>
      <c r="N285" s="1">
        <v>2024</v>
      </c>
      <c r="O285" s="1">
        <v>1</v>
      </c>
      <c r="P285" s="1" t="s">
        <v>32</v>
      </c>
      <c r="Q285" s="1">
        <v>2413150109</v>
      </c>
      <c r="R285" s="1" t="s">
        <v>1050</v>
      </c>
      <c r="S285" s="1" t="s">
        <v>1051</v>
      </c>
      <c r="T285" s="1" t="s">
        <v>840</v>
      </c>
      <c r="U285" s="1">
        <v>0</v>
      </c>
      <c r="V285" s="1" t="s">
        <v>36</v>
      </c>
      <c r="W285" s="1" t="s">
        <v>37</v>
      </c>
      <c r="X285" s="1">
        <v>2</v>
      </c>
      <c r="Y285" s="1">
        <v>0</v>
      </c>
    </row>
    <row r="286" spans="1:25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1">
        <v>2</v>
      </c>
      <c r="J286" s="3" t="s">
        <v>29</v>
      </c>
      <c r="K286" s="1">
        <v>28094</v>
      </c>
      <c r="L286" s="1" t="s">
        <v>30</v>
      </c>
      <c r="M286" s="1" t="s">
        <v>323</v>
      </c>
      <c r="N286" s="1">
        <v>2024</v>
      </c>
      <c r="O286" s="1">
        <v>1</v>
      </c>
      <c r="P286" s="1" t="s">
        <v>32</v>
      </c>
      <c r="Q286" s="1">
        <v>2413150110</v>
      </c>
      <c r="R286" s="1" t="s">
        <v>1052</v>
      </c>
      <c r="S286" s="1" t="s">
        <v>1053</v>
      </c>
      <c r="T286" s="1" t="s">
        <v>1054</v>
      </c>
      <c r="U286" s="1">
        <v>0</v>
      </c>
      <c r="V286" s="1" t="s">
        <v>36</v>
      </c>
      <c r="W286" s="1" t="s">
        <v>37</v>
      </c>
      <c r="X286" s="1">
        <v>2</v>
      </c>
      <c r="Y286" s="1">
        <v>0</v>
      </c>
    </row>
    <row r="287" spans="1:25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1">
        <v>2</v>
      </c>
      <c r="J287" s="3" t="s">
        <v>29</v>
      </c>
      <c r="K287" s="1">
        <v>28139</v>
      </c>
      <c r="L287" s="1" t="s">
        <v>30</v>
      </c>
      <c r="M287" s="1" t="s">
        <v>931</v>
      </c>
      <c r="N287" s="1">
        <v>2024</v>
      </c>
      <c r="O287" s="1">
        <v>1</v>
      </c>
      <c r="P287" s="1" t="s">
        <v>32</v>
      </c>
      <c r="Q287" s="1">
        <v>2413150111</v>
      </c>
      <c r="R287" s="1" t="s">
        <v>1055</v>
      </c>
      <c r="S287" s="1" t="s">
        <v>1056</v>
      </c>
      <c r="T287" s="1" t="s">
        <v>326</v>
      </c>
      <c r="U287" s="1">
        <v>0</v>
      </c>
      <c r="V287" s="1" t="s">
        <v>36</v>
      </c>
      <c r="W287" s="1" t="s">
        <v>37</v>
      </c>
      <c r="X287" s="1">
        <v>2</v>
      </c>
      <c r="Y287" s="1">
        <v>0</v>
      </c>
    </row>
    <row r="288" spans="1:25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1">
        <v>2</v>
      </c>
      <c r="J288" s="3" t="s">
        <v>29</v>
      </c>
      <c r="K288" s="1">
        <v>28099</v>
      </c>
      <c r="L288" s="1" t="s">
        <v>30</v>
      </c>
      <c r="M288" s="1" t="s">
        <v>268</v>
      </c>
      <c r="N288" s="1">
        <v>2024</v>
      </c>
      <c r="O288" s="1">
        <v>1</v>
      </c>
      <c r="P288" s="1" t="s">
        <v>32</v>
      </c>
      <c r="Q288" s="1">
        <v>2413150112</v>
      </c>
      <c r="R288" s="1" t="s">
        <v>1057</v>
      </c>
      <c r="S288" s="1" t="s">
        <v>1058</v>
      </c>
      <c r="T288" s="1" t="s">
        <v>1059</v>
      </c>
      <c r="U288" s="1">
        <v>0</v>
      </c>
      <c r="V288" s="1" t="s">
        <v>36</v>
      </c>
      <c r="W288" s="1" t="s">
        <v>37</v>
      </c>
      <c r="X288" s="1">
        <v>1</v>
      </c>
      <c r="Y288" s="1">
        <v>0</v>
      </c>
    </row>
    <row r="289" spans="1:25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1">
        <v>3</v>
      </c>
      <c r="J289" s="3" t="s">
        <v>68</v>
      </c>
      <c r="K289" s="1">
        <v>28091</v>
      </c>
      <c r="L289" s="1" t="s">
        <v>30</v>
      </c>
      <c r="M289" s="1" t="s">
        <v>618</v>
      </c>
      <c r="N289" s="1">
        <v>2024</v>
      </c>
      <c r="O289" s="1">
        <v>1</v>
      </c>
      <c r="P289" s="1" t="s">
        <v>32</v>
      </c>
      <c r="Q289" s="1">
        <v>2413150113</v>
      </c>
      <c r="R289" s="1" t="s">
        <v>1061</v>
      </c>
      <c r="S289" s="1" t="s">
        <v>1062</v>
      </c>
      <c r="T289" s="1" t="s">
        <v>1063</v>
      </c>
      <c r="U289" s="1">
        <v>0</v>
      </c>
      <c r="V289" s="1" t="s">
        <v>36</v>
      </c>
      <c r="W289" s="1" t="s">
        <v>37</v>
      </c>
      <c r="X289" s="1">
        <v>2</v>
      </c>
      <c r="Y289" s="1">
        <v>0</v>
      </c>
    </row>
    <row r="290" spans="1:25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1">
        <v>5</v>
      </c>
      <c r="J290" s="3" t="s">
        <v>137</v>
      </c>
      <c r="K290" s="1">
        <v>28032</v>
      </c>
      <c r="L290" s="1" t="s">
        <v>30</v>
      </c>
      <c r="M290" s="1" t="s">
        <v>171</v>
      </c>
      <c r="N290" s="1">
        <v>2024</v>
      </c>
      <c r="O290" s="1">
        <v>1</v>
      </c>
      <c r="P290" s="1" t="s">
        <v>32</v>
      </c>
      <c r="Q290" s="1">
        <v>2413150114</v>
      </c>
      <c r="R290" s="1" t="s">
        <v>1064</v>
      </c>
      <c r="S290" s="1" t="s">
        <v>1065</v>
      </c>
      <c r="T290" s="1" t="s">
        <v>543</v>
      </c>
      <c r="U290" s="1">
        <v>0</v>
      </c>
      <c r="V290" s="1" t="s">
        <v>36</v>
      </c>
      <c r="W290" s="1" t="s">
        <v>37</v>
      </c>
      <c r="X290" s="1">
        <v>2</v>
      </c>
      <c r="Y290" s="1">
        <v>0</v>
      </c>
    </row>
    <row r="291" spans="1:25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1">
        <v>3</v>
      </c>
      <c r="J291" s="3" t="s">
        <v>68</v>
      </c>
      <c r="K291" s="1">
        <v>28091</v>
      </c>
      <c r="L291" s="1" t="s">
        <v>30</v>
      </c>
      <c r="M291" s="1" t="s">
        <v>618</v>
      </c>
      <c r="N291" s="1">
        <v>2024</v>
      </c>
      <c r="O291" s="1">
        <v>1</v>
      </c>
      <c r="P291" s="1" t="s">
        <v>32</v>
      </c>
      <c r="Q291" s="1">
        <v>2413150115</v>
      </c>
      <c r="R291" s="1" t="s">
        <v>1066</v>
      </c>
      <c r="S291" s="1" t="s">
        <v>1067</v>
      </c>
      <c r="T291" s="1" t="s">
        <v>848</v>
      </c>
      <c r="U291" s="1">
        <v>0</v>
      </c>
      <c r="V291" s="1" t="s">
        <v>36</v>
      </c>
      <c r="W291" s="1" t="s">
        <v>37</v>
      </c>
      <c r="X291" s="1">
        <v>2</v>
      </c>
      <c r="Y291" s="1">
        <v>0</v>
      </c>
    </row>
    <row r="292" spans="1:25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1">
        <v>2</v>
      </c>
      <c r="J292" s="3" t="s">
        <v>29</v>
      </c>
      <c r="K292" s="1">
        <v>28141</v>
      </c>
      <c r="L292" s="1" t="s">
        <v>30</v>
      </c>
      <c r="M292" s="1" t="s">
        <v>481</v>
      </c>
      <c r="N292" s="1">
        <v>2024</v>
      </c>
      <c r="O292" s="1">
        <v>1</v>
      </c>
      <c r="P292" s="1" t="s">
        <v>32</v>
      </c>
      <c r="Q292" s="1">
        <v>2413150116</v>
      </c>
      <c r="R292" s="1" t="s">
        <v>1068</v>
      </c>
      <c r="S292" s="1" t="s">
        <v>1069</v>
      </c>
      <c r="T292" s="1" t="s">
        <v>1070</v>
      </c>
      <c r="U292" s="1">
        <v>0</v>
      </c>
      <c r="V292" s="1" t="s">
        <v>36</v>
      </c>
      <c r="W292" s="1" t="s">
        <v>37</v>
      </c>
      <c r="X292" s="1">
        <v>2</v>
      </c>
      <c r="Y292" s="1">
        <v>0</v>
      </c>
    </row>
    <row r="293" spans="1:25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1">
        <v>2</v>
      </c>
      <c r="J293" s="3" t="s">
        <v>29</v>
      </c>
      <c r="K293" s="1">
        <v>28087</v>
      </c>
      <c r="L293" s="1" t="s">
        <v>30</v>
      </c>
      <c r="M293" s="1" t="s">
        <v>769</v>
      </c>
      <c r="N293" s="1">
        <v>2020</v>
      </c>
      <c r="O293" s="1">
        <v>1</v>
      </c>
      <c r="P293" s="1" t="s">
        <v>32</v>
      </c>
      <c r="Q293" s="1">
        <v>2413150117</v>
      </c>
      <c r="R293" s="1" t="s">
        <v>1071</v>
      </c>
      <c r="S293" s="1" t="s">
        <v>1072</v>
      </c>
      <c r="T293" s="1" t="s">
        <v>655</v>
      </c>
      <c r="U293" s="1">
        <v>0</v>
      </c>
      <c r="V293" s="1" t="s">
        <v>36</v>
      </c>
      <c r="W293" s="1" t="s">
        <v>37</v>
      </c>
      <c r="X293" s="1">
        <v>1</v>
      </c>
      <c r="Y293" s="1">
        <v>0</v>
      </c>
    </row>
    <row r="294" spans="1:25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1">
        <v>2</v>
      </c>
      <c r="J294" s="3" t="s">
        <v>29</v>
      </c>
      <c r="K294" s="1">
        <v>28169</v>
      </c>
      <c r="L294" s="1" t="s">
        <v>30</v>
      </c>
      <c r="M294" s="1" t="s">
        <v>754</v>
      </c>
      <c r="N294" s="1">
        <v>2024</v>
      </c>
      <c r="O294" s="1">
        <v>1</v>
      </c>
      <c r="P294" s="1" t="s">
        <v>32</v>
      </c>
      <c r="Q294" s="1">
        <v>2413150118</v>
      </c>
      <c r="R294" s="1" t="s">
        <v>1073</v>
      </c>
      <c r="S294" s="1" t="s">
        <v>1074</v>
      </c>
      <c r="T294" s="1" t="s">
        <v>1075</v>
      </c>
      <c r="U294" s="1">
        <v>0</v>
      </c>
      <c r="V294" s="1" t="s">
        <v>36</v>
      </c>
      <c r="W294" s="1" t="s">
        <v>37</v>
      </c>
      <c r="X294" s="1">
        <v>2</v>
      </c>
      <c r="Y294" s="1">
        <v>0</v>
      </c>
    </row>
    <row r="295" spans="1:25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1">
        <v>2</v>
      </c>
      <c r="J295" s="3" t="s">
        <v>29</v>
      </c>
      <c r="K295" s="1">
        <v>28174</v>
      </c>
      <c r="L295" s="1" t="s">
        <v>30</v>
      </c>
      <c r="M295" s="1" t="s">
        <v>1049</v>
      </c>
      <c r="N295" s="1">
        <v>2024</v>
      </c>
      <c r="O295" s="1">
        <v>1</v>
      </c>
      <c r="P295" s="1" t="s">
        <v>32</v>
      </c>
      <c r="Q295" s="1">
        <v>2413150119</v>
      </c>
      <c r="R295" s="1" t="s">
        <v>1076</v>
      </c>
      <c r="S295" s="1" t="s">
        <v>1077</v>
      </c>
      <c r="T295" s="1" t="s">
        <v>1078</v>
      </c>
      <c r="U295" s="1">
        <v>0</v>
      </c>
      <c r="V295" s="1" t="s">
        <v>36</v>
      </c>
      <c r="W295" s="1" t="s">
        <v>37</v>
      </c>
      <c r="X295" s="1">
        <v>2</v>
      </c>
      <c r="Y295" s="1">
        <v>0</v>
      </c>
    </row>
    <row r="296" spans="1:25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1">
        <v>5</v>
      </c>
      <c r="J296" s="3" t="s">
        <v>137</v>
      </c>
      <c r="K296" s="1">
        <v>28168</v>
      </c>
      <c r="L296" s="1" t="s">
        <v>30</v>
      </c>
      <c r="M296" s="1" t="s">
        <v>683</v>
      </c>
      <c r="N296" s="1">
        <v>2024</v>
      </c>
      <c r="O296" s="1">
        <v>1</v>
      </c>
      <c r="P296" s="1" t="s">
        <v>32</v>
      </c>
      <c r="Q296" s="1">
        <v>2413150120</v>
      </c>
      <c r="R296" s="1" t="s">
        <v>1079</v>
      </c>
      <c r="S296" s="1" t="s">
        <v>1080</v>
      </c>
      <c r="T296" s="1" t="s">
        <v>927</v>
      </c>
      <c r="U296" s="1">
        <v>0</v>
      </c>
      <c r="V296" s="1" t="s">
        <v>36</v>
      </c>
      <c r="W296" s="1" t="s">
        <v>37</v>
      </c>
      <c r="X296" s="1">
        <v>2</v>
      </c>
      <c r="Y296" s="1">
        <v>0</v>
      </c>
    </row>
    <row r="297" spans="1:25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1">
        <v>2</v>
      </c>
      <c r="J297" s="3" t="s">
        <v>29</v>
      </c>
      <c r="K297" s="1">
        <v>28175</v>
      </c>
      <c r="L297" s="1" t="s">
        <v>30</v>
      </c>
      <c r="M297" s="1" t="s">
        <v>689</v>
      </c>
      <c r="N297" s="1">
        <v>2024</v>
      </c>
      <c r="O297" s="1">
        <v>1</v>
      </c>
      <c r="P297" s="1" t="s">
        <v>32</v>
      </c>
      <c r="Q297" s="1">
        <v>2413150121</v>
      </c>
      <c r="R297" s="1" t="s">
        <v>1081</v>
      </c>
      <c r="S297" s="1" t="s">
        <v>1082</v>
      </c>
      <c r="T297" s="1" t="s">
        <v>1083</v>
      </c>
      <c r="U297" s="1">
        <v>0</v>
      </c>
      <c r="V297" s="1" t="s">
        <v>36</v>
      </c>
      <c r="W297" s="1" t="s">
        <v>37</v>
      </c>
      <c r="X297" s="1">
        <v>1</v>
      </c>
      <c r="Y297" s="1">
        <v>0</v>
      </c>
    </row>
    <row r="298" spans="1:25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1">
        <v>2</v>
      </c>
      <c r="J298" s="3" t="s">
        <v>29</v>
      </c>
      <c r="K298" s="1">
        <v>28088</v>
      </c>
      <c r="L298" s="1" t="s">
        <v>30</v>
      </c>
      <c r="M298" s="1" t="s">
        <v>590</v>
      </c>
      <c r="N298" s="1">
        <v>2024</v>
      </c>
      <c r="O298" s="1"/>
      <c r="P298" s="1"/>
      <c r="Q298" s="1">
        <v>2413150122</v>
      </c>
      <c r="R298" s="1" t="s">
        <v>1084</v>
      </c>
      <c r="S298" s="1" t="s">
        <v>1085</v>
      </c>
      <c r="T298" s="1" t="s">
        <v>747</v>
      </c>
      <c r="U298" s="1">
        <v>0</v>
      </c>
      <c r="V298" s="1" t="s">
        <v>36</v>
      </c>
      <c r="W298" s="1" t="s">
        <v>37</v>
      </c>
      <c r="X298" s="1">
        <v>1</v>
      </c>
      <c r="Y298" s="1">
        <v>0</v>
      </c>
    </row>
    <row r="299" spans="1:25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1">
        <v>3</v>
      </c>
      <c r="J299" s="3" t="s">
        <v>68</v>
      </c>
      <c r="K299" s="1">
        <v>28139</v>
      </c>
      <c r="L299" s="1" t="s">
        <v>30</v>
      </c>
      <c r="M299" s="1" t="s">
        <v>931</v>
      </c>
      <c r="N299" s="1">
        <v>2024</v>
      </c>
      <c r="O299" s="1">
        <v>1</v>
      </c>
      <c r="P299" s="1" t="s">
        <v>32</v>
      </c>
      <c r="Q299" s="1">
        <v>2413150123</v>
      </c>
      <c r="R299" s="1" t="s">
        <v>1086</v>
      </c>
      <c r="S299" s="1" t="s">
        <v>1087</v>
      </c>
      <c r="T299" s="1" t="s">
        <v>1088</v>
      </c>
      <c r="U299" s="1">
        <v>0</v>
      </c>
      <c r="V299" s="1" t="s">
        <v>36</v>
      </c>
      <c r="W299" s="1" t="s">
        <v>37</v>
      </c>
      <c r="X299" s="1">
        <v>2</v>
      </c>
      <c r="Y299" s="1">
        <v>0</v>
      </c>
    </row>
    <row r="300" spans="1:25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1">
        <v>1</v>
      </c>
      <c r="J300" s="3" t="s">
        <v>39</v>
      </c>
      <c r="K300" s="1">
        <v>28166</v>
      </c>
      <c r="L300" s="1" t="s">
        <v>30</v>
      </c>
      <c r="M300" s="1" t="s">
        <v>1017</v>
      </c>
      <c r="N300" s="1">
        <v>2021</v>
      </c>
      <c r="O300" s="1">
        <v>1</v>
      </c>
      <c r="P300" s="1" t="s">
        <v>32</v>
      </c>
      <c r="Q300" s="1">
        <v>2413150124</v>
      </c>
      <c r="R300" s="1" t="s">
        <v>1089</v>
      </c>
      <c r="S300" s="1" t="s">
        <v>1090</v>
      </c>
      <c r="T300" s="1" t="s">
        <v>1091</v>
      </c>
      <c r="U300" s="1">
        <v>0</v>
      </c>
      <c r="V300" s="1" t="s">
        <v>36</v>
      </c>
      <c r="W300" s="1" t="s">
        <v>37</v>
      </c>
      <c r="X300" s="1">
        <v>2</v>
      </c>
      <c r="Y300" s="1">
        <v>0</v>
      </c>
    </row>
    <row r="301" spans="1:25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1">
        <v>2</v>
      </c>
      <c r="J301" s="3" t="s">
        <v>29</v>
      </c>
      <c r="K301" s="1">
        <v>28168</v>
      </c>
      <c r="L301" s="1" t="s">
        <v>30</v>
      </c>
      <c r="M301" s="1" t="s">
        <v>683</v>
      </c>
      <c r="N301" s="1">
        <v>2024</v>
      </c>
      <c r="O301" s="1">
        <v>1</v>
      </c>
      <c r="P301" s="1" t="s">
        <v>32</v>
      </c>
      <c r="Q301" s="1">
        <v>2413150125</v>
      </c>
      <c r="R301" s="1" t="s">
        <v>1092</v>
      </c>
      <c r="S301" s="1" t="s">
        <v>1093</v>
      </c>
      <c r="T301" s="1" t="s">
        <v>1094</v>
      </c>
      <c r="U301" s="1">
        <v>0</v>
      </c>
      <c r="V301" s="1" t="s">
        <v>36</v>
      </c>
      <c r="W301" s="1" t="s">
        <v>37</v>
      </c>
      <c r="X301" s="1">
        <v>2</v>
      </c>
      <c r="Y301" s="1">
        <v>0</v>
      </c>
    </row>
    <row r="302" spans="1:25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1">
        <v>2</v>
      </c>
      <c r="J302" s="3" t="s">
        <v>29</v>
      </c>
      <c r="K302" s="1">
        <v>28157</v>
      </c>
      <c r="L302" s="1" t="s">
        <v>30</v>
      </c>
      <c r="M302" s="1" t="s">
        <v>548</v>
      </c>
      <c r="N302" s="1">
        <v>2024</v>
      </c>
      <c r="O302" s="1">
        <v>1</v>
      </c>
      <c r="P302" s="1" t="s">
        <v>32</v>
      </c>
      <c r="Q302" s="1">
        <v>2413150126</v>
      </c>
      <c r="R302" s="1" t="s">
        <v>1095</v>
      </c>
      <c r="S302" s="1" t="s">
        <v>1096</v>
      </c>
      <c r="T302" s="1" t="s">
        <v>1054</v>
      </c>
      <c r="U302" s="1">
        <v>0</v>
      </c>
      <c r="V302" s="1" t="s">
        <v>36</v>
      </c>
      <c r="W302" s="1" t="s">
        <v>37</v>
      </c>
      <c r="X302" s="1">
        <v>2</v>
      </c>
      <c r="Y302" s="1">
        <v>0</v>
      </c>
    </row>
    <row r="303" spans="1:25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1">
        <v>2</v>
      </c>
      <c r="J303" s="3" t="s">
        <v>29</v>
      </c>
      <c r="K303" s="1">
        <v>31006</v>
      </c>
      <c r="L303" s="1" t="s">
        <v>40</v>
      </c>
      <c r="M303" s="1" t="s">
        <v>115</v>
      </c>
      <c r="N303" s="1">
        <v>2024</v>
      </c>
      <c r="O303" s="1">
        <v>1</v>
      </c>
      <c r="P303" s="1" t="s">
        <v>32</v>
      </c>
      <c r="Q303" s="1">
        <v>2413150127</v>
      </c>
      <c r="R303" s="1" t="s">
        <v>1097</v>
      </c>
      <c r="S303" s="1" t="s">
        <v>1098</v>
      </c>
      <c r="T303" s="1" t="s">
        <v>1099</v>
      </c>
      <c r="U303" s="1">
        <v>0</v>
      </c>
      <c r="V303" s="1" t="s">
        <v>36</v>
      </c>
      <c r="W303" s="1" t="s">
        <v>45</v>
      </c>
      <c r="X303" s="1">
        <v>2</v>
      </c>
      <c r="Y303" s="1">
        <v>0</v>
      </c>
    </row>
    <row r="304" spans="1:25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1">
        <v>2</v>
      </c>
      <c r="J304" s="3" t="s">
        <v>29</v>
      </c>
      <c r="K304" s="1">
        <v>28173</v>
      </c>
      <c r="L304" s="1" t="s">
        <v>30</v>
      </c>
      <c r="M304" s="1" t="s">
        <v>645</v>
      </c>
      <c r="N304" s="1">
        <v>2024</v>
      </c>
      <c r="O304" s="1">
        <v>1</v>
      </c>
      <c r="P304" s="1" t="s">
        <v>32</v>
      </c>
      <c r="Q304" s="1">
        <v>2413150128</v>
      </c>
      <c r="R304" s="1" t="s">
        <v>1100</v>
      </c>
      <c r="S304" s="1" t="s">
        <v>1101</v>
      </c>
      <c r="T304" s="1" t="s">
        <v>862</v>
      </c>
      <c r="U304" s="1">
        <v>0</v>
      </c>
      <c r="V304" s="1" t="s">
        <v>36</v>
      </c>
      <c r="W304" s="1" t="s">
        <v>37</v>
      </c>
      <c r="X304" s="1">
        <v>1</v>
      </c>
      <c r="Y304" s="1">
        <v>0</v>
      </c>
    </row>
    <row r="305" spans="1:25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1">
        <v>1</v>
      </c>
      <c r="J305" s="3" t="s">
        <v>39</v>
      </c>
      <c r="K305" s="1">
        <v>28232</v>
      </c>
      <c r="L305" s="1" t="s">
        <v>30</v>
      </c>
      <c r="M305" s="1" t="s">
        <v>1102</v>
      </c>
      <c r="N305" s="1">
        <v>2024</v>
      </c>
      <c r="O305" s="1">
        <v>1</v>
      </c>
      <c r="P305" s="1" t="s">
        <v>32</v>
      </c>
      <c r="Q305" s="1">
        <v>2413150129</v>
      </c>
      <c r="R305" s="1" t="s">
        <v>1103</v>
      </c>
      <c r="S305" s="1" t="s">
        <v>1104</v>
      </c>
      <c r="T305" s="1" t="s">
        <v>1105</v>
      </c>
      <c r="U305" s="1">
        <v>0</v>
      </c>
      <c r="V305" s="1" t="s">
        <v>36</v>
      </c>
      <c r="W305" s="1" t="s">
        <v>37</v>
      </c>
      <c r="X305" s="1">
        <v>2</v>
      </c>
      <c r="Y305" s="1">
        <v>0</v>
      </c>
    </row>
    <row r="306" spans="1:25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1">
        <v>5</v>
      </c>
      <c r="J306" s="3" t="s">
        <v>137</v>
      </c>
      <c r="K306" s="1">
        <v>28187</v>
      </c>
      <c r="L306" s="1" t="s">
        <v>30</v>
      </c>
      <c r="M306" s="1" t="s">
        <v>822</v>
      </c>
      <c r="N306" s="1">
        <v>2024</v>
      </c>
      <c r="O306" s="1">
        <v>1</v>
      </c>
      <c r="P306" s="1" t="s">
        <v>32</v>
      </c>
      <c r="Q306" s="1">
        <v>2413150130</v>
      </c>
      <c r="R306" s="1" t="s">
        <v>1106</v>
      </c>
      <c r="S306" s="1" t="s">
        <v>1107</v>
      </c>
      <c r="T306" s="1" t="s">
        <v>1108</v>
      </c>
      <c r="U306" s="1">
        <v>0</v>
      </c>
      <c r="V306" s="1" t="s">
        <v>36</v>
      </c>
      <c r="W306" s="1" t="s">
        <v>37</v>
      </c>
      <c r="X306" s="1">
        <v>2</v>
      </c>
      <c r="Y306" s="1">
        <v>0</v>
      </c>
    </row>
    <row r="307" spans="1:25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1">
        <v>2</v>
      </c>
      <c r="J307" s="3" t="s">
        <v>29</v>
      </c>
      <c r="K307" s="1">
        <v>28100</v>
      </c>
      <c r="L307" s="1" t="s">
        <v>30</v>
      </c>
      <c r="M307" s="1" t="s">
        <v>487</v>
      </c>
      <c r="N307" s="1">
        <v>2024</v>
      </c>
      <c r="O307" s="1"/>
      <c r="P307" s="1"/>
      <c r="Q307" s="1">
        <v>2413150131</v>
      </c>
      <c r="R307" s="1" t="s">
        <v>1109</v>
      </c>
      <c r="S307" s="1" t="s">
        <v>1110</v>
      </c>
      <c r="T307" s="1" t="s">
        <v>1111</v>
      </c>
      <c r="U307" s="1">
        <v>0</v>
      </c>
      <c r="V307" s="1" t="s">
        <v>36</v>
      </c>
      <c r="W307" s="1" t="s">
        <v>37</v>
      </c>
      <c r="X307" s="1">
        <v>1</v>
      </c>
      <c r="Y307" s="1">
        <v>0</v>
      </c>
    </row>
    <row r="308" spans="1:25" hidden="1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1">
        <v>2</v>
      </c>
      <c r="J308" s="3" t="s">
        <v>29</v>
      </c>
      <c r="K308" s="1">
        <v>34037</v>
      </c>
      <c r="L308" s="1" t="s">
        <v>296</v>
      </c>
      <c r="M308" s="1" t="s">
        <v>1112</v>
      </c>
      <c r="N308" s="1">
        <v>2024</v>
      </c>
      <c r="O308" s="1">
        <v>1</v>
      </c>
      <c r="P308" s="1" t="s">
        <v>32</v>
      </c>
      <c r="Q308" s="1">
        <v>2405750115</v>
      </c>
      <c r="R308" s="1" t="s">
        <v>1113</v>
      </c>
      <c r="S308" s="1" t="s">
        <v>1114</v>
      </c>
      <c r="T308" s="1" t="s">
        <v>1115</v>
      </c>
      <c r="U308" s="1">
        <v>0</v>
      </c>
      <c r="V308" s="1" t="s">
        <v>36</v>
      </c>
      <c r="W308" s="1" t="s">
        <v>37</v>
      </c>
      <c r="X308" s="1">
        <v>2</v>
      </c>
      <c r="Y308" s="1">
        <v>0</v>
      </c>
    </row>
    <row r="309" spans="1:25" hidden="1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1">
        <v>2</v>
      </c>
      <c r="J309" s="3" t="s">
        <v>29</v>
      </c>
      <c r="K309" s="1">
        <v>28116</v>
      </c>
      <c r="L309" s="1" t="s">
        <v>30</v>
      </c>
      <c r="M309" s="1" t="s">
        <v>1116</v>
      </c>
      <c r="N309" s="1">
        <v>2024</v>
      </c>
      <c r="O309" s="1">
        <v>1</v>
      </c>
      <c r="P309" s="1" t="s">
        <v>32</v>
      </c>
      <c r="Q309" s="1">
        <v>2405750116</v>
      </c>
      <c r="R309" s="1" t="s">
        <v>1117</v>
      </c>
      <c r="S309" s="1" t="s">
        <v>1118</v>
      </c>
      <c r="T309" s="1" t="s">
        <v>1119</v>
      </c>
      <c r="U309" s="1">
        <v>0</v>
      </c>
      <c r="V309" s="1" t="s">
        <v>36</v>
      </c>
      <c r="W309" s="1" t="s">
        <v>37</v>
      </c>
      <c r="X309" s="1">
        <v>2</v>
      </c>
      <c r="Y309" s="1">
        <v>0</v>
      </c>
    </row>
    <row r="310" spans="1:25" hidden="1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1">
        <v>2</v>
      </c>
      <c r="J310" s="3" t="s">
        <v>29</v>
      </c>
      <c r="K310" s="1">
        <v>28217</v>
      </c>
      <c r="L310" s="1" t="s">
        <v>30</v>
      </c>
      <c r="M310" s="1" t="s">
        <v>1120</v>
      </c>
      <c r="N310" s="1">
        <v>2024</v>
      </c>
      <c r="O310" s="1">
        <v>1</v>
      </c>
      <c r="P310" s="1" t="s">
        <v>32</v>
      </c>
      <c r="Q310" s="1">
        <v>2405750117</v>
      </c>
      <c r="R310" s="1" t="s">
        <v>1121</v>
      </c>
      <c r="S310" s="1" t="s">
        <v>1122</v>
      </c>
      <c r="T310" s="1" t="s">
        <v>1123</v>
      </c>
      <c r="U310" s="1">
        <v>0</v>
      </c>
      <c r="V310" s="1" t="s">
        <v>36</v>
      </c>
      <c r="W310" s="1" t="s">
        <v>37</v>
      </c>
      <c r="X310" s="1">
        <v>1</v>
      </c>
      <c r="Y310" s="1">
        <v>0</v>
      </c>
    </row>
    <row r="311" spans="1:25" hidden="1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1">
        <v>2</v>
      </c>
      <c r="J311" s="3" t="s">
        <v>29</v>
      </c>
      <c r="K311" s="1">
        <v>28233</v>
      </c>
      <c r="L311" s="1" t="s">
        <v>30</v>
      </c>
      <c r="M311" s="1" t="s">
        <v>426</v>
      </c>
      <c r="N311" s="1">
        <v>2024</v>
      </c>
      <c r="O311" s="1">
        <v>1</v>
      </c>
      <c r="P311" s="1" t="s">
        <v>32</v>
      </c>
      <c r="Q311" s="1">
        <v>2405750118</v>
      </c>
      <c r="R311" s="1" t="s">
        <v>1124</v>
      </c>
      <c r="S311" s="1" t="s">
        <v>1125</v>
      </c>
      <c r="T311" s="1" t="s">
        <v>311</v>
      </c>
      <c r="U311" s="1">
        <v>0</v>
      </c>
      <c r="V311" s="1" t="s">
        <v>36</v>
      </c>
      <c r="W311" s="1" t="s">
        <v>37</v>
      </c>
      <c r="X311" s="1">
        <v>1</v>
      </c>
      <c r="Y311" s="1">
        <v>0</v>
      </c>
    </row>
    <row r="312" spans="1:25" hidden="1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1">
        <v>5</v>
      </c>
      <c r="J312" s="3" t="s">
        <v>137</v>
      </c>
      <c r="K312" s="1">
        <v>28015</v>
      </c>
      <c r="L312" s="1" t="s">
        <v>30</v>
      </c>
      <c r="M312" s="1" t="s">
        <v>625</v>
      </c>
      <c r="N312" s="1">
        <v>2024</v>
      </c>
      <c r="O312" s="1">
        <v>1</v>
      </c>
      <c r="P312" s="1"/>
      <c r="Q312" s="1">
        <v>2405750119</v>
      </c>
      <c r="R312" s="1" t="s">
        <v>1126</v>
      </c>
      <c r="S312" s="1" t="s">
        <v>1127</v>
      </c>
      <c r="T312" s="1" t="s">
        <v>634</v>
      </c>
      <c r="U312" s="1">
        <v>0</v>
      </c>
      <c r="V312" s="1" t="s">
        <v>36</v>
      </c>
      <c r="W312" s="1" t="s">
        <v>37</v>
      </c>
      <c r="X312" s="1">
        <v>2</v>
      </c>
      <c r="Y312" s="1">
        <v>0</v>
      </c>
    </row>
    <row r="313" spans="1:25" hidden="1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1">
        <v>2</v>
      </c>
      <c r="J313" s="3" t="s">
        <v>29</v>
      </c>
      <c r="K313" s="1">
        <v>28038</v>
      </c>
      <c r="L313" s="1" t="s">
        <v>30</v>
      </c>
      <c r="M313" s="1" t="s">
        <v>1128</v>
      </c>
      <c r="N313" s="1">
        <v>2024</v>
      </c>
      <c r="O313" s="1"/>
      <c r="P313" s="1"/>
      <c r="Q313" s="1">
        <v>2405750120</v>
      </c>
      <c r="R313" s="1" t="s">
        <v>1129</v>
      </c>
      <c r="S313" s="1" t="s">
        <v>1130</v>
      </c>
      <c r="T313" s="1" t="s">
        <v>1131</v>
      </c>
      <c r="U313" s="1">
        <v>0</v>
      </c>
      <c r="V313" s="1" t="s">
        <v>36</v>
      </c>
      <c r="W313" s="1" t="s">
        <v>37</v>
      </c>
      <c r="X313" s="1">
        <v>1</v>
      </c>
      <c r="Y313" s="1">
        <v>0</v>
      </c>
    </row>
    <row r="314" spans="1:25" hidden="1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1">
        <v>2</v>
      </c>
      <c r="J314" s="3" t="s">
        <v>29</v>
      </c>
      <c r="K314" s="1">
        <v>28009</v>
      </c>
      <c r="L314" s="1" t="s">
        <v>30</v>
      </c>
      <c r="M314" s="1" t="s">
        <v>164</v>
      </c>
      <c r="N314" s="1">
        <v>2024</v>
      </c>
      <c r="O314" s="1">
        <v>1</v>
      </c>
      <c r="P314" s="1" t="s">
        <v>32</v>
      </c>
      <c r="Q314" s="1">
        <v>2405750121</v>
      </c>
      <c r="R314" s="1" t="s">
        <v>1132</v>
      </c>
      <c r="S314" s="1" t="s">
        <v>1133</v>
      </c>
      <c r="T314" s="1" t="s">
        <v>1134</v>
      </c>
      <c r="U314" s="1">
        <v>0</v>
      </c>
      <c r="V314" s="1" t="s">
        <v>36</v>
      </c>
      <c r="W314" s="1" t="s">
        <v>37</v>
      </c>
      <c r="X314" s="1">
        <v>1</v>
      </c>
      <c r="Y314" s="1">
        <v>0</v>
      </c>
    </row>
    <row r="315" spans="1:25" hidden="1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1">
        <v>2</v>
      </c>
      <c r="J315" s="3" t="s">
        <v>29</v>
      </c>
      <c r="K315" s="1">
        <v>28224</v>
      </c>
      <c r="L315" s="1" t="s">
        <v>30</v>
      </c>
      <c r="M315" s="1" t="s">
        <v>433</v>
      </c>
      <c r="N315" s="1">
        <v>2024</v>
      </c>
      <c r="O315" s="1">
        <v>1</v>
      </c>
      <c r="P315" s="1" t="s">
        <v>32</v>
      </c>
      <c r="Q315" s="1">
        <v>2405750122</v>
      </c>
      <c r="R315" s="1" t="s">
        <v>1135</v>
      </c>
      <c r="S315" s="1" t="s">
        <v>1136</v>
      </c>
      <c r="T315" s="1" t="s">
        <v>1137</v>
      </c>
      <c r="U315" s="1">
        <v>0</v>
      </c>
      <c r="V315" s="1" t="s">
        <v>36</v>
      </c>
      <c r="W315" s="1" t="s">
        <v>37</v>
      </c>
      <c r="X315" s="1">
        <v>1</v>
      </c>
      <c r="Y315" s="1">
        <v>0</v>
      </c>
    </row>
    <row r="316" spans="1:25" hidden="1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1">
        <v>2</v>
      </c>
      <c r="J316" s="3" t="s">
        <v>29</v>
      </c>
      <c r="K316" s="1">
        <v>28145</v>
      </c>
      <c r="L316" s="1" t="s">
        <v>30</v>
      </c>
      <c r="M316" s="1" t="s">
        <v>1138</v>
      </c>
      <c r="N316" s="1">
        <v>2024</v>
      </c>
      <c r="O316" s="1">
        <v>1</v>
      </c>
      <c r="P316" s="1" t="s">
        <v>32</v>
      </c>
      <c r="Q316" s="1">
        <v>2405750123</v>
      </c>
      <c r="R316" s="1" t="s">
        <v>1139</v>
      </c>
      <c r="S316" s="1" t="s">
        <v>1140</v>
      </c>
      <c r="T316" s="1" t="s">
        <v>1141</v>
      </c>
      <c r="U316" s="1">
        <v>0</v>
      </c>
      <c r="V316" s="1" t="s">
        <v>36</v>
      </c>
      <c r="W316" s="1" t="s">
        <v>37</v>
      </c>
      <c r="X316" s="1">
        <v>1</v>
      </c>
      <c r="Y316" s="1">
        <v>0</v>
      </c>
    </row>
    <row r="317" spans="1:25" hidden="1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1">
        <v>2</v>
      </c>
      <c r="J317" s="3" t="s">
        <v>29</v>
      </c>
      <c r="K317" s="1">
        <v>28145</v>
      </c>
      <c r="L317" s="1" t="s">
        <v>30</v>
      </c>
      <c r="M317" s="1" t="s">
        <v>1138</v>
      </c>
      <c r="N317" s="1">
        <v>2024</v>
      </c>
      <c r="O317" s="1"/>
      <c r="P317" s="1"/>
      <c r="Q317" s="1">
        <v>2405750124</v>
      </c>
      <c r="R317" s="1" t="s">
        <v>1142</v>
      </c>
      <c r="S317" s="1" t="s">
        <v>1143</v>
      </c>
      <c r="T317" s="1" t="s">
        <v>1144</v>
      </c>
      <c r="U317" s="1">
        <v>0</v>
      </c>
      <c r="V317" s="1" t="s">
        <v>36</v>
      </c>
      <c r="W317" s="1" t="s">
        <v>37</v>
      </c>
      <c r="X317" s="1">
        <v>1</v>
      </c>
      <c r="Y317" s="1">
        <v>0</v>
      </c>
    </row>
    <row r="318" spans="1:25" hidden="1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1">
        <v>2</v>
      </c>
      <c r="J318" s="3" t="s">
        <v>29</v>
      </c>
      <c r="K318" s="1">
        <v>28203</v>
      </c>
      <c r="L318" s="1" t="s">
        <v>30</v>
      </c>
      <c r="M318" s="1" t="s">
        <v>418</v>
      </c>
      <c r="N318" s="1">
        <v>2024</v>
      </c>
      <c r="O318" s="1">
        <v>1</v>
      </c>
      <c r="P318" s="1" t="s">
        <v>32</v>
      </c>
      <c r="Q318" s="1">
        <v>2405750125</v>
      </c>
      <c r="R318" s="1" t="s">
        <v>1145</v>
      </c>
      <c r="S318" s="1" t="s">
        <v>1146</v>
      </c>
      <c r="T318" s="1" t="s">
        <v>1147</v>
      </c>
      <c r="U318" s="1">
        <v>0</v>
      </c>
      <c r="V318" s="1" t="s">
        <v>36</v>
      </c>
      <c r="W318" s="1" t="s">
        <v>37</v>
      </c>
      <c r="X318" s="1">
        <v>2</v>
      </c>
      <c r="Y318" s="1">
        <v>0</v>
      </c>
    </row>
    <row r="319" spans="1:25" hidden="1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1">
        <v>2</v>
      </c>
      <c r="J319" s="3" t="s">
        <v>29</v>
      </c>
      <c r="K319" s="1">
        <v>28117</v>
      </c>
      <c r="L319" s="1" t="s">
        <v>30</v>
      </c>
      <c r="M319" s="1" t="s">
        <v>122</v>
      </c>
      <c r="N319" s="1">
        <v>2024</v>
      </c>
      <c r="O319" s="1"/>
      <c r="P319" s="1"/>
      <c r="Q319" s="1">
        <v>2405750126</v>
      </c>
      <c r="R319" s="1" t="s">
        <v>1148</v>
      </c>
      <c r="S319" s="1" t="s">
        <v>1149</v>
      </c>
      <c r="T319" s="1" t="s">
        <v>281</v>
      </c>
      <c r="U319" s="1">
        <v>0</v>
      </c>
      <c r="V319" s="1" t="s">
        <v>36</v>
      </c>
      <c r="W319" s="1" t="s">
        <v>37</v>
      </c>
      <c r="X319" s="1">
        <v>2</v>
      </c>
      <c r="Y319" s="1">
        <v>0</v>
      </c>
    </row>
    <row r="320" spans="1:25" hidden="1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1">
        <v>2</v>
      </c>
      <c r="J320" s="3" t="s">
        <v>29</v>
      </c>
      <c r="K320" s="1">
        <v>28007</v>
      </c>
      <c r="L320" s="1" t="s">
        <v>30</v>
      </c>
      <c r="M320" s="1" t="s">
        <v>853</v>
      </c>
      <c r="N320" s="1">
        <v>2024</v>
      </c>
      <c r="O320" s="1"/>
      <c r="P320" s="1"/>
      <c r="Q320" s="1">
        <v>2405750127</v>
      </c>
      <c r="R320" s="1" t="s">
        <v>1150</v>
      </c>
      <c r="S320" s="1" t="s">
        <v>1151</v>
      </c>
      <c r="T320" s="1" t="s">
        <v>1152</v>
      </c>
      <c r="U320" s="1">
        <v>0</v>
      </c>
      <c r="V320" s="1" t="s">
        <v>36</v>
      </c>
      <c r="W320" s="1" t="s">
        <v>37</v>
      </c>
      <c r="X320" s="1">
        <v>2</v>
      </c>
      <c r="Y320" s="1">
        <v>0</v>
      </c>
    </row>
    <row r="321" spans="1:25" hidden="1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1">
        <v>3</v>
      </c>
      <c r="J321" s="3" t="s">
        <v>68</v>
      </c>
      <c r="K321" s="1">
        <v>32003</v>
      </c>
      <c r="L321" s="1" t="s">
        <v>1154</v>
      </c>
      <c r="M321" s="1" t="s">
        <v>1155</v>
      </c>
      <c r="N321" s="1">
        <v>2024</v>
      </c>
      <c r="O321" s="1"/>
      <c r="P321" s="1"/>
      <c r="Q321" s="1">
        <v>2405750128</v>
      </c>
      <c r="R321" s="1" t="s">
        <v>1156</v>
      </c>
      <c r="S321" s="1" t="s">
        <v>1157</v>
      </c>
      <c r="T321" s="1" t="s">
        <v>1158</v>
      </c>
      <c r="U321" s="1">
        <v>0</v>
      </c>
      <c r="V321" s="1" t="s">
        <v>36</v>
      </c>
      <c r="W321" s="1" t="s">
        <v>1159</v>
      </c>
      <c r="X321" s="1">
        <v>2</v>
      </c>
      <c r="Y321" s="1">
        <v>0</v>
      </c>
    </row>
    <row r="322" spans="1:25" hidden="1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1">
        <v>2</v>
      </c>
      <c r="J322" s="3" t="s">
        <v>29</v>
      </c>
      <c r="K322" s="1">
        <v>28233</v>
      </c>
      <c r="L322" s="1" t="s">
        <v>30</v>
      </c>
      <c r="M322" s="1" t="s">
        <v>426</v>
      </c>
      <c r="N322" s="1">
        <v>2024</v>
      </c>
      <c r="O322" s="1">
        <v>1</v>
      </c>
      <c r="P322" s="1" t="s">
        <v>32</v>
      </c>
      <c r="Q322" s="1">
        <v>2405750129</v>
      </c>
      <c r="R322" s="1" t="s">
        <v>1160</v>
      </c>
      <c r="S322" s="1" t="s">
        <v>1161</v>
      </c>
      <c r="T322" s="1" t="s">
        <v>1162</v>
      </c>
      <c r="U322" s="1">
        <v>0</v>
      </c>
      <c r="V322" s="1" t="s">
        <v>36</v>
      </c>
      <c r="W322" s="1" t="s">
        <v>37</v>
      </c>
      <c r="X322" s="1">
        <v>2</v>
      </c>
      <c r="Y322" s="1">
        <v>0</v>
      </c>
    </row>
    <row r="323" spans="1:25" hidden="1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1">
        <v>2</v>
      </c>
      <c r="J323" s="3" t="s">
        <v>29</v>
      </c>
      <c r="K323" s="1">
        <v>28282</v>
      </c>
      <c r="L323" s="1" t="s">
        <v>30</v>
      </c>
      <c r="M323" s="1" t="s">
        <v>58</v>
      </c>
      <c r="N323" s="1">
        <v>2024</v>
      </c>
      <c r="O323" s="1"/>
      <c r="P323" s="1"/>
      <c r="Q323" s="1">
        <v>2405750130</v>
      </c>
      <c r="R323" s="1" t="s">
        <v>1163</v>
      </c>
      <c r="S323" s="1" t="s">
        <v>1164</v>
      </c>
      <c r="T323" s="1" t="s">
        <v>1165</v>
      </c>
      <c r="U323" s="1">
        <v>0</v>
      </c>
      <c r="V323" s="1" t="s">
        <v>36</v>
      </c>
      <c r="W323" s="1" t="s">
        <v>37</v>
      </c>
      <c r="X323" s="1">
        <v>2</v>
      </c>
      <c r="Y323" s="1">
        <v>0</v>
      </c>
    </row>
    <row r="324" spans="1:25" hidden="1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1">
        <v>2</v>
      </c>
      <c r="J324" s="3" t="s">
        <v>29</v>
      </c>
      <c r="K324" s="1">
        <v>28282</v>
      </c>
      <c r="L324" s="1" t="s">
        <v>30</v>
      </c>
      <c r="M324" s="1" t="s">
        <v>58</v>
      </c>
      <c r="N324" s="1">
        <v>2024</v>
      </c>
      <c r="O324" s="1"/>
      <c r="P324" s="1"/>
      <c r="Q324" s="1">
        <v>2405750131</v>
      </c>
      <c r="R324" s="1" t="s">
        <v>1166</v>
      </c>
      <c r="S324" s="1" t="s">
        <v>1167</v>
      </c>
      <c r="T324" s="1" t="s">
        <v>201</v>
      </c>
      <c r="U324" s="1">
        <v>0</v>
      </c>
      <c r="V324" s="1" t="s">
        <v>36</v>
      </c>
      <c r="W324" s="1" t="s">
        <v>37</v>
      </c>
      <c r="X324" s="1">
        <v>1</v>
      </c>
      <c r="Y324" s="1">
        <v>0</v>
      </c>
    </row>
    <row r="325" spans="1:25" hidden="1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1">
        <v>2</v>
      </c>
      <c r="J325" s="3" t="s">
        <v>29</v>
      </c>
      <c r="K325" s="1">
        <v>28038</v>
      </c>
      <c r="L325" s="1" t="s">
        <v>30</v>
      </c>
      <c r="M325" s="1" t="s">
        <v>1128</v>
      </c>
      <c r="N325" s="1">
        <v>2024</v>
      </c>
      <c r="O325" s="1"/>
      <c r="P325" s="1"/>
      <c r="Q325" s="1">
        <v>2405750132</v>
      </c>
      <c r="R325" s="1" t="s">
        <v>1168</v>
      </c>
      <c r="S325" s="1" t="s">
        <v>1169</v>
      </c>
      <c r="T325" s="1" t="s">
        <v>1170</v>
      </c>
      <c r="U325" s="1">
        <v>0</v>
      </c>
      <c r="V325" s="1" t="s">
        <v>36</v>
      </c>
      <c r="W325" s="1" t="s">
        <v>37</v>
      </c>
      <c r="X325" s="1">
        <v>1</v>
      </c>
      <c r="Y325" s="1">
        <v>0</v>
      </c>
    </row>
    <row r="326" spans="1:25" hidden="1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1">
        <v>2</v>
      </c>
      <c r="J326" s="3" t="s">
        <v>29</v>
      </c>
      <c r="K326" s="1">
        <v>28009</v>
      </c>
      <c r="L326" s="1" t="s">
        <v>30</v>
      </c>
      <c r="M326" s="1" t="s">
        <v>164</v>
      </c>
      <c r="N326" s="1">
        <v>2024</v>
      </c>
      <c r="O326" s="1"/>
      <c r="P326" s="1"/>
      <c r="Q326" s="1">
        <v>2405750133</v>
      </c>
      <c r="R326" s="1" t="s">
        <v>1171</v>
      </c>
      <c r="S326" s="1" t="s">
        <v>1172</v>
      </c>
      <c r="T326" s="1" t="s">
        <v>1173</v>
      </c>
      <c r="U326" s="1">
        <v>0</v>
      </c>
      <c r="V326" s="1" t="s">
        <v>36</v>
      </c>
      <c r="W326" s="1" t="s">
        <v>37</v>
      </c>
      <c r="X326" s="1">
        <v>1</v>
      </c>
      <c r="Y326" s="1">
        <v>0</v>
      </c>
    </row>
    <row r="327" spans="1:25" hidden="1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1">
        <v>2</v>
      </c>
      <c r="J327" s="3" t="s">
        <v>29</v>
      </c>
      <c r="K327" s="1">
        <v>28095</v>
      </c>
      <c r="L327" s="1" t="s">
        <v>30</v>
      </c>
      <c r="M327" s="1" t="s">
        <v>491</v>
      </c>
      <c r="N327" s="1">
        <v>2024</v>
      </c>
      <c r="O327" s="1">
        <v>1</v>
      </c>
      <c r="P327" s="1" t="s">
        <v>32</v>
      </c>
      <c r="Q327" s="1">
        <v>2405750134</v>
      </c>
      <c r="R327" s="1" t="s">
        <v>1174</v>
      </c>
      <c r="S327" s="1" t="s">
        <v>1175</v>
      </c>
      <c r="T327" s="1" t="s">
        <v>1176</v>
      </c>
      <c r="U327" s="1">
        <v>0</v>
      </c>
      <c r="V327" s="1" t="s">
        <v>36</v>
      </c>
      <c r="W327" s="1" t="s">
        <v>37</v>
      </c>
      <c r="X327" s="1">
        <v>2</v>
      </c>
      <c r="Y327" s="1">
        <v>0</v>
      </c>
    </row>
    <row r="328" spans="1:25" hidden="1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1">
        <v>5</v>
      </c>
      <c r="J328" s="3" t="s">
        <v>137</v>
      </c>
      <c r="K328" s="1">
        <v>28015</v>
      </c>
      <c r="L328" s="1" t="s">
        <v>30</v>
      </c>
      <c r="M328" s="1" t="s">
        <v>625</v>
      </c>
      <c r="N328" s="1">
        <v>2024</v>
      </c>
      <c r="O328" s="1"/>
      <c r="P328" s="1"/>
      <c r="Q328" s="1">
        <v>2405750135</v>
      </c>
      <c r="R328" s="1" t="s">
        <v>1177</v>
      </c>
      <c r="S328" s="1" t="s">
        <v>1178</v>
      </c>
      <c r="T328" s="1" t="s">
        <v>1179</v>
      </c>
      <c r="U328" s="1">
        <v>0</v>
      </c>
      <c r="V328" s="1" t="s">
        <v>36</v>
      </c>
      <c r="W328" s="1" t="s">
        <v>37</v>
      </c>
      <c r="X328" s="1">
        <v>2</v>
      </c>
      <c r="Y328" s="1">
        <v>0</v>
      </c>
    </row>
    <row r="329" spans="1:25" hidden="1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1">
        <v>2</v>
      </c>
      <c r="J329" s="3" t="s">
        <v>29</v>
      </c>
      <c r="K329" s="1">
        <v>28185</v>
      </c>
      <c r="L329" s="1" t="s">
        <v>30</v>
      </c>
      <c r="M329" s="1" t="s">
        <v>176</v>
      </c>
      <c r="N329" s="1">
        <v>2024</v>
      </c>
      <c r="O329" s="1">
        <v>1</v>
      </c>
      <c r="P329" s="1" t="s">
        <v>32</v>
      </c>
      <c r="Q329" s="1">
        <v>2405750136</v>
      </c>
      <c r="R329" s="1" t="s">
        <v>1180</v>
      </c>
      <c r="S329" s="1" t="s">
        <v>1181</v>
      </c>
      <c r="T329" s="1" t="s">
        <v>322</v>
      </c>
      <c r="U329" s="1">
        <v>0</v>
      </c>
      <c r="V329" s="1" t="s">
        <v>36</v>
      </c>
      <c r="W329" s="1" t="s">
        <v>37</v>
      </c>
      <c r="X329" s="1">
        <v>2</v>
      </c>
      <c r="Y329" s="1">
        <v>0</v>
      </c>
    </row>
    <row r="330" spans="1:25" hidden="1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1">
        <v>2</v>
      </c>
      <c r="J330" s="3" t="s">
        <v>29</v>
      </c>
      <c r="K330" s="1">
        <v>28233</v>
      </c>
      <c r="L330" s="1" t="s">
        <v>30</v>
      </c>
      <c r="M330" s="1" t="s">
        <v>426</v>
      </c>
      <c r="N330" s="1">
        <v>2024</v>
      </c>
      <c r="O330" s="1">
        <v>1</v>
      </c>
      <c r="P330" s="1" t="s">
        <v>32</v>
      </c>
      <c r="Q330" s="1">
        <v>2405750137</v>
      </c>
      <c r="R330" s="1" t="s">
        <v>1182</v>
      </c>
      <c r="S330" s="1" t="s">
        <v>1183</v>
      </c>
      <c r="T330" s="1" t="s">
        <v>1184</v>
      </c>
      <c r="U330" s="1">
        <v>0</v>
      </c>
      <c r="V330" s="1" t="s">
        <v>36</v>
      </c>
      <c r="W330" s="1" t="s">
        <v>37</v>
      </c>
      <c r="X330" s="1">
        <v>1</v>
      </c>
      <c r="Y330" s="1">
        <v>0</v>
      </c>
    </row>
    <row r="331" spans="1:25" hidden="1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1">
        <v>2</v>
      </c>
      <c r="J331" s="3" t="s">
        <v>29</v>
      </c>
      <c r="K331" s="1">
        <v>28246</v>
      </c>
      <c r="L331" s="1" t="s">
        <v>30</v>
      </c>
      <c r="M331" s="1" t="s">
        <v>316</v>
      </c>
      <c r="N331" s="1">
        <v>2024</v>
      </c>
      <c r="O331" s="1">
        <v>1</v>
      </c>
      <c r="P331" s="1" t="s">
        <v>32</v>
      </c>
      <c r="Q331" s="1">
        <v>2405750138</v>
      </c>
      <c r="R331" s="1" t="s">
        <v>1185</v>
      </c>
      <c r="S331" s="1" t="s">
        <v>1186</v>
      </c>
      <c r="T331" s="1" t="s">
        <v>1187</v>
      </c>
      <c r="U331" s="1">
        <v>0</v>
      </c>
      <c r="V331" s="1" t="s">
        <v>36</v>
      </c>
      <c r="W331" s="1" t="s">
        <v>37</v>
      </c>
      <c r="X331" s="1">
        <v>1</v>
      </c>
      <c r="Y331" s="1">
        <v>0</v>
      </c>
    </row>
    <row r="332" spans="1:25" hidden="1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1">
        <v>3</v>
      </c>
      <c r="J332" s="3" t="s">
        <v>68</v>
      </c>
      <c r="K332" s="1">
        <v>28262</v>
      </c>
      <c r="L332" s="1" t="s">
        <v>30</v>
      </c>
      <c r="M332" s="1" t="s">
        <v>1188</v>
      </c>
      <c r="N332" s="1">
        <v>2024</v>
      </c>
      <c r="O332" s="1"/>
      <c r="P332" s="1"/>
      <c r="Q332" s="1">
        <v>2405750139</v>
      </c>
      <c r="R332" s="1" t="s">
        <v>1189</v>
      </c>
      <c r="S332" s="1" t="s">
        <v>1190</v>
      </c>
      <c r="T332" s="1" t="s">
        <v>1191</v>
      </c>
      <c r="U332" s="1">
        <v>0</v>
      </c>
      <c r="V332" s="1" t="s">
        <v>36</v>
      </c>
      <c r="W332" s="1" t="s">
        <v>37</v>
      </c>
      <c r="X332" s="1">
        <v>2</v>
      </c>
      <c r="Y332" s="1">
        <v>0</v>
      </c>
    </row>
    <row r="333" spans="1:25" hidden="1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1">
        <v>2</v>
      </c>
      <c r="J333" s="3" t="s">
        <v>29</v>
      </c>
      <c r="K333" s="1">
        <v>28202</v>
      </c>
      <c r="L333" s="1" t="s">
        <v>30</v>
      </c>
      <c r="M333" s="1" t="s">
        <v>396</v>
      </c>
      <c r="N333" s="1">
        <v>2024</v>
      </c>
      <c r="O333" s="1">
        <v>1</v>
      </c>
      <c r="P333" s="1" t="s">
        <v>32</v>
      </c>
      <c r="Q333" s="1">
        <v>2405750140</v>
      </c>
      <c r="R333" s="1" t="s">
        <v>1192</v>
      </c>
      <c r="S333" s="1" t="s">
        <v>1193</v>
      </c>
      <c r="T333" s="1" t="s">
        <v>1194</v>
      </c>
      <c r="U333" s="1">
        <v>0</v>
      </c>
      <c r="V333" s="1" t="s">
        <v>36</v>
      </c>
      <c r="W333" s="1" t="s">
        <v>37</v>
      </c>
      <c r="X333" s="1">
        <v>1</v>
      </c>
      <c r="Y333" s="1">
        <v>0</v>
      </c>
    </row>
    <row r="334" spans="1:25" hidden="1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1">
        <v>2</v>
      </c>
      <c r="J334" s="3" t="s">
        <v>29</v>
      </c>
      <c r="K334" s="1">
        <v>28206</v>
      </c>
      <c r="L334" s="1" t="s">
        <v>30</v>
      </c>
      <c r="M334" s="1" t="s">
        <v>1195</v>
      </c>
      <c r="N334" s="1">
        <v>2024</v>
      </c>
      <c r="O334" s="1">
        <v>1</v>
      </c>
      <c r="P334" s="1" t="s">
        <v>32</v>
      </c>
      <c r="Q334" s="1">
        <v>2405750141</v>
      </c>
      <c r="R334" s="1" t="s">
        <v>1196</v>
      </c>
      <c r="S334" s="1" t="s">
        <v>1197</v>
      </c>
      <c r="T334" s="1" t="s">
        <v>1198</v>
      </c>
      <c r="U334" s="1">
        <v>0</v>
      </c>
      <c r="V334" s="1" t="s">
        <v>36</v>
      </c>
      <c r="W334" s="1" t="s">
        <v>37</v>
      </c>
      <c r="X334" s="1">
        <v>2</v>
      </c>
      <c r="Y334" s="1">
        <v>0</v>
      </c>
    </row>
    <row r="335" spans="1:25" hidden="1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1">
        <v>1</v>
      </c>
      <c r="J335" s="3" t="s">
        <v>39</v>
      </c>
      <c r="K335" s="1">
        <v>28224</v>
      </c>
      <c r="L335" s="1" t="s">
        <v>30</v>
      </c>
      <c r="M335" s="1" t="s">
        <v>433</v>
      </c>
      <c r="N335" s="1">
        <v>2020</v>
      </c>
      <c r="O335" s="1">
        <v>1</v>
      </c>
      <c r="P335" s="1" t="s">
        <v>32</v>
      </c>
      <c r="Q335" s="1">
        <v>2405750142</v>
      </c>
      <c r="R335" s="1" t="s">
        <v>1199</v>
      </c>
      <c r="S335" s="1" t="s">
        <v>1200</v>
      </c>
      <c r="T335" s="1" t="s">
        <v>1201</v>
      </c>
      <c r="U335" s="1">
        <v>0</v>
      </c>
      <c r="V335" s="1" t="s">
        <v>36</v>
      </c>
      <c r="W335" s="1" t="s">
        <v>37</v>
      </c>
      <c r="X335" s="1">
        <v>2</v>
      </c>
      <c r="Y335" s="1">
        <v>0</v>
      </c>
    </row>
    <row r="336" spans="1:25" hidden="1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1">
        <v>2</v>
      </c>
      <c r="J336" s="3" t="s">
        <v>29</v>
      </c>
      <c r="K336" s="1">
        <v>28124</v>
      </c>
      <c r="L336" s="1" t="s">
        <v>30</v>
      </c>
      <c r="M336" s="1" t="s">
        <v>221</v>
      </c>
      <c r="N336" s="1">
        <v>2024</v>
      </c>
      <c r="O336" s="1">
        <v>1</v>
      </c>
      <c r="P336" s="1" t="s">
        <v>32</v>
      </c>
      <c r="Q336" s="1">
        <v>2405750143</v>
      </c>
      <c r="R336" s="1" t="s">
        <v>1202</v>
      </c>
      <c r="S336" s="1" t="s">
        <v>1203</v>
      </c>
      <c r="T336" s="1" t="s">
        <v>1204</v>
      </c>
      <c r="U336" s="1">
        <v>0</v>
      </c>
      <c r="V336" s="1" t="s">
        <v>36</v>
      </c>
      <c r="W336" s="1" t="s">
        <v>37</v>
      </c>
      <c r="X336" s="1">
        <v>1</v>
      </c>
      <c r="Y336" s="1">
        <v>0</v>
      </c>
    </row>
    <row r="337" spans="1:25" hidden="1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1">
        <v>2</v>
      </c>
      <c r="J337" s="3" t="s">
        <v>29</v>
      </c>
      <c r="K337" s="1">
        <v>28002</v>
      </c>
      <c r="L337" s="1" t="s">
        <v>30</v>
      </c>
      <c r="M337" s="1" t="s">
        <v>1205</v>
      </c>
      <c r="N337" s="1">
        <v>2024</v>
      </c>
      <c r="O337" s="1">
        <v>1</v>
      </c>
      <c r="P337" s="1" t="s">
        <v>32</v>
      </c>
      <c r="Q337" s="1">
        <v>2405750144</v>
      </c>
      <c r="R337" s="1" t="s">
        <v>1206</v>
      </c>
      <c r="S337" s="1" t="s">
        <v>1207</v>
      </c>
      <c r="T337" s="1" t="s">
        <v>1208</v>
      </c>
      <c r="U337" s="1">
        <v>0</v>
      </c>
      <c r="V337" s="1" t="s">
        <v>36</v>
      </c>
      <c r="W337" s="1" t="s">
        <v>37</v>
      </c>
      <c r="X337" s="1">
        <v>1</v>
      </c>
      <c r="Y337" s="1">
        <v>0</v>
      </c>
    </row>
    <row r="338" spans="1:25" hidden="1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1">
        <v>2</v>
      </c>
      <c r="J338" s="3" t="s">
        <v>29</v>
      </c>
      <c r="K338" s="1">
        <v>28197</v>
      </c>
      <c r="L338" s="1" t="s">
        <v>30</v>
      </c>
      <c r="M338" s="1" t="s">
        <v>383</v>
      </c>
      <c r="N338" s="1">
        <v>2024</v>
      </c>
      <c r="O338" s="1">
        <v>1</v>
      </c>
      <c r="P338" s="1" t="s">
        <v>32</v>
      </c>
      <c r="Q338" s="1">
        <v>2405750145</v>
      </c>
      <c r="R338" s="1" t="s">
        <v>1209</v>
      </c>
      <c r="S338" s="1" t="s">
        <v>1210</v>
      </c>
      <c r="T338" s="1" t="s">
        <v>182</v>
      </c>
      <c r="U338" s="1">
        <v>0</v>
      </c>
      <c r="V338" s="1" t="s">
        <v>36</v>
      </c>
      <c r="W338" s="1" t="s">
        <v>37</v>
      </c>
      <c r="X338" s="1">
        <v>2</v>
      </c>
      <c r="Y338" s="1">
        <v>0</v>
      </c>
    </row>
    <row r="339" spans="1:25" hidden="1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1">
        <v>2</v>
      </c>
      <c r="J339" s="3" t="s">
        <v>29</v>
      </c>
      <c r="K339" s="1">
        <v>28015</v>
      </c>
      <c r="L339" s="1" t="s">
        <v>30</v>
      </c>
      <c r="M339" s="1" t="s">
        <v>625</v>
      </c>
      <c r="N339" s="1">
        <v>2024</v>
      </c>
      <c r="O339" s="1">
        <v>1</v>
      </c>
      <c r="P339" s="1" t="s">
        <v>32</v>
      </c>
      <c r="Q339" s="1">
        <v>2405750146</v>
      </c>
      <c r="R339" s="1" t="s">
        <v>1211</v>
      </c>
      <c r="S339" s="1" t="s">
        <v>1212</v>
      </c>
      <c r="T339" s="1" t="s">
        <v>1134</v>
      </c>
      <c r="U339" s="1">
        <v>0</v>
      </c>
      <c r="V339" s="1" t="s">
        <v>36</v>
      </c>
      <c r="W339" s="1" t="s">
        <v>37</v>
      </c>
      <c r="X339" s="1">
        <v>2</v>
      </c>
      <c r="Y339" s="1">
        <v>0</v>
      </c>
    </row>
    <row r="340" spans="1:25" hidden="1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1">
        <v>2</v>
      </c>
      <c r="J340" s="3" t="s">
        <v>29</v>
      </c>
      <c r="K340" s="1">
        <v>28185</v>
      </c>
      <c r="L340" s="1" t="s">
        <v>30</v>
      </c>
      <c r="M340" s="1" t="s">
        <v>176</v>
      </c>
      <c r="N340" s="1">
        <v>2024</v>
      </c>
      <c r="O340" s="1"/>
      <c r="P340" s="1"/>
      <c r="Q340" s="1">
        <v>2405750147</v>
      </c>
      <c r="R340" s="1" t="s">
        <v>1213</v>
      </c>
      <c r="S340" s="1" t="s">
        <v>1214</v>
      </c>
      <c r="T340" s="1" t="s">
        <v>1215</v>
      </c>
      <c r="U340" s="1">
        <v>0</v>
      </c>
      <c r="V340" s="1" t="s">
        <v>36</v>
      </c>
      <c r="W340" s="1" t="s">
        <v>37</v>
      </c>
      <c r="X340" s="1">
        <v>1</v>
      </c>
      <c r="Y340" s="1">
        <v>0</v>
      </c>
    </row>
    <row r="341" spans="1:25" hidden="1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1">
        <v>2</v>
      </c>
      <c r="J341" s="3" t="s">
        <v>29</v>
      </c>
      <c r="K341" s="1">
        <v>28282</v>
      </c>
      <c r="L341" s="1" t="s">
        <v>30</v>
      </c>
      <c r="M341" s="1" t="s">
        <v>58</v>
      </c>
      <c r="N341" s="1">
        <v>2024</v>
      </c>
      <c r="O341" s="1">
        <v>1</v>
      </c>
      <c r="P341" s="1" t="s">
        <v>32</v>
      </c>
      <c r="Q341" s="1">
        <v>2405750148</v>
      </c>
      <c r="R341" s="1" t="s">
        <v>1216</v>
      </c>
      <c r="S341" s="1" t="s">
        <v>1217</v>
      </c>
      <c r="T341" s="1" t="s">
        <v>1218</v>
      </c>
      <c r="U341" s="1">
        <v>0</v>
      </c>
      <c r="V341" s="1" t="s">
        <v>36</v>
      </c>
      <c r="W341" s="1" t="s">
        <v>37</v>
      </c>
      <c r="X341" s="1">
        <v>2</v>
      </c>
      <c r="Y341" s="1">
        <v>0</v>
      </c>
    </row>
    <row r="342" spans="1:25" hidden="1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1">
        <v>2</v>
      </c>
      <c r="J342" s="3" t="s">
        <v>29</v>
      </c>
      <c r="K342" s="1">
        <v>28203</v>
      </c>
      <c r="L342" s="1" t="s">
        <v>30</v>
      </c>
      <c r="M342" s="1" t="s">
        <v>418</v>
      </c>
      <c r="N342" s="1">
        <v>2024</v>
      </c>
      <c r="O342" s="1"/>
      <c r="P342" s="1"/>
      <c r="Q342" s="1">
        <v>2405750149</v>
      </c>
      <c r="R342" s="1" t="s">
        <v>1219</v>
      </c>
      <c r="S342" s="1" t="s">
        <v>1220</v>
      </c>
      <c r="T342" s="1" t="s">
        <v>1221</v>
      </c>
      <c r="U342" s="1">
        <v>0</v>
      </c>
      <c r="V342" s="1" t="s">
        <v>36</v>
      </c>
      <c r="W342" s="1" t="s">
        <v>37</v>
      </c>
      <c r="X342" s="1">
        <v>1</v>
      </c>
      <c r="Y342" s="1">
        <v>0</v>
      </c>
    </row>
    <row r="343" spans="1:25" hidden="1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1">
        <v>2</v>
      </c>
      <c r="J343" s="3" t="s">
        <v>29</v>
      </c>
      <c r="K343" s="1">
        <v>28002</v>
      </c>
      <c r="L343" s="1" t="s">
        <v>30</v>
      </c>
      <c r="M343" s="1" t="s">
        <v>1205</v>
      </c>
      <c r="N343" s="1">
        <v>2024</v>
      </c>
      <c r="O343" s="1"/>
      <c r="P343" s="1"/>
      <c r="Q343" s="1">
        <v>2405750150</v>
      </c>
      <c r="R343" s="1" t="s">
        <v>1222</v>
      </c>
      <c r="S343" s="1" t="s">
        <v>1223</v>
      </c>
      <c r="T343" s="1" t="s">
        <v>1224</v>
      </c>
      <c r="U343" s="1">
        <v>0</v>
      </c>
      <c r="V343" s="1" t="s">
        <v>36</v>
      </c>
      <c r="W343" s="1" t="s">
        <v>37</v>
      </c>
      <c r="X343" s="1">
        <v>1</v>
      </c>
      <c r="Y343" s="1">
        <v>0</v>
      </c>
    </row>
    <row r="344" spans="1:25" hidden="1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1">
        <v>1</v>
      </c>
      <c r="J344" s="3" t="s">
        <v>39</v>
      </c>
      <c r="K344" s="1">
        <v>28032</v>
      </c>
      <c r="L344" s="1" t="s">
        <v>30</v>
      </c>
      <c r="M344" s="1" t="s">
        <v>171</v>
      </c>
      <c r="N344" s="1">
        <v>2024</v>
      </c>
      <c r="O344" s="1">
        <v>1</v>
      </c>
      <c r="P344" s="1" t="s">
        <v>32</v>
      </c>
      <c r="Q344" s="1">
        <v>2405750151</v>
      </c>
      <c r="R344" s="1" t="s">
        <v>1225</v>
      </c>
      <c r="S344" s="1" t="s">
        <v>1226</v>
      </c>
      <c r="T344" s="1" t="s">
        <v>1227</v>
      </c>
      <c r="U344" s="1">
        <v>0</v>
      </c>
      <c r="V344" s="1" t="s">
        <v>36</v>
      </c>
      <c r="W344" s="1" t="s">
        <v>37</v>
      </c>
      <c r="X344" s="1">
        <v>2</v>
      </c>
      <c r="Y344" s="1">
        <v>0</v>
      </c>
    </row>
    <row r="345" spans="1:25" hidden="1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1">
        <v>2</v>
      </c>
      <c r="J345" s="3" t="s">
        <v>29</v>
      </c>
      <c r="K345" s="1">
        <v>28185</v>
      </c>
      <c r="L345" s="1" t="s">
        <v>30</v>
      </c>
      <c r="M345" s="1" t="s">
        <v>176</v>
      </c>
      <c r="N345" s="1">
        <v>2024</v>
      </c>
      <c r="O345" s="1">
        <v>1</v>
      </c>
      <c r="P345" s="1" t="s">
        <v>32</v>
      </c>
      <c r="Q345" s="1">
        <v>2405750152</v>
      </c>
      <c r="R345" s="1" t="s">
        <v>1228</v>
      </c>
      <c r="S345" s="1" t="s">
        <v>1229</v>
      </c>
      <c r="T345" s="1" t="s">
        <v>1230</v>
      </c>
      <c r="U345" s="1">
        <v>0</v>
      </c>
      <c r="V345" s="1" t="s">
        <v>36</v>
      </c>
      <c r="W345" s="1" t="s">
        <v>37</v>
      </c>
      <c r="X345" s="1">
        <v>1</v>
      </c>
      <c r="Y345" s="1">
        <v>0</v>
      </c>
    </row>
    <row r="346" spans="1:25" hidden="1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1">
        <v>2</v>
      </c>
      <c r="J346" s="3" t="s">
        <v>29</v>
      </c>
      <c r="K346" s="1">
        <v>39048</v>
      </c>
      <c r="L346" s="1" t="s">
        <v>1231</v>
      </c>
      <c r="M346" s="1" t="s">
        <v>1232</v>
      </c>
      <c r="N346" s="1">
        <v>2024</v>
      </c>
      <c r="O346" s="1">
        <v>1</v>
      </c>
      <c r="P346" s="1" t="s">
        <v>32</v>
      </c>
      <c r="Q346" s="1">
        <v>2405750153</v>
      </c>
      <c r="R346" s="1" t="s">
        <v>1233</v>
      </c>
      <c r="S346" s="1" t="s">
        <v>1234</v>
      </c>
      <c r="T346" s="1" t="s">
        <v>1235</v>
      </c>
      <c r="U346" s="1">
        <v>0</v>
      </c>
      <c r="V346" s="1" t="s">
        <v>36</v>
      </c>
      <c r="W346" s="1" t="s">
        <v>1236</v>
      </c>
      <c r="X346" s="1">
        <v>2</v>
      </c>
      <c r="Y346" s="1">
        <v>0</v>
      </c>
    </row>
    <row r="347" spans="1:25" hidden="1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1">
        <v>2</v>
      </c>
      <c r="J347" s="3" t="s">
        <v>29</v>
      </c>
      <c r="K347" s="1">
        <v>33009</v>
      </c>
      <c r="L347" s="1" t="s">
        <v>145</v>
      </c>
      <c r="M347" s="1" t="s">
        <v>1237</v>
      </c>
      <c r="N347" s="1">
        <v>2024</v>
      </c>
      <c r="O347" s="1">
        <v>1</v>
      </c>
      <c r="P347" s="1" t="s">
        <v>32</v>
      </c>
      <c r="Q347" s="1">
        <v>2405750154</v>
      </c>
      <c r="R347" s="1" t="s">
        <v>1238</v>
      </c>
      <c r="S347" s="1" t="s">
        <v>1239</v>
      </c>
      <c r="T347" s="1" t="s">
        <v>1240</v>
      </c>
      <c r="U347" s="1">
        <v>0</v>
      </c>
      <c r="V347" s="1" t="s">
        <v>36</v>
      </c>
      <c r="W347" s="1" t="s">
        <v>37</v>
      </c>
      <c r="X347" s="1">
        <v>2</v>
      </c>
      <c r="Y347" s="1">
        <v>0</v>
      </c>
    </row>
    <row r="348" spans="1:25" hidden="1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1">
        <v>1</v>
      </c>
      <c r="J348" s="3" t="s">
        <v>39</v>
      </c>
      <c r="K348" s="1">
        <v>28120</v>
      </c>
      <c r="L348" s="1" t="s">
        <v>30</v>
      </c>
      <c r="M348" s="1" t="s">
        <v>47</v>
      </c>
      <c r="N348" s="1">
        <v>2024</v>
      </c>
      <c r="O348" s="1"/>
      <c r="P348" s="1"/>
      <c r="Q348" s="1">
        <v>2405750155</v>
      </c>
      <c r="R348" s="1" t="s">
        <v>1241</v>
      </c>
      <c r="S348" s="1" t="s">
        <v>1242</v>
      </c>
      <c r="T348" s="1" t="s">
        <v>1243</v>
      </c>
      <c r="U348" s="1">
        <v>0</v>
      </c>
      <c r="V348" s="1" t="s">
        <v>36</v>
      </c>
      <c r="W348" s="1" t="s">
        <v>37</v>
      </c>
      <c r="X348" s="1">
        <v>2</v>
      </c>
      <c r="Y348" s="1">
        <v>0</v>
      </c>
    </row>
    <row r="349" spans="1:25" hidden="1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1">
        <v>2</v>
      </c>
      <c r="J349" s="3" t="s">
        <v>29</v>
      </c>
      <c r="K349" s="1">
        <v>28185</v>
      </c>
      <c r="L349" s="1" t="s">
        <v>30</v>
      </c>
      <c r="M349" s="1" t="s">
        <v>176</v>
      </c>
      <c r="N349" s="1">
        <v>2024</v>
      </c>
      <c r="O349" s="1">
        <v>1</v>
      </c>
      <c r="P349" s="1" t="s">
        <v>32</v>
      </c>
      <c r="Q349" s="1">
        <v>2405750156</v>
      </c>
      <c r="R349" s="1" t="s">
        <v>1244</v>
      </c>
      <c r="S349" s="1" t="s">
        <v>1245</v>
      </c>
      <c r="T349" s="1" t="s">
        <v>1246</v>
      </c>
      <c r="U349" s="1">
        <v>0</v>
      </c>
      <c r="V349" s="1" t="s">
        <v>36</v>
      </c>
      <c r="W349" s="1" t="s">
        <v>37</v>
      </c>
      <c r="X349" s="1">
        <v>2</v>
      </c>
      <c r="Y349" s="1">
        <v>0</v>
      </c>
    </row>
    <row r="350" spans="1:25" hidden="1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1">
        <v>2</v>
      </c>
      <c r="J350" s="3" t="s">
        <v>29</v>
      </c>
      <c r="K350" s="1">
        <v>28246</v>
      </c>
      <c r="L350" s="1" t="s">
        <v>30</v>
      </c>
      <c r="M350" s="1" t="s">
        <v>316</v>
      </c>
      <c r="N350" s="1">
        <v>2024</v>
      </c>
      <c r="O350" s="1">
        <v>1</v>
      </c>
      <c r="P350" s="1" t="s">
        <v>32</v>
      </c>
      <c r="Q350" s="1">
        <v>2405750157</v>
      </c>
      <c r="R350" s="1" t="s">
        <v>1247</v>
      </c>
      <c r="S350" s="1" t="s">
        <v>1248</v>
      </c>
      <c r="T350" s="1" t="s">
        <v>1249</v>
      </c>
      <c r="U350" s="1">
        <v>0</v>
      </c>
      <c r="V350" s="1" t="s">
        <v>36</v>
      </c>
      <c r="W350" s="1" t="s">
        <v>37</v>
      </c>
      <c r="X350" s="1">
        <v>2</v>
      </c>
      <c r="Y350" s="1">
        <v>0</v>
      </c>
    </row>
    <row r="351" spans="1:25" hidden="1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1">
        <v>3</v>
      </c>
      <c r="J351" s="3" t="s">
        <v>68</v>
      </c>
      <c r="K351" s="1">
        <v>37071</v>
      </c>
      <c r="L351" s="1" t="s">
        <v>158</v>
      </c>
      <c r="M351" s="1" t="s">
        <v>1250</v>
      </c>
      <c r="N351" s="1">
        <v>2022</v>
      </c>
      <c r="O351" s="1">
        <v>1</v>
      </c>
      <c r="P351" s="1" t="s">
        <v>32</v>
      </c>
      <c r="Q351" s="1">
        <v>2405750158</v>
      </c>
      <c r="R351" s="1" t="s">
        <v>1251</v>
      </c>
      <c r="S351" s="1" t="s">
        <v>1252</v>
      </c>
      <c r="T351" s="1" t="s">
        <v>1253</v>
      </c>
      <c r="U351" s="1">
        <v>0</v>
      </c>
      <c r="V351" s="1" t="s">
        <v>36</v>
      </c>
      <c r="W351" s="1" t="s">
        <v>37</v>
      </c>
      <c r="X351" s="1">
        <v>2</v>
      </c>
      <c r="Y351" s="1">
        <v>0</v>
      </c>
    </row>
    <row r="352" spans="1:25" hidden="1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1">
        <v>2</v>
      </c>
      <c r="J352" s="3" t="s">
        <v>29</v>
      </c>
      <c r="K352" s="1">
        <v>28118</v>
      </c>
      <c r="L352" s="1" t="s">
        <v>30</v>
      </c>
      <c r="M352" s="1" t="s">
        <v>1254</v>
      </c>
      <c r="N352" s="1">
        <v>2024</v>
      </c>
      <c r="O352" s="1">
        <v>1</v>
      </c>
      <c r="P352" s="1" t="s">
        <v>32</v>
      </c>
      <c r="Q352" s="1">
        <v>2405750159</v>
      </c>
      <c r="R352" s="1" t="s">
        <v>1255</v>
      </c>
      <c r="S352" s="1" t="s">
        <v>1256</v>
      </c>
      <c r="T352" s="1" t="s">
        <v>1257</v>
      </c>
      <c r="U352" s="1">
        <v>0</v>
      </c>
      <c r="V352" s="1" t="s">
        <v>36</v>
      </c>
      <c r="W352" s="1" t="s">
        <v>37</v>
      </c>
      <c r="X352" s="1">
        <v>2</v>
      </c>
      <c r="Y352" s="1">
        <v>0</v>
      </c>
    </row>
    <row r="353" spans="1:25" hidden="1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1">
        <v>3</v>
      </c>
      <c r="J353" s="3" t="s">
        <v>68</v>
      </c>
      <c r="K353" s="1">
        <v>28043</v>
      </c>
      <c r="L353" s="1" t="s">
        <v>30</v>
      </c>
      <c r="M353" s="1" t="s">
        <v>1259</v>
      </c>
      <c r="N353" s="1">
        <v>2023</v>
      </c>
      <c r="O353" s="1">
        <v>1</v>
      </c>
      <c r="P353" s="1" t="s">
        <v>32</v>
      </c>
      <c r="Q353" s="1">
        <v>2405750160</v>
      </c>
      <c r="R353" s="1" t="s">
        <v>1260</v>
      </c>
      <c r="S353" s="1" t="s">
        <v>1261</v>
      </c>
      <c r="T353" s="1" t="s">
        <v>1262</v>
      </c>
      <c r="U353" s="1">
        <v>0</v>
      </c>
      <c r="V353" s="1" t="s">
        <v>36</v>
      </c>
      <c r="W353" s="1" t="s">
        <v>37</v>
      </c>
      <c r="X353" s="1">
        <v>2</v>
      </c>
      <c r="Y353" s="1">
        <v>0</v>
      </c>
    </row>
    <row r="354" spans="1:25" hidden="1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1">
        <v>2</v>
      </c>
      <c r="J354" s="3" t="s">
        <v>29</v>
      </c>
      <c r="K354" s="1">
        <v>4015</v>
      </c>
      <c r="L354" s="1" t="s">
        <v>262</v>
      </c>
      <c r="M354" s="1" t="s">
        <v>1263</v>
      </c>
      <c r="N354" s="1">
        <v>2024</v>
      </c>
      <c r="O354" s="1">
        <v>1</v>
      </c>
      <c r="P354" s="1" t="s">
        <v>32</v>
      </c>
      <c r="Q354" s="1">
        <v>2405750161</v>
      </c>
      <c r="R354" s="1" t="s">
        <v>1264</v>
      </c>
      <c r="S354" s="1" t="s">
        <v>1265</v>
      </c>
      <c r="T354" s="1" t="s">
        <v>1266</v>
      </c>
      <c r="U354" s="1">
        <v>0</v>
      </c>
      <c r="V354" s="1" t="s">
        <v>36</v>
      </c>
      <c r="W354" s="1" t="s">
        <v>1267</v>
      </c>
      <c r="X354" s="1">
        <v>2</v>
      </c>
      <c r="Y354" s="1">
        <v>0</v>
      </c>
    </row>
    <row r="355" spans="1:25" hidden="1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1">
        <v>2</v>
      </c>
      <c r="J355" s="3" t="s">
        <v>29</v>
      </c>
      <c r="K355" s="1">
        <v>28029</v>
      </c>
      <c r="L355" s="1" t="s">
        <v>30</v>
      </c>
      <c r="M355" s="1" t="s">
        <v>194</v>
      </c>
      <c r="N355" s="1">
        <v>2024</v>
      </c>
      <c r="O355" s="1"/>
      <c r="P355" s="1"/>
      <c r="Q355" s="1">
        <v>2405750162</v>
      </c>
      <c r="R355" s="1" t="s">
        <v>1268</v>
      </c>
      <c r="S355" s="1" t="s">
        <v>1269</v>
      </c>
      <c r="T355" s="1" t="s">
        <v>131</v>
      </c>
      <c r="U355" s="1">
        <v>0</v>
      </c>
      <c r="V355" s="1" t="s">
        <v>36</v>
      </c>
      <c r="W355" s="1" t="s">
        <v>37</v>
      </c>
      <c r="X355" s="1">
        <v>1</v>
      </c>
      <c r="Y355" s="1">
        <v>0</v>
      </c>
    </row>
    <row r="356" spans="1:25" hidden="1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1">
        <v>1</v>
      </c>
      <c r="J356" s="3" t="s">
        <v>39</v>
      </c>
      <c r="K356" s="1">
        <v>28009</v>
      </c>
      <c r="L356" s="1" t="s">
        <v>30</v>
      </c>
      <c r="M356" s="1" t="s">
        <v>164</v>
      </c>
      <c r="N356" s="1">
        <v>2024</v>
      </c>
      <c r="O356" s="1">
        <v>1</v>
      </c>
      <c r="P356" s="1" t="s">
        <v>32</v>
      </c>
      <c r="Q356" s="1">
        <v>2405750163</v>
      </c>
      <c r="R356" s="1" t="s">
        <v>1270</v>
      </c>
      <c r="S356" s="1" t="s">
        <v>1271</v>
      </c>
      <c r="T356" s="1" t="s">
        <v>311</v>
      </c>
      <c r="U356" s="1">
        <v>0</v>
      </c>
      <c r="V356" s="1" t="s">
        <v>36</v>
      </c>
      <c r="W356" s="1" t="s">
        <v>37</v>
      </c>
      <c r="X356" s="1">
        <v>2</v>
      </c>
      <c r="Y356" s="1">
        <v>0</v>
      </c>
    </row>
    <row r="357" spans="1:25" hidden="1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1">
        <v>2</v>
      </c>
      <c r="J357" s="3" t="s">
        <v>29</v>
      </c>
      <c r="K357" s="1">
        <v>28121</v>
      </c>
      <c r="L357" s="1" t="s">
        <v>30</v>
      </c>
      <c r="M357" s="1" t="s">
        <v>292</v>
      </c>
      <c r="N357" s="1">
        <v>2024</v>
      </c>
      <c r="O357" s="1"/>
      <c r="P357" s="1"/>
      <c r="Q357" s="1">
        <v>2405750164</v>
      </c>
      <c r="R357" s="1" t="s">
        <v>1272</v>
      </c>
      <c r="S357" s="1" t="s">
        <v>1273</v>
      </c>
      <c r="T357" s="1" t="s">
        <v>1274</v>
      </c>
      <c r="U357" s="1">
        <v>0</v>
      </c>
      <c r="V357" s="1" t="s">
        <v>36</v>
      </c>
      <c r="W357" s="1" t="s">
        <v>37</v>
      </c>
      <c r="X357" s="1">
        <v>2</v>
      </c>
      <c r="Y357" s="1">
        <v>0</v>
      </c>
    </row>
    <row r="358" spans="1:25" hidden="1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1">
        <v>2</v>
      </c>
      <c r="J358" s="3" t="s">
        <v>29</v>
      </c>
      <c r="K358" s="1">
        <v>28124</v>
      </c>
      <c r="L358" s="1" t="s">
        <v>30</v>
      </c>
      <c r="M358" s="1" t="s">
        <v>221</v>
      </c>
      <c r="N358" s="1">
        <v>2024</v>
      </c>
      <c r="O358" s="1">
        <v>1</v>
      </c>
      <c r="P358" s="1" t="s">
        <v>32</v>
      </c>
      <c r="Q358" s="1">
        <v>2405750165</v>
      </c>
      <c r="R358" s="1" t="s">
        <v>1275</v>
      </c>
      <c r="S358" s="1" t="s">
        <v>1276</v>
      </c>
      <c r="T358" s="1" t="s">
        <v>1277</v>
      </c>
      <c r="U358" s="1">
        <v>0</v>
      </c>
      <c r="V358" s="1" t="s">
        <v>36</v>
      </c>
      <c r="W358" s="1" t="s">
        <v>37</v>
      </c>
      <c r="X358" s="1">
        <v>2</v>
      </c>
      <c r="Y358" s="1">
        <v>0</v>
      </c>
    </row>
    <row r="359" spans="1:25" hidden="1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1">
        <v>2</v>
      </c>
      <c r="J359" s="3" t="s">
        <v>29</v>
      </c>
      <c r="K359" s="1">
        <v>28197</v>
      </c>
      <c r="L359" s="1" t="s">
        <v>30</v>
      </c>
      <c r="M359" s="1" t="s">
        <v>383</v>
      </c>
      <c r="N359" s="1">
        <v>2024</v>
      </c>
      <c r="O359" s="1">
        <v>1</v>
      </c>
      <c r="P359" s="1" t="s">
        <v>32</v>
      </c>
      <c r="Q359" s="1">
        <v>2405750166</v>
      </c>
      <c r="R359" s="1" t="s">
        <v>1278</v>
      </c>
      <c r="S359" s="1" t="s">
        <v>1279</v>
      </c>
      <c r="T359" s="1" t="s">
        <v>1280</v>
      </c>
      <c r="U359" s="1">
        <v>0</v>
      </c>
      <c r="V359" s="1" t="s">
        <v>36</v>
      </c>
      <c r="W359" s="1" t="s">
        <v>37</v>
      </c>
      <c r="X359" s="1">
        <v>2</v>
      </c>
      <c r="Y359" s="1">
        <v>0</v>
      </c>
    </row>
    <row r="360" spans="1:25" hidden="1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1">
        <v>2</v>
      </c>
      <c r="J360" s="3" t="s">
        <v>29</v>
      </c>
      <c r="K360" s="1">
        <v>28054</v>
      </c>
      <c r="L360" s="1" t="s">
        <v>30</v>
      </c>
      <c r="M360" s="1" t="s">
        <v>458</v>
      </c>
      <c r="N360" s="1">
        <v>2024</v>
      </c>
      <c r="O360" s="1">
        <v>1</v>
      </c>
      <c r="P360" s="1" t="s">
        <v>32</v>
      </c>
      <c r="Q360" s="1">
        <v>2405750167</v>
      </c>
      <c r="R360" s="1" t="s">
        <v>1281</v>
      </c>
      <c r="S360" s="1" t="s">
        <v>1282</v>
      </c>
      <c r="T360" s="1" t="s">
        <v>1283</v>
      </c>
      <c r="U360" s="1">
        <v>0</v>
      </c>
      <c r="V360" s="1" t="s">
        <v>36</v>
      </c>
      <c r="W360" s="1" t="s">
        <v>37</v>
      </c>
      <c r="X360" s="1">
        <v>2</v>
      </c>
      <c r="Y360" s="1">
        <v>0</v>
      </c>
    </row>
    <row r="361" spans="1:25" hidden="1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1">
        <v>2</v>
      </c>
      <c r="J361" s="3" t="s">
        <v>29</v>
      </c>
      <c r="K361" s="1">
        <v>28185</v>
      </c>
      <c r="L361" s="1" t="s">
        <v>30</v>
      </c>
      <c r="M361" s="1" t="s">
        <v>176</v>
      </c>
      <c r="N361" s="1">
        <v>2024</v>
      </c>
      <c r="O361" s="1">
        <v>1</v>
      </c>
      <c r="P361" s="1" t="s">
        <v>32</v>
      </c>
      <c r="Q361" s="1">
        <v>2405750168</v>
      </c>
      <c r="R361" s="1" t="s">
        <v>1284</v>
      </c>
      <c r="S361" s="1" t="s">
        <v>1285</v>
      </c>
      <c r="T361" s="1" t="s">
        <v>1286</v>
      </c>
      <c r="U361" s="1">
        <v>0</v>
      </c>
      <c r="V361" s="1" t="s">
        <v>36</v>
      </c>
      <c r="W361" s="1" t="s">
        <v>37</v>
      </c>
      <c r="X361" s="1">
        <v>1</v>
      </c>
      <c r="Y361" s="1">
        <v>0</v>
      </c>
    </row>
    <row r="362" spans="1:25" hidden="1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1">
        <v>2</v>
      </c>
      <c r="J362" s="3" t="s">
        <v>29</v>
      </c>
      <c r="K362" s="1">
        <v>28124</v>
      </c>
      <c r="L362" s="1" t="s">
        <v>30</v>
      </c>
      <c r="M362" s="1" t="s">
        <v>221</v>
      </c>
      <c r="N362" s="1">
        <v>2024</v>
      </c>
      <c r="O362" s="1"/>
      <c r="P362" s="1"/>
      <c r="Q362" s="1">
        <v>2405750169</v>
      </c>
      <c r="R362" s="1" t="s">
        <v>1287</v>
      </c>
      <c r="S362" s="1" t="s">
        <v>1288</v>
      </c>
      <c r="T362" s="1" t="s">
        <v>1289</v>
      </c>
      <c r="U362" s="1">
        <v>0</v>
      </c>
      <c r="V362" s="1" t="s">
        <v>36</v>
      </c>
      <c r="W362" s="1" t="s">
        <v>37</v>
      </c>
      <c r="X362" s="1">
        <v>2</v>
      </c>
      <c r="Y362" s="1">
        <v>0</v>
      </c>
    </row>
    <row r="363" spans="1:25" hidden="1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1">
        <v>3</v>
      </c>
      <c r="J363" s="3" t="s">
        <v>68</v>
      </c>
      <c r="K363" s="1">
        <v>28254</v>
      </c>
      <c r="L363" s="1" t="s">
        <v>30</v>
      </c>
      <c r="M363" s="1" t="s">
        <v>1290</v>
      </c>
      <c r="N363" s="1">
        <v>2024</v>
      </c>
      <c r="O363" s="1">
        <v>1</v>
      </c>
      <c r="P363" s="1" t="s">
        <v>32</v>
      </c>
      <c r="Q363" s="1">
        <v>2405750170</v>
      </c>
      <c r="R363" s="1" t="s">
        <v>1291</v>
      </c>
      <c r="S363" s="1" t="s">
        <v>1292</v>
      </c>
      <c r="T363" s="1" t="s">
        <v>1293</v>
      </c>
      <c r="U363" s="1">
        <v>0</v>
      </c>
      <c r="V363" s="1" t="s">
        <v>36</v>
      </c>
      <c r="W363" s="1" t="s">
        <v>37</v>
      </c>
      <c r="X363" s="1">
        <v>2</v>
      </c>
      <c r="Y363" s="1">
        <v>0</v>
      </c>
    </row>
    <row r="364" spans="1:25" hidden="1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1">
        <v>2</v>
      </c>
      <c r="J364" s="3" t="s">
        <v>29</v>
      </c>
      <c r="K364" s="1">
        <v>28038</v>
      </c>
      <c r="L364" s="1" t="s">
        <v>30</v>
      </c>
      <c r="M364" s="1" t="s">
        <v>1128</v>
      </c>
      <c r="N364" s="1">
        <v>2024</v>
      </c>
      <c r="O364" s="1"/>
      <c r="P364" s="1"/>
      <c r="Q364" s="1">
        <v>2405750171</v>
      </c>
      <c r="R364" s="1" t="s">
        <v>1294</v>
      </c>
      <c r="S364" s="1" t="s">
        <v>1295</v>
      </c>
      <c r="T364" s="1" t="s">
        <v>1296</v>
      </c>
      <c r="U364" s="1">
        <v>0</v>
      </c>
      <c r="V364" s="1" t="s">
        <v>36</v>
      </c>
      <c r="W364" s="1" t="s">
        <v>37</v>
      </c>
      <c r="X364" s="1">
        <v>1</v>
      </c>
      <c r="Y364" s="1">
        <v>0</v>
      </c>
    </row>
  </sheetData>
  <autoFilter ref="A1:Y364" xr:uid="{00000000-0009-0000-0000-000002000000}">
    <filterColumn colId="0">
      <filters>
        <filter val="07_130_情報姫路校"/>
        <filter val="07_131_ビジ姫路校"/>
      </filters>
    </filterColumn>
  </autoFilter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56"/>
  <sheetViews>
    <sheetView workbookViewId="0"/>
  </sheetViews>
  <sheetFormatPr defaultRowHeight="18" x14ac:dyDescent="0.45"/>
  <cols>
    <col min="1" max="1" width="18.59765625" bestFit="1" customWidth="1"/>
    <col min="7" max="7" width="18.09765625" customWidth="1"/>
    <col min="8" max="8" width="13.59765625" bestFit="1" customWidth="1"/>
    <col min="10" max="10" width="21.59765625" style="29" bestFit="1" customWidth="1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1645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2354</v>
      </c>
      <c r="S2" s="56" t="s">
        <v>2355</v>
      </c>
      <c r="T2" s="56" t="s">
        <v>2356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1645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2134</v>
      </c>
      <c r="N3" s="56">
        <v>2025</v>
      </c>
      <c r="O3" s="56"/>
      <c r="P3" s="56"/>
      <c r="Q3" s="56">
        <v>2513150030</v>
      </c>
      <c r="R3" s="56" t="s">
        <v>2357</v>
      </c>
      <c r="S3" s="56" t="s">
        <v>2358</v>
      </c>
      <c r="T3" s="56" t="s">
        <v>2359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1645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2360</v>
      </c>
      <c r="S4" s="56" t="s">
        <v>2361</v>
      </c>
      <c r="T4" s="56" t="s">
        <v>2362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1645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2363</v>
      </c>
      <c r="S5" s="56" t="s">
        <v>2364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1645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2365</v>
      </c>
      <c r="S6" s="56" t="s">
        <v>2366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1645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2367</v>
      </c>
      <c r="S7" s="56" t="s">
        <v>2368</v>
      </c>
      <c r="T7" s="56" t="s">
        <v>2172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1645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2338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2369</v>
      </c>
      <c r="S8" s="56" t="s">
        <v>2370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1645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2371</v>
      </c>
      <c r="N9" s="56">
        <v>2025</v>
      </c>
      <c r="O9" s="56"/>
      <c r="P9" s="56"/>
      <c r="Q9" s="56">
        <v>2513150036</v>
      </c>
      <c r="R9" s="56" t="s">
        <v>2372</v>
      </c>
      <c r="S9" s="56" t="s">
        <v>2373</v>
      </c>
      <c r="T9" s="56" t="s">
        <v>2374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1645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2375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2376</v>
      </c>
      <c r="S10" s="56" t="s">
        <v>2377</v>
      </c>
      <c r="T10" s="56" t="s">
        <v>2378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1645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2379</v>
      </c>
      <c r="N11" s="56">
        <v>2025</v>
      </c>
      <c r="O11" s="56"/>
      <c r="P11" s="56"/>
      <c r="Q11" s="56">
        <v>2513150038</v>
      </c>
      <c r="R11" s="56" t="s">
        <v>2380</v>
      </c>
      <c r="S11" s="56" t="s">
        <v>2381</v>
      </c>
      <c r="T11" s="56" t="s">
        <v>2382</v>
      </c>
      <c r="U11" s="56">
        <v>0</v>
      </c>
      <c r="V11" s="56" t="s">
        <v>36</v>
      </c>
      <c r="W11" s="56" t="s">
        <v>2383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1645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1678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2384</v>
      </c>
      <c r="S12" s="56" t="s">
        <v>2385</v>
      </c>
      <c r="T12" s="56" t="s">
        <v>2386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1645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1717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2387</v>
      </c>
      <c r="S13" s="56" t="s">
        <v>2388</v>
      </c>
      <c r="T13" s="56" t="s">
        <v>2389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1645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2390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2391</v>
      </c>
      <c r="S14" s="56" t="s">
        <v>2392</v>
      </c>
      <c r="T14" s="56" t="s">
        <v>2393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1645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2394</v>
      </c>
      <c r="S15" s="56" t="s">
        <v>2395</v>
      </c>
      <c r="T15" s="56" t="s">
        <v>2396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1645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2397</v>
      </c>
      <c r="S16" s="56" t="s">
        <v>2398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1645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2399</v>
      </c>
      <c r="S17" s="56" t="s">
        <v>2400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1645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2401</v>
      </c>
      <c r="S18" s="56" t="s">
        <v>2402</v>
      </c>
      <c r="T18" s="56" t="s">
        <v>2403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1645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2404</v>
      </c>
      <c r="S19" s="56" t="s">
        <v>2405</v>
      </c>
      <c r="T19" s="56" t="s">
        <v>2406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1645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2407</v>
      </c>
      <c r="S20" s="56" t="s">
        <v>2408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1645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2720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2409</v>
      </c>
      <c r="S21" s="56" t="s">
        <v>2410</v>
      </c>
      <c r="T21" s="56" t="s">
        <v>2411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1645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2412</v>
      </c>
      <c r="S22" s="56" t="s">
        <v>2413</v>
      </c>
      <c r="T22" s="56" t="s">
        <v>2297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1645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2414</v>
      </c>
      <c r="S23" s="56" t="s">
        <v>2415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1645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2416</v>
      </c>
      <c r="S24" s="56" t="s">
        <v>2417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1645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2418</v>
      </c>
      <c r="S25" s="56" t="s">
        <v>2419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1645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2420</v>
      </c>
      <c r="S26" s="56" t="s">
        <v>2421</v>
      </c>
      <c r="T26" s="56" t="s">
        <v>2422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1645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2423</v>
      </c>
      <c r="S27" s="56" t="s">
        <v>2424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1645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2425</v>
      </c>
      <c r="S28" s="56" t="s">
        <v>2426</v>
      </c>
      <c r="T28" s="56" t="s">
        <v>2427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1645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1701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2428</v>
      </c>
      <c r="S29" s="56" t="s">
        <v>2429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1645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2430</v>
      </c>
      <c r="S30" s="56" t="s">
        <v>2431</v>
      </c>
      <c r="T30" s="56" t="s">
        <v>2432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1645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2433</v>
      </c>
      <c r="S31" s="56" t="s">
        <v>2434</v>
      </c>
      <c r="T31" s="56" t="s">
        <v>2435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1645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1682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2436</v>
      </c>
      <c r="S32" s="56" t="s">
        <v>2437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1645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2438</v>
      </c>
      <c r="S33" s="56" t="s">
        <v>2439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1645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2440</v>
      </c>
      <c r="S34" s="56" t="s">
        <v>2441</v>
      </c>
      <c r="T34" s="56" t="s">
        <v>2442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1645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2443</v>
      </c>
      <c r="S35" s="56" t="s">
        <v>2444</v>
      </c>
      <c r="T35" s="56" t="s">
        <v>2445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1645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2446</v>
      </c>
      <c r="S36" s="56" t="s">
        <v>2447</v>
      </c>
      <c r="T36" s="56" t="s">
        <v>2301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1645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2448</v>
      </c>
      <c r="S37" s="56" t="s">
        <v>2449</v>
      </c>
      <c r="T37" s="56" t="s">
        <v>2450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1645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2451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2452</v>
      </c>
      <c r="S38" s="56" t="s">
        <v>2453</v>
      </c>
      <c r="T38" s="56" t="s">
        <v>2454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1645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2455</v>
      </c>
      <c r="S39" s="56" t="s">
        <v>2456</v>
      </c>
      <c r="T39" s="56" t="s">
        <v>2457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1645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2458</v>
      </c>
      <c r="S40" s="56" t="s">
        <v>2459</v>
      </c>
      <c r="T40" s="56" t="s">
        <v>2460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1645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2461</v>
      </c>
      <c r="S41" s="56" t="s">
        <v>2462</v>
      </c>
      <c r="T41" s="56" t="s">
        <v>2294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1645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2463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2464</v>
      </c>
      <c r="S42" s="56" t="s">
        <v>2465</v>
      </c>
      <c r="T42" s="56" t="s">
        <v>2466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1645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2291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2467</v>
      </c>
      <c r="S43" s="56" t="s">
        <v>2468</v>
      </c>
      <c r="T43" s="56" t="s">
        <v>2469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1645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2470</v>
      </c>
      <c r="S44" s="56" t="s">
        <v>2471</v>
      </c>
      <c r="T44" s="56" t="s">
        <v>2472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1645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2473</v>
      </c>
      <c r="S45" s="56" t="s">
        <v>2474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1645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2475</v>
      </c>
      <c r="S46" s="56" t="s">
        <v>2476</v>
      </c>
      <c r="T46" s="56" t="s">
        <v>2477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1645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2478</v>
      </c>
      <c r="S47" s="56" t="s">
        <v>2479</v>
      </c>
      <c r="T47" s="56" t="s">
        <v>2480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1645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2481</v>
      </c>
      <c r="S48" s="56" t="s">
        <v>2482</v>
      </c>
      <c r="T48" s="56" t="s">
        <v>2353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1645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2483</v>
      </c>
      <c r="S49" s="56" t="s">
        <v>2484</v>
      </c>
      <c r="T49" s="56" t="s">
        <v>2485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1645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2486</v>
      </c>
      <c r="S50" s="56" t="s">
        <v>2487</v>
      </c>
      <c r="T50" s="56" t="s">
        <v>1361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1645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2488</v>
      </c>
      <c r="S51" s="56" t="s">
        <v>2489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1645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2490</v>
      </c>
      <c r="N52" s="56">
        <v>2025</v>
      </c>
      <c r="O52" s="56"/>
      <c r="P52" s="56"/>
      <c r="Q52" s="56">
        <v>2513150079</v>
      </c>
      <c r="R52" s="56" t="s">
        <v>2491</v>
      </c>
      <c r="S52" s="56" t="s">
        <v>2492</v>
      </c>
      <c r="T52" s="56" t="s">
        <v>2493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1645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2379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2494</v>
      </c>
      <c r="S53" s="56" t="s">
        <v>2495</v>
      </c>
      <c r="T53" s="56" t="s">
        <v>2496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1645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2497</v>
      </c>
      <c r="S54" s="56" t="s">
        <v>2498</v>
      </c>
      <c r="T54" s="56" t="s">
        <v>2499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1645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2500</v>
      </c>
      <c r="S55" s="56" t="s">
        <v>2501</v>
      </c>
      <c r="T55" s="56" t="s">
        <v>2502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1645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2503</v>
      </c>
      <c r="S56" s="56" t="s">
        <v>2504</v>
      </c>
      <c r="T56" s="56" t="s">
        <v>2505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1645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2506</v>
      </c>
      <c r="S57" s="56" t="s">
        <v>2507</v>
      </c>
      <c r="T57" s="56" t="s">
        <v>2508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1645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2509</v>
      </c>
      <c r="S58" s="56" t="s">
        <v>2510</v>
      </c>
      <c r="T58" s="56" t="s">
        <v>2511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1645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1678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2512</v>
      </c>
      <c r="S59" s="56" t="s">
        <v>2513</v>
      </c>
      <c r="T59" s="56" t="s">
        <v>2514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1645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2515</v>
      </c>
      <c r="S60" s="56" t="s">
        <v>2516</v>
      </c>
      <c r="T60" s="56" t="s">
        <v>1363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1645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2517</v>
      </c>
      <c r="S61" s="56" t="s">
        <v>2518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1645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2519</v>
      </c>
      <c r="S62" s="56" t="s">
        <v>2520</v>
      </c>
      <c r="T62" s="56" t="s">
        <v>2521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1645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2522</v>
      </c>
      <c r="S63" s="56" t="s">
        <v>2523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1645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2524</v>
      </c>
      <c r="S64" s="56" t="s">
        <v>2525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1645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2526</v>
      </c>
      <c r="S65" s="56" t="s">
        <v>2527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1645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2528</v>
      </c>
      <c r="S66" s="56" t="s">
        <v>2529</v>
      </c>
      <c r="T66" s="56" t="s">
        <v>2530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1645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2531</v>
      </c>
      <c r="S67" s="56" t="s">
        <v>2532</v>
      </c>
      <c r="T67" s="56" t="s">
        <v>2533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1645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2534</v>
      </c>
      <c r="S68" s="56" t="s">
        <v>2535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1645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2536</v>
      </c>
      <c r="S69" s="56" t="s">
        <v>2537</v>
      </c>
      <c r="T69" s="56" t="s">
        <v>2538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1645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2539</v>
      </c>
      <c r="S70" s="56" t="s">
        <v>2540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1645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2541</v>
      </c>
      <c r="S71" s="56" t="s">
        <v>2542</v>
      </c>
      <c r="T71" s="56" t="s">
        <v>2543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1645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2544</v>
      </c>
      <c r="S72" s="56" t="s">
        <v>2545</v>
      </c>
      <c r="T72" s="56" t="s">
        <v>2546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1645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2547</v>
      </c>
      <c r="S73" s="56" t="s">
        <v>2548</v>
      </c>
      <c r="T73" s="56" t="s">
        <v>2549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1645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1645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2550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2551</v>
      </c>
      <c r="S75" s="56" t="s">
        <v>2552</v>
      </c>
      <c r="T75" s="56" t="s">
        <v>2553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1645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2554</v>
      </c>
      <c r="S76" s="56" t="s">
        <v>2555</v>
      </c>
      <c r="T76" s="56" t="s">
        <v>2143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1645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2556</v>
      </c>
      <c r="S77" s="56" t="s">
        <v>2557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1645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2558</v>
      </c>
      <c r="N78" s="56">
        <v>2025</v>
      </c>
      <c r="O78" s="56"/>
      <c r="P78" s="56"/>
      <c r="Q78" s="56">
        <v>2513150105</v>
      </c>
      <c r="R78" s="56" t="s">
        <v>2559</v>
      </c>
      <c r="S78" s="56" t="s">
        <v>2560</v>
      </c>
      <c r="T78" s="56" t="s">
        <v>2561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1645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2562</v>
      </c>
      <c r="S79" s="56" t="s">
        <v>2563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1645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2564</v>
      </c>
      <c r="S80" s="56" t="s">
        <v>2565</v>
      </c>
      <c r="T80" s="56" t="s">
        <v>2566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1645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2567</v>
      </c>
      <c r="S81" s="56" t="s">
        <v>2568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1645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2569</v>
      </c>
      <c r="S82" s="56" t="s">
        <v>2570</v>
      </c>
      <c r="T82" s="56" t="s">
        <v>2571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1645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2572</v>
      </c>
      <c r="S83" s="56" t="s">
        <v>2573</v>
      </c>
      <c r="T83" s="56" t="s">
        <v>2574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1645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2575</v>
      </c>
      <c r="S84" s="56" t="s">
        <v>2576</v>
      </c>
      <c r="T84" s="56" t="s">
        <v>2577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1645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2578</v>
      </c>
      <c r="S85" s="56" t="s">
        <v>2579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1645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2580</v>
      </c>
      <c r="S86" s="56" t="s">
        <v>2581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1645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2582</v>
      </c>
      <c r="S87" s="56" t="s">
        <v>2583</v>
      </c>
      <c r="T87" s="56" t="s">
        <v>2574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1645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2584</v>
      </c>
      <c r="S88" s="56" t="s">
        <v>2585</v>
      </c>
      <c r="T88" s="56" t="s">
        <v>2586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1645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2587</v>
      </c>
      <c r="S89" s="56" t="s">
        <v>2588</v>
      </c>
      <c r="T89" s="56" t="s">
        <v>2589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1645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2590</v>
      </c>
      <c r="S90" s="56" t="s">
        <v>2591</v>
      </c>
      <c r="T90" s="56" t="s">
        <v>2592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1645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2593</v>
      </c>
      <c r="S91" s="56" t="s">
        <v>2594</v>
      </c>
      <c r="T91" s="56" t="s">
        <v>2294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1645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2595</v>
      </c>
      <c r="S92" s="56" t="s">
        <v>2596</v>
      </c>
      <c r="T92" s="56" t="s">
        <v>2597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1645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2017</v>
      </c>
      <c r="N93" s="56">
        <v>2025</v>
      </c>
      <c r="O93" s="56"/>
      <c r="P93" s="56"/>
      <c r="Q93" s="56">
        <v>2513150120</v>
      </c>
      <c r="R93" s="56" t="s">
        <v>2598</v>
      </c>
      <c r="S93" s="56" t="s">
        <v>2599</v>
      </c>
      <c r="T93" s="56" t="s">
        <v>2600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1645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2601</v>
      </c>
      <c r="S94" s="56" t="s">
        <v>2602</v>
      </c>
      <c r="T94" s="56" t="s">
        <v>2603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1645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2134</v>
      </c>
      <c r="N95" s="56">
        <v>2025</v>
      </c>
      <c r="O95" s="56"/>
      <c r="P95" s="56"/>
      <c r="Q95" s="56">
        <v>2513150122</v>
      </c>
      <c r="R95" s="56" t="s">
        <v>2604</v>
      </c>
      <c r="S95" s="56" t="s">
        <v>2605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1645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2134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2606</v>
      </c>
      <c r="S96" s="56" t="s">
        <v>2607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1645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2608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2609</v>
      </c>
      <c r="S97" s="56" t="s">
        <v>2610</v>
      </c>
      <c r="T97" s="56" t="s">
        <v>2721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1645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2611</v>
      </c>
      <c r="S98" s="56" t="s">
        <v>2612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1645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2613</v>
      </c>
      <c r="S99" s="56" t="s">
        <v>2614</v>
      </c>
      <c r="T99" s="56" t="s">
        <v>2615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1645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2616</v>
      </c>
      <c r="S100" s="56" t="s">
        <v>2617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1645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2618</v>
      </c>
      <c r="S101" s="56" t="s">
        <v>2619</v>
      </c>
      <c r="T101" s="56" t="s">
        <v>2620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1645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2621</v>
      </c>
      <c r="S102" s="56" t="s">
        <v>2622</v>
      </c>
      <c r="T102" s="56" t="s">
        <v>2623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1645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2624</v>
      </c>
      <c r="S103" s="56" t="s">
        <v>2625</v>
      </c>
      <c r="T103" s="56" t="s">
        <v>2626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1645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2627</v>
      </c>
      <c r="S104" s="56" t="s">
        <v>2628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1645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2629</v>
      </c>
      <c r="S105" s="56" t="s">
        <v>2630</v>
      </c>
      <c r="T105" s="56" t="s">
        <v>2631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1645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2632</v>
      </c>
      <c r="S106" s="56" t="s">
        <v>2633</v>
      </c>
      <c r="T106" s="56" t="s">
        <v>2634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1645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2635</v>
      </c>
      <c r="S107" s="56" t="s">
        <v>2636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1645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2637</v>
      </c>
      <c r="S108" s="56" t="s">
        <v>2638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1645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2639</v>
      </c>
      <c r="S109" s="56" t="s">
        <v>2640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1645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2641</v>
      </c>
      <c r="S110" s="56" t="s">
        <v>2642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1645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1985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2643</v>
      </c>
      <c r="S111" s="56" t="s">
        <v>2644</v>
      </c>
      <c r="T111" s="56" t="s">
        <v>2645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1645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1717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2646</v>
      </c>
      <c r="S112" s="56" t="s">
        <v>2647</v>
      </c>
      <c r="T112" s="56" t="s">
        <v>2133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1645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2648</v>
      </c>
      <c r="S113" s="56" t="s">
        <v>2649</v>
      </c>
      <c r="T113" s="56" t="s">
        <v>2650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1645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2651</v>
      </c>
      <c r="S114" s="56" t="s">
        <v>2652</v>
      </c>
      <c r="T114" s="56" t="s">
        <v>2653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1645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2654</v>
      </c>
      <c r="S115" s="56" t="s">
        <v>2655</v>
      </c>
      <c r="T115" s="56" t="s">
        <v>2656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1645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2657</v>
      </c>
      <c r="S116" s="56" t="s">
        <v>2658</v>
      </c>
      <c r="T116" s="56" t="s">
        <v>2353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1645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2664</v>
      </c>
      <c r="S117" s="56" t="s">
        <v>2665</v>
      </c>
      <c r="T117" s="56" t="s">
        <v>1495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1645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2666</v>
      </c>
      <c r="S118" s="56" t="s">
        <v>2667</v>
      </c>
      <c r="T118" s="56" t="s">
        <v>2668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1645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1717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2017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2669</v>
      </c>
      <c r="S119" s="56" t="s">
        <v>2670</v>
      </c>
      <c r="T119" s="56" t="s">
        <v>2671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1645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2672</v>
      </c>
      <c r="S120" s="56" t="s">
        <v>2673</v>
      </c>
      <c r="T120" s="56" t="s">
        <v>2674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1645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2701</v>
      </c>
      <c r="S121" s="56" t="s">
        <v>2702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1645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2711</v>
      </c>
      <c r="S122" s="56" t="s">
        <v>2712</v>
      </c>
      <c r="T122" s="56" t="s">
        <v>2713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1645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2714</v>
      </c>
      <c r="S123" s="56" t="s">
        <v>2715</v>
      </c>
      <c r="T123" s="56" t="s">
        <v>2716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1645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2722</v>
      </c>
      <c r="S124" s="56" t="s">
        <v>2723</v>
      </c>
      <c r="T124" s="56" t="s">
        <v>2577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1645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2724</v>
      </c>
      <c r="S125" s="56" t="s">
        <v>2725</v>
      </c>
      <c r="T125" s="56" t="s">
        <v>1574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1645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2726</v>
      </c>
      <c r="S126" s="56" t="s">
        <v>2727</v>
      </c>
      <c r="T126" s="56" t="s">
        <v>2728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1645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2729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2730</v>
      </c>
      <c r="S127" s="56" t="s">
        <v>2731</v>
      </c>
      <c r="T127" s="56" t="s">
        <v>2760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1645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2732</v>
      </c>
      <c r="S128" s="56" t="s">
        <v>2733</v>
      </c>
      <c r="T128" s="56" t="s">
        <v>2225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1645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2734</v>
      </c>
      <c r="S129" s="56" t="s">
        <v>2735</v>
      </c>
      <c r="T129" s="56" t="s">
        <v>2736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1645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1717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2737</v>
      </c>
      <c r="S130" s="56" t="s">
        <v>2738</v>
      </c>
      <c r="T130" s="56" t="s">
        <v>2739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1645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2740</v>
      </c>
      <c r="N131" s="56">
        <v>2025</v>
      </c>
      <c r="O131" s="56"/>
      <c r="P131" s="56"/>
      <c r="Q131" s="56">
        <v>2513150158</v>
      </c>
      <c r="R131" s="56" t="s">
        <v>2741</v>
      </c>
      <c r="S131" s="56" t="s">
        <v>2742</v>
      </c>
      <c r="T131" s="56" t="s">
        <v>2743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1645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2338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2761</v>
      </c>
      <c r="S132" s="56" t="s">
        <v>2762</v>
      </c>
      <c r="T132" s="56" t="s">
        <v>1558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1645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1646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1647</v>
      </c>
      <c r="S133" s="56" t="s">
        <v>1648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1645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1649</v>
      </c>
      <c r="S134" s="56" t="s">
        <v>1650</v>
      </c>
      <c r="T134" s="56" t="s">
        <v>1651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1645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1652</v>
      </c>
      <c r="S135" s="56" t="s">
        <v>1653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1645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1654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1655</v>
      </c>
      <c r="S136" s="56" t="s">
        <v>1656</v>
      </c>
      <c r="T136" s="56" t="s">
        <v>1657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1645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1658</v>
      </c>
      <c r="N137" s="56">
        <v>2025</v>
      </c>
      <c r="O137" s="56"/>
      <c r="P137" s="56"/>
      <c r="Q137" s="56">
        <v>2505750005</v>
      </c>
      <c r="R137" s="56" t="s">
        <v>1659</v>
      </c>
      <c r="S137" s="56" t="s">
        <v>1660</v>
      </c>
      <c r="T137" s="56" t="s">
        <v>1661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1645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1662</v>
      </c>
      <c r="S138" s="56" t="s">
        <v>1663</v>
      </c>
      <c r="T138" s="56" t="s">
        <v>1664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1645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1665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1666</v>
      </c>
      <c r="S139" s="56" t="s">
        <v>1667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1645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1668</v>
      </c>
      <c r="S140" s="56" t="s">
        <v>1669</v>
      </c>
      <c r="T140" s="56" t="s">
        <v>1670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1645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1671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1672</v>
      </c>
      <c r="S141" s="56" t="s">
        <v>1673</v>
      </c>
      <c r="T141" s="56" t="s">
        <v>1674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1645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1675</v>
      </c>
      <c r="S142" s="56" t="s">
        <v>1676</v>
      </c>
      <c r="T142" s="56" t="s">
        <v>1677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1645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1678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1679</v>
      </c>
      <c r="S143" s="56" t="s">
        <v>1680</v>
      </c>
      <c r="T143" s="56" t="s">
        <v>1681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1645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1682</v>
      </c>
      <c r="N144" s="56">
        <v>2025</v>
      </c>
      <c r="O144" s="56"/>
      <c r="P144" s="56"/>
      <c r="Q144" s="56">
        <v>2505750012</v>
      </c>
      <c r="R144" s="56" t="s">
        <v>1683</v>
      </c>
      <c r="S144" s="56" t="s">
        <v>1684</v>
      </c>
      <c r="T144" s="56" t="s">
        <v>1685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1645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1686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1687</v>
      </c>
      <c r="S145" s="56" t="s">
        <v>1688</v>
      </c>
      <c r="T145" s="56" t="s">
        <v>1689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1645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1690</v>
      </c>
      <c r="S146" s="56" t="s">
        <v>1691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1645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1692</v>
      </c>
      <c r="S147" s="56" t="s">
        <v>1693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1645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1694</v>
      </c>
      <c r="S148" s="56" t="s">
        <v>1695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1645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1696</v>
      </c>
      <c r="S149" s="56" t="s">
        <v>1697</v>
      </c>
      <c r="T149" s="56" t="s">
        <v>1698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1645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1699</v>
      </c>
      <c r="S150" s="56" t="s">
        <v>1700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1645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1701</v>
      </c>
      <c r="N151" s="56">
        <v>2025</v>
      </c>
      <c r="O151" s="56"/>
      <c r="P151" s="56"/>
      <c r="Q151" s="56">
        <v>2505750019</v>
      </c>
      <c r="R151" s="56" t="s">
        <v>1702</v>
      </c>
      <c r="S151" s="56" t="s">
        <v>1703</v>
      </c>
      <c r="T151" s="56" t="s">
        <v>1704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1645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1705</v>
      </c>
      <c r="S152" s="56" t="s">
        <v>1706</v>
      </c>
      <c r="T152" s="56" t="s">
        <v>1707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1645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1708</v>
      </c>
      <c r="S153" s="56" t="s">
        <v>1709</v>
      </c>
      <c r="T153" s="56" t="s">
        <v>1710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1645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1711</v>
      </c>
      <c r="S154" s="56" t="s">
        <v>1712</v>
      </c>
      <c r="T154" s="56" t="s">
        <v>1713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1645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1714</v>
      </c>
      <c r="S155" s="56" t="s">
        <v>1715</v>
      </c>
      <c r="T155" s="56" t="s">
        <v>1716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1645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1717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1718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1719</v>
      </c>
      <c r="S156" s="56" t="s">
        <v>1720</v>
      </c>
      <c r="T156" s="56" t="s">
        <v>1721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1645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1722</v>
      </c>
      <c r="N157" s="56">
        <v>2025</v>
      </c>
      <c r="O157" s="56"/>
      <c r="P157" s="56"/>
      <c r="Q157" s="56">
        <v>2505750025</v>
      </c>
      <c r="R157" s="56" t="s">
        <v>1723</v>
      </c>
      <c r="S157" s="56" t="s">
        <v>1724</v>
      </c>
      <c r="T157" s="56" t="s">
        <v>1725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1645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1726</v>
      </c>
      <c r="S158" s="56" t="s">
        <v>1727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1645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1728</v>
      </c>
      <c r="S159" s="56" t="s">
        <v>1729</v>
      </c>
      <c r="T159" s="56" t="s">
        <v>1730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1645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1731</v>
      </c>
      <c r="S160" s="56" t="s">
        <v>1732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1645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1733</v>
      </c>
      <c r="S161" s="56" t="s">
        <v>1734</v>
      </c>
      <c r="T161" s="56" t="s">
        <v>1735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1645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1665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1736</v>
      </c>
      <c r="S162" s="56" t="s">
        <v>1737</v>
      </c>
      <c r="T162" s="56" t="s">
        <v>1738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1645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1739</v>
      </c>
      <c r="S163" s="56" t="s">
        <v>1740</v>
      </c>
      <c r="T163" s="56" t="s">
        <v>1741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1645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1742</v>
      </c>
      <c r="S164" s="56" t="s">
        <v>1743</v>
      </c>
      <c r="T164" s="56" t="s">
        <v>1744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1645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1745</v>
      </c>
      <c r="S165" s="56" t="s">
        <v>1746</v>
      </c>
      <c r="T165" s="56" t="s">
        <v>2043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1645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1747</v>
      </c>
      <c r="S166" s="56" t="s">
        <v>1748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1645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1749</v>
      </c>
      <c r="S167" s="56" t="s">
        <v>1750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1645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1751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1752</v>
      </c>
      <c r="S168" s="56" t="s">
        <v>1753</v>
      </c>
      <c r="T168" s="56" t="s">
        <v>1754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1645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1755</v>
      </c>
      <c r="S169" s="56" t="s">
        <v>1756</v>
      </c>
      <c r="T169" s="56" t="s">
        <v>1757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1645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1758</v>
      </c>
      <c r="S170" s="56" t="s">
        <v>1759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1645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1760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1761</v>
      </c>
      <c r="S171" s="56" t="s">
        <v>1762</v>
      </c>
      <c r="T171" s="56" t="s">
        <v>1763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1645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1764</v>
      </c>
      <c r="N172" s="56">
        <v>2025</v>
      </c>
      <c r="O172" s="56"/>
      <c r="P172" s="56"/>
      <c r="Q172" s="56">
        <v>2505750040</v>
      </c>
      <c r="R172" s="56" t="s">
        <v>1765</v>
      </c>
      <c r="S172" s="56" t="s">
        <v>1766</v>
      </c>
      <c r="T172" s="56" t="s">
        <v>1767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1645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1768</v>
      </c>
      <c r="S173" s="56" t="s">
        <v>1769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1645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1770</v>
      </c>
      <c r="S174" s="56" t="s">
        <v>1771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1645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1772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1773</v>
      </c>
      <c r="S175" s="56" t="s">
        <v>1774</v>
      </c>
      <c r="T175" s="56" t="s">
        <v>1775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1645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1776</v>
      </c>
      <c r="S176" s="56" t="s">
        <v>1777</v>
      </c>
      <c r="T176" s="56" t="s">
        <v>1778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1645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1779</v>
      </c>
      <c r="S177" s="56" t="s">
        <v>1780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1645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1781</v>
      </c>
      <c r="S178" s="56" t="s">
        <v>1782</v>
      </c>
      <c r="T178" s="56" t="s">
        <v>1783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1645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1784</v>
      </c>
      <c r="S179" s="56" t="s">
        <v>1785</v>
      </c>
      <c r="T179" s="56" t="s">
        <v>1786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1645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1787</v>
      </c>
      <c r="S180" s="56" t="s">
        <v>1788</v>
      </c>
      <c r="T180" s="56" t="s">
        <v>1789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1645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1790</v>
      </c>
      <c r="S181" s="56" t="s">
        <v>1791</v>
      </c>
      <c r="T181" s="56" t="s">
        <v>1792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1645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1793</v>
      </c>
      <c r="S182" s="56" t="s">
        <v>1794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1645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1795</v>
      </c>
      <c r="S183" s="56" t="s">
        <v>1796</v>
      </c>
      <c r="T183" s="56" t="s">
        <v>1797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1645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1798</v>
      </c>
      <c r="S184" s="56" t="s">
        <v>1799</v>
      </c>
      <c r="T184" s="56" t="s">
        <v>1800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1645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1801</v>
      </c>
      <c r="S185" s="56" t="s">
        <v>1802</v>
      </c>
      <c r="T185" s="56" t="s">
        <v>1803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1645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1804</v>
      </c>
      <c r="S186" s="56" t="s">
        <v>1805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1645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1806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1807</v>
      </c>
      <c r="S187" s="56" t="s">
        <v>1808</v>
      </c>
      <c r="T187" s="56" t="s">
        <v>1809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1645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1810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1811</v>
      </c>
      <c r="S188" s="56" t="s">
        <v>1812</v>
      </c>
      <c r="T188" s="56" t="s">
        <v>1813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1645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1814</v>
      </c>
      <c r="S189" s="56" t="s">
        <v>1815</v>
      </c>
      <c r="T189" s="56" t="s">
        <v>1816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1645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1817</v>
      </c>
      <c r="S190" s="56" t="s">
        <v>1818</v>
      </c>
      <c r="T190" s="56" t="s">
        <v>1819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1645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1820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1821</v>
      </c>
      <c r="S191" s="56" t="s">
        <v>1822</v>
      </c>
      <c r="T191" s="56" t="s">
        <v>1823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1645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1717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1824</v>
      </c>
      <c r="S192" s="56" t="s">
        <v>1825</v>
      </c>
      <c r="T192" s="56" t="s">
        <v>1826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1645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1827</v>
      </c>
      <c r="S193" s="56" t="s">
        <v>1828</v>
      </c>
      <c r="T193" s="56" t="s">
        <v>1829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1645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1830</v>
      </c>
      <c r="S194" s="56" t="s">
        <v>1831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1645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1832</v>
      </c>
      <c r="S195" s="56" t="s">
        <v>1833</v>
      </c>
      <c r="T195" s="56" t="s">
        <v>1834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1645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1835</v>
      </c>
      <c r="S196" s="56" t="s">
        <v>1836</v>
      </c>
      <c r="T196" s="56" t="s">
        <v>1837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1645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1838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1839</v>
      </c>
      <c r="S197" s="56" t="s">
        <v>1840</v>
      </c>
      <c r="T197" s="56" t="s">
        <v>1841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1645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1842</v>
      </c>
      <c r="S198" s="56" t="s">
        <v>1843</v>
      </c>
      <c r="T198" s="56" t="s">
        <v>1844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1645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1845</v>
      </c>
      <c r="S199" s="56" t="s">
        <v>1846</v>
      </c>
      <c r="T199" s="56" t="s">
        <v>1744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1645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1847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1848</v>
      </c>
      <c r="S200" s="56" t="s">
        <v>1849</v>
      </c>
      <c r="T200" s="56" t="s">
        <v>1850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1645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1851</v>
      </c>
      <c r="S201" s="56" t="s">
        <v>1852</v>
      </c>
      <c r="T201" s="56" t="s">
        <v>1853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1645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1854</v>
      </c>
      <c r="S202" s="56" t="s">
        <v>1855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1645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1856</v>
      </c>
      <c r="S203" s="56" t="s">
        <v>1857</v>
      </c>
      <c r="T203" s="56" t="s">
        <v>1858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1645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1859</v>
      </c>
      <c r="S204" s="56" t="s">
        <v>1860</v>
      </c>
      <c r="T204" s="56" t="s">
        <v>1861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1645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1862</v>
      </c>
      <c r="S205" s="56" t="s">
        <v>1863</v>
      </c>
      <c r="T205" s="56" t="s">
        <v>1360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1645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2763</v>
      </c>
      <c r="S206" s="56" t="s">
        <v>2764</v>
      </c>
      <c r="T206" s="56" t="s">
        <v>1864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1645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1678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1865</v>
      </c>
      <c r="N207" s="56">
        <v>2025</v>
      </c>
      <c r="O207" s="56"/>
      <c r="P207" s="56"/>
      <c r="Q207" s="56">
        <v>2505750075</v>
      </c>
      <c r="R207" s="56" t="s">
        <v>1866</v>
      </c>
      <c r="S207" s="56" t="s">
        <v>1867</v>
      </c>
      <c r="T207" s="56" t="s">
        <v>1868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1645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1869</v>
      </c>
      <c r="S208" s="56" t="s">
        <v>1870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1645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1871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1872</v>
      </c>
      <c r="S209" s="56" t="s">
        <v>1873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1645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1921</v>
      </c>
      <c r="M210" s="56" t="s">
        <v>1922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1874</v>
      </c>
      <c r="S210" s="56" t="s">
        <v>1875</v>
      </c>
      <c r="T210" s="56" t="s">
        <v>1876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1645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1877</v>
      </c>
      <c r="S211" s="56" t="s">
        <v>1878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1645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1879</v>
      </c>
      <c r="S212" s="56" t="s">
        <v>1880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1645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1678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1881</v>
      </c>
      <c r="S213" s="56" t="s">
        <v>1882</v>
      </c>
      <c r="T213" s="56" t="s">
        <v>1883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1645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1884</v>
      </c>
      <c r="S214" s="56" t="s">
        <v>1885</v>
      </c>
      <c r="T214" s="56" t="s">
        <v>1886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1645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1887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1888</v>
      </c>
      <c r="S215" s="56" t="s">
        <v>1889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1645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1890</v>
      </c>
      <c r="N216" s="56">
        <v>2025</v>
      </c>
      <c r="O216" s="56"/>
      <c r="P216" s="56"/>
      <c r="Q216" s="56">
        <v>2505750084</v>
      </c>
      <c r="R216" s="56" t="s">
        <v>1891</v>
      </c>
      <c r="S216" s="56" t="s">
        <v>1892</v>
      </c>
      <c r="T216" s="56" t="s">
        <v>1893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1645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1894</v>
      </c>
      <c r="S217" s="56" t="s">
        <v>1895</v>
      </c>
      <c r="T217" s="56" t="s">
        <v>1896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1645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1820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1897</v>
      </c>
      <c r="M218" s="56" t="s">
        <v>1898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1899</v>
      </c>
      <c r="S218" s="56" t="s">
        <v>1900</v>
      </c>
      <c r="T218" s="56" t="s">
        <v>1901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1645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1902</v>
      </c>
      <c r="S219" s="56" t="s">
        <v>1903</v>
      </c>
      <c r="T219" s="56" t="s">
        <v>1904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1645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1905</v>
      </c>
      <c r="S220" s="56" t="s">
        <v>1906</v>
      </c>
      <c r="T220" s="56" t="s">
        <v>1738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1645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1907</v>
      </c>
      <c r="S221" s="56" t="s">
        <v>1908</v>
      </c>
      <c r="T221" s="56" t="s">
        <v>1909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1645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1910</v>
      </c>
      <c r="S222" s="56" t="s">
        <v>1911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1645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1912</v>
      </c>
      <c r="S223" s="56" t="s">
        <v>1913</v>
      </c>
      <c r="T223" s="56" t="s">
        <v>1914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1645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1915</v>
      </c>
      <c r="S224" s="56" t="s">
        <v>1916</v>
      </c>
      <c r="T224" s="56" t="s">
        <v>1917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1645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1918</v>
      </c>
      <c r="S225" s="56" t="s">
        <v>1919</v>
      </c>
      <c r="T225" s="56" t="s">
        <v>1920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1645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1921</v>
      </c>
      <c r="M226" s="56" t="s">
        <v>1922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1923</v>
      </c>
      <c r="S226" s="56" t="s">
        <v>1924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1645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1925</v>
      </c>
      <c r="S227" s="56" t="s">
        <v>1926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1645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1927</v>
      </c>
      <c r="S228" s="56" t="s">
        <v>1928</v>
      </c>
      <c r="T228" s="56" t="s">
        <v>1929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1645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1930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1931</v>
      </c>
      <c r="S229" s="56" t="s">
        <v>1932</v>
      </c>
      <c r="T229" s="56" t="s">
        <v>1933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1645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1934</v>
      </c>
      <c r="S230" s="56" t="s">
        <v>1935</v>
      </c>
      <c r="T230" s="56" t="s">
        <v>1936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1645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1937</v>
      </c>
      <c r="S231" s="56" t="s">
        <v>1938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1645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1939</v>
      </c>
      <c r="N232" s="56">
        <v>2025</v>
      </c>
      <c r="O232" s="56"/>
      <c r="P232" s="56"/>
      <c r="Q232" s="56">
        <v>2505750100</v>
      </c>
      <c r="R232" s="56" t="s">
        <v>1940</v>
      </c>
      <c r="S232" s="56" t="s">
        <v>1941</v>
      </c>
      <c r="T232" s="56" t="s">
        <v>1942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1645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1943</v>
      </c>
      <c r="S233" s="56" t="s">
        <v>1944</v>
      </c>
      <c r="T233" s="56" t="s">
        <v>1786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1645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1945</v>
      </c>
      <c r="S234" s="56" t="s">
        <v>1946</v>
      </c>
      <c r="T234" s="56" t="s">
        <v>1947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1645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1665</v>
      </c>
      <c r="N235" s="56">
        <v>2025</v>
      </c>
      <c r="O235" s="56"/>
      <c r="P235" s="56"/>
      <c r="Q235" s="56">
        <v>2505750103</v>
      </c>
      <c r="R235" s="56" t="s">
        <v>1948</v>
      </c>
      <c r="S235" s="56" t="s">
        <v>1949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1645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1950</v>
      </c>
      <c r="S236" s="56" t="s">
        <v>1951</v>
      </c>
      <c r="T236" s="56" t="s">
        <v>1952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1645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1953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1954</v>
      </c>
      <c r="S237" s="56" t="s">
        <v>1955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1645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1956</v>
      </c>
      <c r="S238" s="56" t="s">
        <v>1957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1645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1958</v>
      </c>
      <c r="S239" s="56" t="s">
        <v>1959</v>
      </c>
      <c r="T239" s="56" t="s">
        <v>1960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1645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1961</v>
      </c>
      <c r="S240" s="56" t="s">
        <v>1962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1645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1963</v>
      </c>
      <c r="S241" s="56" t="s">
        <v>1964</v>
      </c>
      <c r="T241" s="56" t="s">
        <v>1965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1645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1966</v>
      </c>
      <c r="S242" s="56" t="s">
        <v>1967</v>
      </c>
      <c r="T242" s="56" t="s">
        <v>1968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1645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1969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1970</v>
      </c>
      <c r="S243" s="56" t="s">
        <v>1971</v>
      </c>
      <c r="T243" s="56" t="s">
        <v>1929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1645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1972</v>
      </c>
      <c r="S244" s="56" t="s">
        <v>1973</v>
      </c>
      <c r="T244" s="56" t="s">
        <v>1974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1645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1764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1975</v>
      </c>
      <c r="S245" s="56" t="s">
        <v>1976</v>
      </c>
      <c r="T245" s="56" t="s">
        <v>1977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1645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1978</v>
      </c>
      <c r="S246" s="56" t="s">
        <v>1979</v>
      </c>
      <c r="T246" s="56" t="s">
        <v>1980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1645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1981</v>
      </c>
      <c r="N247" s="56">
        <v>2025</v>
      </c>
      <c r="O247" s="56"/>
      <c r="P247" s="56"/>
      <c r="Q247" s="56">
        <v>2505750115</v>
      </c>
      <c r="R247" s="56" t="s">
        <v>1982</v>
      </c>
      <c r="S247" s="56" t="s">
        <v>1983</v>
      </c>
      <c r="T247" s="56" t="s">
        <v>1984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1645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1985</v>
      </c>
      <c r="N248" s="56">
        <v>2025</v>
      </c>
      <c r="O248" s="56"/>
      <c r="P248" s="56"/>
      <c r="Q248" s="56">
        <v>2505750116</v>
      </c>
      <c r="R248" s="56" t="s">
        <v>1986</v>
      </c>
      <c r="S248" s="56" t="s">
        <v>1987</v>
      </c>
      <c r="T248" s="56" t="s">
        <v>1988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1645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1989</v>
      </c>
      <c r="S249" s="56" t="s">
        <v>1990</v>
      </c>
      <c r="T249" s="56" t="s">
        <v>1991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1645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1992</v>
      </c>
      <c r="S250" s="56" t="s">
        <v>1993</v>
      </c>
      <c r="T250" s="56" t="s">
        <v>1994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1645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1995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1996</v>
      </c>
      <c r="S251" s="56" t="s">
        <v>1997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1645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1998</v>
      </c>
      <c r="S252" s="56" t="s">
        <v>1999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1645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2000</v>
      </c>
      <c r="S253" s="56" t="s">
        <v>2001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1645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2002</v>
      </c>
      <c r="S254" s="56" t="s">
        <v>2003</v>
      </c>
      <c r="T254" s="56" t="s">
        <v>1792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1645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2004</v>
      </c>
      <c r="S255" s="56" t="s">
        <v>2005</v>
      </c>
      <c r="T255" s="56" t="s">
        <v>2006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1645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2007</v>
      </c>
      <c r="S256" s="56" t="s">
        <v>2008</v>
      </c>
      <c r="T256" s="56" t="s">
        <v>2009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1645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2010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2011</v>
      </c>
      <c r="S257" s="56" t="s">
        <v>2012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1645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2013</v>
      </c>
      <c r="N258" s="56">
        <v>2025</v>
      </c>
      <c r="O258" s="56"/>
      <c r="P258" s="56"/>
      <c r="Q258" s="56">
        <v>2505750126</v>
      </c>
      <c r="R258" s="56" t="s">
        <v>2014</v>
      </c>
      <c r="S258" s="56" t="s">
        <v>2015</v>
      </c>
      <c r="T258" s="56" t="s">
        <v>2016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1645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2017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2018</v>
      </c>
      <c r="S259" s="56" t="s">
        <v>2019</v>
      </c>
      <c r="T259" s="56" t="s">
        <v>2020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1645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2021</v>
      </c>
      <c r="S260" s="56" t="s">
        <v>2022</v>
      </c>
      <c r="T260" s="56" t="s">
        <v>2023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1645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2024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2025</v>
      </c>
      <c r="S261" s="56" t="s">
        <v>2026</v>
      </c>
      <c r="T261" s="56" t="s">
        <v>1710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1645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2027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2028</v>
      </c>
      <c r="S262" s="56" t="s">
        <v>2029</v>
      </c>
      <c r="T262" s="56" t="s">
        <v>2030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1645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2031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2032</v>
      </c>
      <c r="S263" s="56" t="s">
        <v>2033</v>
      </c>
      <c r="T263" s="56" t="s">
        <v>2703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1645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2034</v>
      </c>
      <c r="S264" s="56" t="s">
        <v>2035</v>
      </c>
      <c r="T264" s="56" t="s">
        <v>1738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1645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2036</v>
      </c>
      <c r="S265" s="56" t="s">
        <v>2037</v>
      </c>
      <c r="T265" s="56" t="s">
        <v>1710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1645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2038</v>
      </c>
      <c r="N266" s="56">
        <v>2025</v>
      </c>
      <c r="O266" s="56"/>
      <c r="P266" s="56"/>
      <c r="Q266" s="56">
        <v>2505750134</v>
      </c>
      <c r="R266" s="56" t="s">
        <v>2039</v>
      </c>
      <c r="S266" s="56" t="s">
        <v>2040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1645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2041</v>
      </c>
      <c r="S267" s="56" t="s">
        <v>2042</v>
      </c>
      <c r="T267" s="56" t="s">
        <v>2043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1645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2044</v>
      </c>
      <c r="N268" s="56">
        <v>2025</v>
      </c>
      <c r="O268" s="56"/>
      <c r="P268" s="56"/>
      <c r="Q268" s="56">
        <v>2505750136</v>
      </c>
      <c r="R268" s="56" t="s">
        <v>2045</v>
      </c>
      <c r="S268" s="56" t="s">
        <v>2046</v>
      </c>
      <c r="T268" s="56" t="s">
        <v>2047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1645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2048</v>
      </c>
      <c r="S269" s="56" t="s">
        <v>2049</v>
      </c>
      <c r="T269" s="56" t="s">
        <v>2050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1645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2051</v>
      </c>
      <c r="S270" s="56" t="s">
        <v>2052</v>
      </c>
      <c r="T270" s="56" t="s">
        <v>2053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1645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2054</v>
      </c>
      <c r="S271" s="56" t="s">
        <v>2055</v>
      </c>
      <c r="T271" s="56" t="s">
        <v>2056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1645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2057</v>
      </c>
      <c r="S272" s="56" t="s">
        <v>2058</v>
      </c>
      <c r="T272" s="56" t="s">
        <v>2059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1645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2060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2061</v>
      </c>
      <c r="S273" s="56" t="s">
        <v>2062</v>
      </c>
      <c r="T273" s="56" t="s">
        <v>1585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1645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2063</v>
      </c>
      <c r="S274" s="56" t="s">
        <v>2064</v>
      </c>
      <c r="T274" s="56" t="s">
        <v>2065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1645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2066</v>
      </c>
      <c r="S275" s="56" t="s">
        <v>2067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1645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2068</v>
      </c>
      <c r="S276" s="56" t="s">
        <v>2069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1645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2070</v>
      </c>
      <c r="S277" s="56" t="s">
        <v>2071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1645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2072</v>
      </c>
      <c r="S278" s="56" t="s">
        <v>2073</v>
      </c>
      <c r="T278" s="56" t="s">
        <v>2074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1645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2075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2076</v>
      </c>
      <c r="S279" s="56" t="s">
        <v>2077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1645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2078</v>
      </c>
      <c r="S280" s="56" t="s">
        <v>2079</v>
      </c>
      <c r="T280" s="56" t="s">
        <v>2080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1645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2081</v>
      </c>
      <c r="N281" s="56">
        <v>2023</v>
      </c>
      <c r="O281" s="56"/>
      <c r="P281" s="56"/>
      <c r="Q281" s="56">
        <v>2505750149</v>
      </c>
      <c r="R281" s="56" t="s">
        <v>2082</v>
      </c>
      <c r="S281" s="56" t="s">
        <v>2083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1645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2084</v>
      </c>
      <c r="S282" s="56" t="s">
        <v>2085</v>
      </c>
      <c r="T282" s="56" t="s">
        <v>1568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1645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2086</v>
      </c>
      <c r="N283" s="56">
        <v>2025</v>
      </c>
      <c r="O283" s="56"/>
      <c r="P283" s="56"/>
      <c r="Q283" s="56">
        <v>2505750151</v>
      </c>
      <c r="R283" s="56" t="s">
        <v>2087</v>
      </c>
      <c r="S283" s="56" t="s">
        <v>2088</v>
      </c>
      <c r="T283" s="56" t="s">
        <v>2089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1645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2013</v>
      </c>
      <c r="N284" s="56">
        <v>2025</v>
      </c>
      <c r="O284" s="56"/>
      <c r="P284" s="56"/>
      <c r="Q284" s="56">
        <v>2505750152</v>
      </c>
      <c r="R284" s="56" t="s">
        <v>2090</v>
      </c>
      <c r="S284" s="56" t="s">
        <v>2091</v>
      </c>
      <c r="T284" s="56" t="s">
        <v>2092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1645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2093</v>
      </c>
      <c r="S285" s="56" t="s">
        <v>2094</v>
      </c>
      <c r="T285" s="56" t="s">
        <v>1592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1645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2095</v>
      </c>
      <c r="S286" s="56" t="s">
        <v>2096</v>
      </c>
      <c r="T286" s="56" t="s">
        <v>1591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1645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2097</v>
      </c>
      <c r="S287" s="56" t="s">
        <v>2098</v>
      </c>
      <c r="T287" s="56" t="s">
        <v>2099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1645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2100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2101</v>
      </c>
      <c r="S288" s="56" t="s">
        <v>2102</v>
      </c>
      <c r="T288" s="56" t="s">
        <v>2103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1645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2104</v>
      </c>
      <c r="S289" s="56" t="s">
        <v>2105</v>
      </c>
      <c r="T289" s="56" t="s">
        <v>2106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1645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2107</v>
      </c>
      <c r="S290" s="56" t="s">
        <v>2108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1645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2109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2110</v>
      </c>
      <c r="S291" s="56" t="s">
        <v>2111</v>
      </c>
      <c r="T291" s="56" t="s">
        <v>2112</v>
      </c>
      <c r="U291" s="56">
        <v>0</v>
      </c>
      <c r="V291" s="56" t="s">
        <v>36</v>
      </c>
      <c r="W291" s="56" t="s">
        <v>2113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1645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2114</v>
      </c>
      <c r="M292" s="56" t="s">
        <v>2115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2116</v>
      </c>
      <c r="S292" s="56" t="s">
        <v>2117</v>
      </c>
      <c r="T292" s="56" t="s">
        <v>2118</v>
      </c>
      <c r="U292" s="56">
        <v>0</v>
      </c>
      <c r="V292" s="56" t="s">
        <v>36</v>
      </c>
      <c r="W292" s="56" t="s">
        <v>2119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1645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2120</v>
      </c>
      <c r="N293" s="56">
        <v>2025</v>
      </c>
      <c r="O293" s="56"/>
      <c r="P293" s="56"/>
      <c r="Q293" s="56">
        <v>2505750161</v>
      </c>
      <c r="R293" s="56" t="s">
        <v>2121</v>
      </c>
      <c r="S293" s="56" t="s">
        <v>2122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1645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2123</v>
      </c>
      <c r="S294" s="56" t="s">
        <v>2124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1645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2120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2125</v>
      </c>
      <c r="S295" s="56" t="s">
        <v>2126</v>
      </c>
      <c r="T295" s="56" t="s">
        <v>1991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1645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2127</v>
      </c>
      <c r="S296" s="56" t="s">
        <v>2128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1645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2129</v>
      </c>
      <c r="S297" s="56" t="s">
        <v>2130</v>
      </c>
      <c r="T297" s="56" t="s">
        <v>1698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1645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2131</v>
      </c>
      <c r="S298" s="56" t="s">
        <v>2132</v>
      </c>
      <c r="T298" s="56" t="s">
        <v>2133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1645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2661</v>
      </c>
      <c r="S299" s="56" t="s">
        <v>2662</v>
      </c>
      <c r="T299" s="56" t="s">
        <v>2663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1645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2675</v>
      </c>
      <c r="S300" s="56" t="s">
        <v>2676</v>
      </c>
      <c r="T300" s="56" t="s">
        <v>2677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1645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2720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2678</v>
      </c>
      <c r="S301" s="56" t="s">
        <v>2679</v>
      </c>
      <c r="T301" s="56" t="s">
        <v>2680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1645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2681</v>
      </c>
      <c r="S302" s="56" t="s">
        <v>2682</v>
      </c>
      <c r="T302" s="56" t="s">
        <v>2683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1645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2688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2689</v>
      </c>
      <c r="S303" s="56" t="s">
        <v>2690</v>
      </c>
      <c r="T303" s="56" t="s">
        <v>2691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1645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2692</v>
      </c>
      <c r="S304" s="56" t="s">
        <v>2693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1645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2694</v>
      </c>
      <c r="S305" s="56" t="s">
        <v>2695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1645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2696</v>
      </c>
      <c r="S306" s="56" t="s">
        <v>2697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1645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2704</v>
      </c>
      <c r="S307" s="56" t="s">
        <v>2705</v>
      </c>
      <c r="T307" s="56" t="s">
        <v>2706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1645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2707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2708</v>
      </c>
      <c r="S308" s="56" t="s">
        <v>2709</v>
      </c>
      <c r="T308" s="56" t="s">
        <v>2710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1645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1953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2744</v>
      </c>
      <c r="S309" s="56" t="s">
        <v>2745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1645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2746</v>
      </c>
      <c r="S310" s="56" t="s">
        <v>2747</v>
      </c>
      <c r="T310" s="56" t="s">
        <v>1577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1645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2748</v>
      </c>
      <c r="S311" s="56" t="s">
        <v>2749</v>
      </c>
      <c r="T311" s="56" t="s">
        <v>2750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1645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2751</v>
      </c>
      <c r="S312" s="56" t="s">
        <v>2752</v>
      </c>
      <c r="T312" s="56" t="s">
        <v>2030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1645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2765</v>
      </c>
      <c r="S313" s="56" t="s">
        <v>2766</v>
      </c>
      <c r="T313" s="56" t="s">
        <v>2767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1645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2768</v>
      </c>
      <c r="S314" s="56" t="s">
        <v>2769</v>
      </c>
      <c r="T314" s="56" t="s">
        <v>1844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1645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2770</v>
      </c>
      <c r="S315" s="56" t="s">
        <v>2771</v>
      </c>
      <c r="T315" s="56" t="s">
        <v>2772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1645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2773</v>
      </c>
      <c r="S316" s="56" t="s">
        <v>2774</v>
      </c>
      <c r="T316" s="56" t="s">
        <v>2775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1645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2776</v>
      </c>
      <c r="S317" s="56" t="s">
        <v>2777</v>
      </c>
      <c r="T317" s="56" t="s">
        <v>2778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1645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2779</v>
      </c>
      <c r="S318" s="56" t="s">
        <v>2780</v>
      </c>
      <c r="T318" s="56" t="s">
        <v>1844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1645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2781</v>
      </c>
      <c r="S319" s="56" t="s">
        <v>2782</v>
      </c>
      <c r="T319" s="56" t="s">
        <v>1575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1645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1564</v>
      </c>
      <c r="S320" s="56" t="s">
        <v>1565</v>
      </c>
      <c r="T320" s="56" t="s">
        <v>2783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1645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2134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2135</v>
      </c>
      <c r="S321" s="56" t="s">
        <v>2136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1645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1701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2137</v>
      </c>
      <c r="S322" s="56" t="s">
        <v>2138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1645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2139</v>
      </c>
      <c r="S323" s="56" t="s">
        <v>2140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1645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2141</v>
      </c>
      <c r="S324" s="56" t="s">
        <v>2142</v>
      </c>
      <c r="T324" s="56" t="s">
        <v>2143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1645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2134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2144</v>
      </c>
      <c r="S325" s="56" t="s">
        <v>2145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1645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2146</v>
      </c>
      <c r="S326" s="56" t="s">
        <v>2147</v>
      </c>
      <c r="T326" s="56" t="s">
        <v>2148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1645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2149</v>
      </c>
      <c r="S327" s="56" t="s">
        <v>2150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1645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2134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2151</v>
      </c>
      <c r="S328" s="56" t="s">
        <v>2152</v>
      </c>
      <c r="T328" s="56" t="s">
        <v>2153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1645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2154</v>
      </c>
      <c r="S329" s="56" t="s">
        <v>2155</v>
      </c>
      <c r="T329" s="56" t="s">
        <v>2156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1645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2157</v>
      </c>
      <c r="S330" s="56" t="s">
        <v>2158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1645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2159</v>
      </c>
      <c r="S331" s="56" t="s">
        <v>2160</v>
      </c>
      <c r="T331" s="56" t="s">
        <v>2161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1645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2162</v>
      </c>
      <c r="S332" s="56" t="s">
        <v>2163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1645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2164</v>
      </c>
      <c r="S333" s="56" t="s">
        <v>2165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1645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2166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2167</v>
      </c>
      <c r="S334" s="56" t="s">
        <v>2168</v>
      </c>
      <c r="T334" s="56" t="s">
        <v>2169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1645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2170</v>
      </c>
      <c r="S335" s="56" t="s">
        <v>2171</v>
      </c>
      <c r="T335" s="56" t="s">
        <v>2172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1645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2173</v>
      </c>
      <c r="S336" s="56" t="s">
        <v>2174</v>
      </c>
      <c r="T336" s="56" t="s">
        <v>2175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1645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2176</v>
      </c>
      <c r="S337" s="56" t="s">
        <v>2177</v>
      </c>
      <c r="T337" s="56" t="s">
        <v>2178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1645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2179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2180</v>
      </c>
      <c r="S338" s="56" t="s">
        <v>2181</v>
      </c>
      <c r="T338" s="56" t="s">
        <v>2182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1645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2183</v>
      </c>
      <c r="S339" s="56" t="s">
        <v>2184</v>
      </c>
      <c r="T339" s="56" t="s">
        <v>2185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1645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2186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2187</v>
      </c>
      <c r="S340" s="56" t="s">
        <v>2188</v>
      </c>
      <c r="T340" s="56" t="s">
        <v>2189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1645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2190</v>
      </c>
      <c r="S341" s="56" t="s">
        <v>2191</v>
      </c>
      <c r="T341" s="56" t="s">
        <v>2192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1645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2193</v>
      </c>
      <c r="S342" s="56" t="s">
        <v>2194</v>
      </c>
      <c r="T342" s="56" t="s">
        <v>2195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1645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2017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2196</v>
      </c>
      <c r="S343" s="56" t="s">
        <v>2197</v>
      </c>
      <c r="T343" s="56" t="s">
        <v>2198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1645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2199</v>
      </c>
      <c r="S344" s="56" t="s">
        <v>2200</v>
      </c>
      <c r="T344" s="56" t="s">
        <v>2201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1645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2202</v>
      </c>
      <c r="S345" s="56" t="s">
        <v>2203</v>
      </c>
      <c r="T345" s="56" t="s">
        <v>2204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1645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2205</v>
      </c>
      <c r="S346" s="56" t="s">
        <v>2206</v>
      </c>
      <c r="T346" s="56" t="s">
        <v>2207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1645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2208</v>
      </c>
      <c r="S347" s="56" t="s">
        <v>2209</v>
      </c>
      <c r="T347" s="56" t="s">
        <v>2210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1645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2211</v>
      </c>
      <c r="S348" s="56" t="s">
        <v>2212</v>
      </c>
      <c r="T348" s="56" t="s">
        <v>2213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1645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2214</v>
      </c>
      <c r="S349" s="56" t="s">
        <v>2215</v>
      </c>
      <c r="T349" s="56" t="s">
        <v>2216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1645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2217</v>
      </c>
      <c r="S350" s="56" t="s">
        <v>2218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1645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2219</v>
      </c>
      <c r="S351" s="56" t="s">
        <v>2220</v>
      </c>
      <c r="T351" s="56" t="s">
        <v>2221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1645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2222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2223</v>
      </c>
      <c r="S352" s="56" t="s">
        <v>2224</v>
      </c>
      <c r="T352" s="56" t="s">
        <v>2225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1645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2226</v>
      </c>
      <c r="S353" s="56" t="s">
        <v>2227</v>
      </c>
      <c r="T353" s="56" t="s">
        <v>2228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1645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2229</v>
      </c>
      <c r="S354" s="56" t="s">
        <v>2230</v>
      </c>
      <c r="T354" s="56" t="s">
        <v>1713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1645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2231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2232</v>
      </c>
      <c r="S355" s="56" t="s">
        <v>2233</v>
      </c>
      <c r="T355" s="56" t="s">
        <v>2234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1645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2235</v>
      </c>
      <c r="S356" s="56" t="s">
        <v>2236</v>
      </c>
      <c r="T356" s="56" t="s">
        <v>2237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1645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2238</v>
      </c>
      <c r="S357" s="56" t="s">
        <v>2239</v>
      </c>
      <c r="T357" s="56" t="s">
        <v>1362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1645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2240</v>
      </c>
      <c r="S358" s="56" t="s">
        <v>2241</v>
      </c>
      <c r="T358" s="56" t="s">
        <v>2242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1645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2243</v>
      </c>
      <c r="S359" s="56" t="s">
        <v>2244</v>
      </c>
      <c r="T359" s="56" t="s">
        <v>2245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1645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2246</v>
      </c>
      <c r="S360" s="56" t="s">
        <v>2247</v>
      </c>
      <c r="T360" s="56" t="s">
        <v>2213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1645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2248</v>
      </c>
      <c r="S361" s="56" t="s">
        <v>2249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1645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2250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2251</v>
      </c>
      <c r="S362" s="56" t="s">
        <v>2252</v>
      </c>
      <c r="T362" s="56" t="s">
        <v>1558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1645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2253</v>
      </c>
      <c r="S363" s="56" t="s">
        <v>2254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1645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2687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2255</v>
      </c>
      <c r="S364" s="56" t="s">
        <v>2256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1645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2257</v>
      </c>
      <c r="S365" s="56" t="s">
        <v>2258</v>
      </c>
      <c r="T365" s="56" t="s">
        <v>2259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1645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2260</v>
      </c>
      <c r="M366" s="56" t="s">
        <v>2261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2262</v>
      </c>
      <c r="S366" s="56" t="s">
        <v>2263</v>
      </c>
      <c r="T366" s="56" t="s">
        <v>2264</v>
      </c>
      <c r="U366" s="56">
        <v>0</v>
      </c>
      <c r="V366" s="56" t="s">
        <v>36</v>
      </c>
      <c r="W366" s="56" t="s">
        <v>2265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1645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2231</v>
      </c>
      <c r="N367" s="56">
        <v>2025</v>
      </c>
      <c r="O367" s="56"/>
      <c r="P367" s="56"/>
      <c r="Q367" s="56">
        <v>2513050047</v>
      </c>
      <c r="R367" s="56" t="s">
        <v>2266</v>
      </c>
      <c r="S367" s="56" t="s">
        <v>2267</v>
      </c>
      <c r="T367" s="56" t="s">
        <v>2268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1645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2269</v>
      </c>
      <c r="S368" s="56" t="s">
        <v>2270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1645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2684</v>
      </c>
      <c r="S369" s="56" t="s">
        <v>2685</v>
      </c>
      <c r="T369" s="56" t="s">
        <v>2686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1645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2698</v>
      </c>
      <c r="S370" s="56" t="s">
        <v>2699</v>
      </c>
      <c r="T370" s="56" t="s">
        <v>2700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1645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2717</v>
      </c>
      <c r="S371" s="56" t="s">
        <v>2718</v>
      </c>
      <c r="T371" s="56" t="s">
        <v>2719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1645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2753</v>
      </c>
      <c r="S372" s="56" t="s">
        <v>2754</v>
      </c>
      <c r="T372" s="56" t="s">
        <v>2755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1645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2756</v>
      </c>
      <c r="S373" s="56" t="s">
        <v>2757</v>
      </c>
      <c r="T373" s="56" t="s">
        <v>2758</v>
      </c>
      <c r="U373" s="56">
        <v>0</v>
      </c>
      <c r="V373" s="56" t="s">
        <v>36</v>
      </c>
      <c r="W373" s="56" t="s">
        <v>2759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1645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2271</v>
      </c>
      <c r="S374" s="56" t="s">
        <v>2272</v>
      </c>
      <c r="T374" s="56" t="s">
        <v>2273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1645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1678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2274</v>
      </c>
      <c r="S375" s="56" t="s">
        <v>2275</v>
      </c>
      <c r="T375" s="56" t="s">
        <v>2276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1645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2277</v>
      </c>
      <c r="S376" s="56" t="s">
        <v>2278</v>
      </c>
      <c r="T376" s="56" t="s">
        <v>2279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1645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1718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2280</v>
      </c>
      <c r="S377" s="56" t="s">
        <v>2281</v>
      </c>
      <c r="T377" s="56" t="s">
        <v>2282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1645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2134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2283</v>
      </c>
      <c r="S378" s="56" t="s">
        <v>2284</v>
      </c>
      <c r="T378" s="56" t="s">
        <v>2285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1645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1995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2286</v>
      </c>
      <c r="S379" s="56" t="s">
        <v>2287</v>
      </c>
      <c r="T379" s="56" t="s">
        <v>2288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1645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2289</v>
      </c>
      <c r="S380" s="56" t="s">
        <v>2290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1645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2291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2292</v>
      </c>
      <c r="S381" s="56" t="s">
        <v>2293</v>
      </c>
      <c r="T381" s="56" t="s">
        <v>2294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1645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2295</v>
      </c>
      <c r="S382" s="56" t="s">
        <v>2296</v>
      </c>
      <c r="T382" s="56" t="s">
        <v>2297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1645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2298</v>
      </c>
      <c r="N383" s="56">
        <v>2025</v>
      </c>
      <c r="O383" s="56"/>
      <c r="P383" s="56"/>
      <c r="Q383" s="56">
        <v>2513150010</v>
      </c>
      <c r="R383" s="56" t="s">
        <v>2299</v>
      </c>
      <c r="S383" s="56" t="s">
        <v>2300</v>
      </c>
      <c r="T383" s="56" t="s">
        <v>2301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1645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2302</v>
      </c>
      <c r="S384" s="56" t="s">
        <v>2303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1645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2304</v>
      </c>
      <c r="S385" s="56" t="s">
        <v>2305</v>
      </c>
      <c r="T385" s="56" t="s">
        <v>2297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1645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2306</v>
      </c>
      <c r="S386" s="56" t="s">
        <v>2307</v>
      </c>
      <c r="T386" s="56" t="s">
        <v>2308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1645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2309</v>
      </c>
      <c r="S387" s="56" t="s">
        <v>2310</v>
      </c>
      <c r="T387" s="56" t="s">
        <v>2311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1645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2312</v>
      </c>
      <c r="S388" s="56" t="s">
        <v>2313</v>
      </c>
      <c r="T388" s="56" t="s">
        <v>2314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1645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2260</v>
      </c>
      <c r="M389" s="56" t="s">
        <v>2315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2316</v>
      </c>
      <c r="S389" s="56" t="s">
        <v>2317</v>
      </c>
      <c r="T389" s="56" t="s">
        <v>2318</v>
      </c>
      <c r="U389" s="56">
        <v>0</v>
      </c>
      <c r="V389" s="56" t="s">
        <v>36</v>
      </c>
      <c r="W389" s="56" t="s">
        <v>2265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1645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2319</v>
      </c>
      <c r="S390" s="56" t="s">
        <v>2320</v>
      </c>
      <c r="T390" s="56" t="s">
        <v>2321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1645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2322</v>
      </c>
      <c r="S391" s="56" t="s">
        <v>2323</v>
      </c>
      <c r="T391" s="56" t="s">
        <v>2324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1645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2325</v>
      </c>
      <c r="S392" s="56" t="s">
        <v>2326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1645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2327</v>
      </c>
      <c r="S393" s="56" t="s">
        <v>2328</v>
      </c>
      <c r="T393" s="56" t="s">
        <v>2329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1645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2330</v>
      </c>
      <c r="S394" s="56" t="s">
        <v>2331</v>
      </c>
      <c r="T394" s="56" t="s">
        <v>2332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1645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2333</v>
      </c>
      <c r="S395" s="56" t="s">
        <v>2334</v>
      </c>
      <c r="T395" s="56" t="s">
        <v>2201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1645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2335</v>
      </c>
      <c r="S396" s="56" t="s">
        <v>2336</v>
      </c>
      <c r="T396" s="56" t="s">
        <v>2337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1645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2338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2339</v>
      </c>
      <c r="S397" s="56" t="s">
        <v>2340</v>
      </c>
      <c r="T397" s="56" t="s">
        <v>2341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1645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2342</v>
      </c>
      <c r="S398" s="56" t="s">
        <v>2343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1645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1717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2344</v>
      </c>
      <c r="S399" s="56" t="s">
        <v>2345</v>
      </c>
      <c r="T399" s="56" t="s">
        <v>2346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1645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1718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2347</v>
      </c>
      <c r="S400" s="56" t="s">
        <v>2348</v>
      </c>
      <c r="T400" s="56" t="s">
        <v>2349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1645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2350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2351</v>
      </c>
      <c r="S401" s="56" t="s">
        <v>2352</v>
      </c>
      <c r="T401" s="56" t="s">
        <v>2353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7AA2-2618-4C96-B3A6-4EEF748D0599}">
  <dimension ref="A1:AH956"/>
  <sheetViews>
    <sheetView workbookViewId="0"/>
  </sheetViews>
  <sheetFormatPr defaultColWidth="9" defaultRowHeight="18" x14ac:dyDescent="0.45"/>
  <cols>
    <col min="1" max="1" width="18.59765625" style="154" bestFit="1" customWidth="1"/>
    <col min="2" max="6" width="9" style="154"/>
    <col min="7" max="7" width="18.09765625" style="154" customWidth="1"/>
    <col min="8" max="8" width="13.59765625" style="154" bestFit="1" customWidth="1"/>
    <col min="9" max="9" width="9" style="154"/>
    <col min="10" max="10" width="21.59765625" style="29" bestFit="1" customWidth="1"/>
    <col min="11" max="16384" width="9" style="154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1645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2354</v>
      </c>
      <c r="S2" s="56" t="s">
        <v>2355</v>
      </c>
      <c r="T2" s="56" t="s">
        <v>2356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1645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2134</v>
      </c>
      <c r="N3" s="56">
        <v>2025</v>
      </c>
      <c r="O3" s="56"/>
      <c r="P3" s="56"/>
      <c r="Q3" s="56">
        <v>2513150030</v>
      </c>
      <c r="R3" s="56" t="s">
        <v>2357</v>
      </c>
      <c r="S3" s="56" t="s">
        <v>2358</v>
      </c>
      <c r="T3" s="56" t="s">
        <v>2359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1645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2360</v>
      </c>
      <c r="S4" s="56" t="s">
        <v>2361</v>
      </c>
      <c r="T4" s="56" t="s">
        <v>2362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1645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2363</v>
      </c>
      <c r="S5" s="56" t="s">
        <v>2364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1645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2365</v>
      </c>
      <c r="S6" s="56" t="s">
        <v>2366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1645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2367</v>
      </c>
      <c r="S7" s="56" t="s">
        <v>2368</v>
      </c>
      <c r="T7" s="56" t="s">
        <v>2172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1645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2338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2369</v>
      </c>
      <c r="S8" s="56" t="s">
        <v>2370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1645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2371</v>
      </c>
      <c r="N9" s="56">
        <v>2025</v>
      </c>
      <c r="O9" s="56"/>
      <c r="P9" s="56"/>
      <c r="Q9" s="56">
        <v>2513150036</v>
      </c>
      <c r="R9" s="56" t="s">
        <v>2372</v>
      </c>
      <c r="S9" s="56" t="s">
        <v>2373</v>
      </c>
      <c r="T9" s="56" t="s">
        <v>2374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1645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2375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2376</v>
      </c>
      <c r="S10" s="56" t="s">
        <v>2377</v>
      </c>
      <c r="T10" s="56" t="s">
        <v>2378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1645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2379</v>
      </c>
      <c r="N11" s="56">
        <v>2025</v>
      </c>
      <c r="O11" s="56"/>
      <c r="P11" s="56"/>
      <c r="Q11" s="56">
        <v>2513150038</v>
      </c>
      <c r="R11" s="56" t="s">
        <v>2380</v>
      </c>
      <c r="S11" s="56" t="s">
        <v>2381</v>
      </c>
      <c r="T11" s="56" t="s">
        <v>2382</v>
      </c>
      <c r="U11" s="56">
        <v>0</v>
      </c>
      <c r="V11" s="56" t="s">
        <v>36</v>
      </c>
      <c r="W11" s="56" t="s">
        <v>2383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1645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1678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2384</v>
      </c>
      <c r="S12" s="56" t="s">
        <v>2385</v>
      </c>
      <c r="T12" s="56" t="s">
        <v>2386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1645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1717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2387</v>
      </c>
      <c r="S13" s="56" t="s">
        <v>2388</v>
      </c>
      <c r="T13" s="56" t="s">
        <v>2389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1645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2390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2391</v>
      </c>
      <c r="S14" s="56" t="s">
        <v>2392</v>
      </c>
      <c r="T14" s="56" t="s">
        <v>2393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1645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2394</v>
      </c>
      <c r="S15" s="56" t="s">
        <v>2395</v>
      </c>
      <c r="T15" s="56" t="s">
        <v>2396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1645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2397</v>
      </c>
      <c r="S16" s="56" t="s">
        <v>2398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1645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2399</v>
      </c>
      <c r="S17" s="56" t="s">
        <v>2400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1645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2401</v>
      </c>
      <c r="S18" s="56" t="s">
        <v>2402</v>
      </c>
      <c r="T18" s="56" t="s">
        <v>2403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1645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2404</v>
      </c>
      <c r="S19" s="56" t="s">
        <v>2405</v>
      </c>
      <c r="T19" s="56" t="s">
        <v>2406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1645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2407</v>
      </c>
      <c r="S20" s="56" t="s">
        <v>2408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1645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2720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2409</v>
      </c>
      <c r="S21" s="56" t="s">
        <v>2410</v>
      </c>
      <c r="T21" s="56" t="s">
        <v>2411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1645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2412</v>
      </c>
      <c r="S22" s="56" t="s">
        <v>2413</v>
      </c>
      <c r="T22" s="56" t="s">
        <v>2297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1645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2414</v>
      </c>
      <c r="S23" s="56" t="s">
        <v>2415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1645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2416</v>
      </c>
      <c r="S24" s="56" t="s">
        <v>2417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1645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2418</v>
      </c>
      <c r="S25" s="56" t="s">
        <v>2419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1645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2420</v>
      </c>
      <c r="S26" s="56" t="s">
        <v>2421</v>
      </c>
      <c r="T26" s="56" t="s">
        <v>2422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1645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2423</v>
      </c>
      <c r="S27" s="56" t="s">
        <v>2424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1645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2425</v>
      </c>
      <c r="S28" s="56" t="s">
        <v>2426</v>
      </c>
      <c r="T28" s="56" t="s">
        <v>2427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1645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1701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2428</v>
      </c>
      <c r="S29" s="56" t="s">
        <v>2429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1645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2430</v>
      </c>
      <c r="S30" s="56" t="s">
        <v>2431</v>
      </c>
      <c r="T30" s="56" t="s">
        <v>2432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1645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2433</v>
      </c>
      <c r="S31" s="56" t="s">
        <v>2434</v>
      </c>
      <c r="T31" s="56" t="s">
        <v>2435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1645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1682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2436</v>
      </c>
      <c r="S32" s="56" t="s">
        <v>2437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1645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2438</v>
      </c>
      <c r="S33" s="56" t="s">
        <v>2439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1645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2440</v>
      </c>
      <c r="S34" s="56" t="s">
        <v>2441</v>
      </c>
      <c r="T34" s="56" t="s">
        <v>2442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1645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2443</v>
      </c>
      <c r="S35" s="56" t="s">
        <v>2444</v>
      </c>
      <c r="T35" s="56" t="s">
        <v>2445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1645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2446</v>
      </c>
      <c r="S36" s="56" t="s">
        <v>2447</v>
      </c>
      <c r="T36" s="56" t="s">
        <v>2301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1645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2448</v>
      </c>
      <c r="S37" s="56" t="s">
        <v>2449</v>
      </c>
      <c r="T37" s="56" t="s">
        <v>2450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1645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2451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2452</v>
      </c>
      <c r="S38" s="56" t="s">
        <v>2453</v>
      </c>
      <c r="T38" s="56" t="s">
        <v>2454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1645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2455</v>
      </c>
      <c r="S39" s="56" t="s">
        <v>2456</v>
      </c>
      <c r="T39" s="56" t="s">
        <v>2457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1645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2458</v>
      </c>
      <c r="S40" s="56" t="s">
        <v>2459</v>
      </c>
      <c r="T40" s="56" t="s">
        <v>2460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1645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2461</v>
      </c>
      <c r="S41" s="56" t="s">
        <v>2462</v>
      </c>
      <c r="T41" s="56" t="s">
        <v>2294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1645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2463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2464</v>
      </c>
      <c r="S42" s="56" t="s">
        <v>2465</v>
      </c>
      <c r="T42" s="56" t="s">
        <v>2466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1645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2291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2467</v>
      </c>
      <c r="S43" s="56" t="s">
        <v>2468</v>
      </c>
      <c r="T43" s="56" t="s">
        <v>2469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1645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2470</v>
      </c>
      <c r="S44" s="56" t="s">
        <v>2471</v>
      </c>
      <c r="T44" s="56" t="s">
        <v>2472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1645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2473</v>
      </c>
      <c r="S45" s="56" t="s">
        <v>2474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1645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2475</v>
      </c>
      <c r="S46" s="56" t="s">
        <v>2476</v>
      </c>
      <c r="T46" s="56" t="s">
        <v>2477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1645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2478</v>
      </c>
      <c r="S47" s="56" t="s">
        <v>2479</v>
      </c>
      <c r="T47" s="56" t="s">
        <v>2480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1645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2481</v>
      </c>
      <c r="S48" s="56" t="s">
        <v>2482</v>
      </c>
      <c r="T48" s="56" t="s">
        <v>2353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1645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2483</v>
      </c>
      <c r="S49" s="56" t="s">
        <v>2484</v>
      </c>
      <c r="T49" s="56" t="s">
        <v>2485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1645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2486</v>
      </c>
      <c r="S50" s="56" t="s">
        <v>2487</v>
      </c>
      <c r="T50" s="56" t="s">
        <v>1361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1645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2488</v>
      </c>
      <c r="S51" s="56" t="s">
        <v>2489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1645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2490</v>
      </c>
      <c r="N52" s="56">
        <v>2025</v>
      </c>
      <c r="O52" s="56"/>
      <c r="P52" s="56"/>
      <c r="Q52" s="56">
        <v>2513150079</v>
      </c>
      <c r="R52" s="56" t="s">
        <v>2491</v>
      </c>
      <c r="S52" s="56" t="s">
        <v>2492</v>
      </c>
      <c r="T52" s="56" t="s">
        <v>2493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1645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2379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2494</v>
      </c>
      <c r="S53" s="56" t="s">
        <v>2495</v>
      </c>
      <c r="T53" s="56" t="s">
        <v>2496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1645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2497</v>
      </c>
      <c r="S54" s="56" t="s">
        <v>2498</v>
      </c>
      <c r="T54" s="56" t="s">
        <v>2499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1645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2500</v>
      </c>
      <c r="S55" s="56" t="s">
        <v>2501</v>
      </c>
      <c r="T55" s="56" t="s">
        <v>2502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1645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2503</v>
      </c>
      <c r="S56" s="56" t="s">
        <v>2504</v>
      </c>
      <c r="T56" s="56" t="s">
        <v>2505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1645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2506</v>
      </c>
      <c r="S57" s="56" t="s">
        <v>2507</v>
      </c>
      <c r="T57" s="56" t="s">
        <v>2508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1645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2509</v>
      </c>
      <c r="S58" s="56" t="s">
        <v>2510</v>
      </c>
      <c r="T58" s="56" t="s">
        <v>2511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1645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1678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2512</v>
      </c>
      <c r="S59" s="56" t="s">
        <v>2513</v>
      </c>
      <c r="T59" s="56" t="s">
        <v>2514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1645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2515</v>
      </c>
      <c r="S60" s="56" t="s">
        <v>2516</v>
      </c>
      <c r="T60" s="56" t="s">
        <v>1363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1645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2517</v>
      </c>
      <c r="S61" s="56" t="s">
        <v>2518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1645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2519</v>
      </c>
      <c r="S62" s="56" t="s">
        <v>2520</v>
      </c>
      <c r="T62" s="56" t="s">
        <v>2521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1645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2522</v>
      </c>
      <c r="S63" s="56" t="s">
        <v>2523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1645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2524</v>
      </c>
      <c r="S64" s="56" t="s">
        <v>2525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1645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2526</v>
      </c>
      <c r="S65" s="56" t="s">
        <v>2527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1645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2528</v>
      </c>
      <c r="S66" s="56" t="s">
        <v>2529</v>
      </c>
      <c r="T66" s="56" t="s">
        <v>2530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1645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2531</v>
      </c>
      <c r="S67" s="56" t="s">
        <v>2532</v>
      </c>
      <c r="T67" s="56" t="s">
        <v>2533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1645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2534</v>
      </c>
      <c r="S68" s="56" t="s">
        <v>2535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1645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2536</v>
      </c>
      <c r="S69" s="56" t="s">
        <v>2537</v>
      </c>
      <c r="T69" s="56" t="s">
        <v>2538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1645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2539</v>
      </c>
      <c r="S70" s="56" t="s">
        <v>2540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1645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2541</v>
      </c>
      <c r="S71" s="56" t="s">
        <v>2542</v>
      </c>
      <c r="T71" s="56" t="s">
        <v>2543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1645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2544</v>
      </c>
      <c r="S72" s="56" t="s">
        <v>2545</v>
      </c>
      <c r="T72" s="56" t="s">
        <v>2546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1645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2547</v>
      </c>
      <c r="S73" s="56" t="s">
        <v>2548</v>
      </c>
      <c r="T73" s="56" t="s">
        <v>2549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1645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1645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2550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2551</v>
      </c>
      <c r="S75" s="56" t="s">
        <v>2552</v>
      </c>
      <c r="T75" s="56" t="s">
        <v>2553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1645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2554</v>
      </c>
      <c r="S76" s="56" t="s">
        <v>2555</v>
      </c>
      <c r="T76" s="56" t="s">
        <v>2143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1645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2556</v>
      </c>
      <c r="S77" s="56" t="s">
        <v>2557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1645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2558</v>
      </c>
      <c r="N78" s="56">
        <v>2025</v>
      </c>
      <c r="O78" s="56"/>
      <c r="P78" s="56"/>
      <c r="Q78" s="56">
        <v>2513150105</v>
      </c>
      <c r="R78" s="56" t="s">
        <v>2559</v>
      </c>
      <c r="S78" s="56" t="s">
        <v>2560</v>
      </c>
      <c r="T78" s="56" t="s">
        <v>2561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1645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2562</v>
      </c>
      <c r="S79" s="56" t="s">
        <v>2563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1645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2564</v>
      </c>
      <c r="S80" s="56" t="s">
        <v>2565</v>
      </c>
      <c r="T80" s="56" t="s">
        <v>2566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1645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2567</v>
      </c>
      <c r="S81" s="56" t="s">
        <v>2568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1645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2569</v>
      </c>
      <c r="S82" s="56" t="s">
        <v>2570</v>
      </c>
      <c r="T82" s="56" t="s">
        <v>2571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1645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2572</v>
      </c>
      <c r="S83" s="56" t="s">
        <v>2573</v>
      </c>
      <c r="T83" s="56" t="s">
        <v>2574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1645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2575</v>
      </c>
      <c r="S84" s="56" t="s">
        <v>2576</v>
      </c>
      <c r="T84" s="56" t="s">
        <v>2577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1645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2578</v>
      </c>
      <c r="S85" s="56" t="s">
        <v>2579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1645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2580</v>
      </c>
      <c r="S86" s="56" t="s">
        <v>2581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1645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2582</v>
      </c>
      <c r="S87" s="56" t="s">
        <v>2583</v>
      </c>
      <c r="T87" s="56" t="s">
        <v>2574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1645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2584</v>
      </c>
      <c r="S88" s="56" t="s">
        <v>2585</v>
      </c>
      <c r="T88" s="56" t="s">
        <v>2586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1645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2587</v>
      </c>
      <c r="S89" s="56" t="s">
        <v>2588</v>
      </c>
      <c r="T89" s="56" t="s">
        <v>2589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1645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2590</v>
      </c>
      <c r="S90" s="56" t="s">
        <v>2591</v>
      </c>
      <c r="T90" s="56" t="s">
        <v>2592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1645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2593</v>
      </c>
      <c r="S91" s="56" t="s">
        <v>2594</v>
      </c>
      <c r="T91" s="56" t="s">
        <v>2294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1645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2595</v>
      </c>
      <c r="S92" s="56" t="s">
        <v>2596</v>
      </c>
      <c r="T92" s="56" t="s">
        <v>2597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1645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2017</v>
      </c>
      <c r="N93" s="56">
        <v>2025</v>
      </c>
      <c r="O93" s="56"/>
      <c r="P93" s="56"/>
      <c r="Q93" s="56">
        <v>2513150120</v>
      </c>
      <c r="R93" s="56" t="s">
        <v>2598</v>
      </c>
      <c r="S93" s="56" t="s">
        <v>2599</v>
      </c>
      <c r="T93" s="56" t="s">
        <v>2600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1645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2601</v>
      </c>
      <c r="S94" s="56" t="s">
        <v>2602</v>
      </c>
      <c r="T94" s="56" t="s">
        <v>2603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1645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2134</v>
      </c>
      <c r="N95" s="56">
        <v>2025</v>
      </c>
      <c r="O95" s="56"/>
      <c r="P95" s="56"/>
      <c r="Q95" s="56">
        <v>2513150122</v>
      </c>
      <c r="R95" s="56" t="s">
        <v>2604</v>
      </c>
      <c r="S95" s="56" t="s">
        <v>2605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1645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2134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2606</v>
      </c>
      <c r="S96" s="56" t="s">
        <v>2607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1645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2608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2609</v>
      </c>
      <c r="S97" s="56" t="s">
        <v>2610</v>
      </c>
      <c r="T97" s="56" t="s">
        <v>2721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1645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2611</v>
      </c>
      <c r="S98" s="56" t="s">
        <v>2612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1645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2613</v>
      </c>
      <c r="S99" s="56" t="s">
        <v>2614</v>
      </c>
      <c r="T99" s="56" t="s">
        <v>2615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1645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2616</v>
      </c>
      <c r="S100" s="56" t="s">
        <v>2617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1645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2618</v>
      </c>
      <c r="S101" s="56" t="s">
        <v>2619</v>
      </c>
      <c r="T101" s="56" t="s">
        <v>2620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1645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2621</v>
      </c>
      <c r="S102" s="56" t="s">
        <v>2622</v>
      </c>
      <c r="T102" s="56" t="s">
        <v>2623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1645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2624</v>
      </c>
      <c r="S103" s="56" t="s">
        <v>2625</v>
      </c>
      <c r="T103" s="56" t="s">
        <v>2626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1645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2627</v>
      </c>
      <c r="S104" s="56" t="s">
        <v>2628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1645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2629</v>
      </c>
      <c r="S105" s="56" t="s">
        <v>2630</v>
      </c>
      <c r="T105" s="56" t="s">
        <v>2631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1645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2632</v>
      </c>
      <c r="S106" s="56" t="s">
        <v>2633</v>
      </c>
      <c r="T106" s="56" t="s">
        <v>2634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1645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2635</v>
      </c>
      <c r="S107" s="56" t="s">
        <v>2636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1645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2637</v>
      </c>
      <c r="S108" s="56" t="s">
        <v>2638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1645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2639</v>
      </c>
      <c r="S109" s="56" t="s">
        <v>2640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1645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2641</v>
      </c>
      <c r="S110" s="56" t="s">
        <v>2642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1645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1985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2643</v>
      </c>
      <c r="S111" s="56" t="s">
        <v>2644</v>
      </c>
      <c r="T111" s="56" t="s">
        <v>2645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1645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1717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2646</v>
      </c>
      <c r="S112" s="56" t="s">
        <v>2647</v>
      </c>
      <c r="T112" s="56" t="s">
        <v>2133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1645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2648</v>
      </c>
      <c r="S113" s="56" t="s">
        <v>2649</v>
      </c>
      <c r="T113" s="56" t="s">
        <v>2650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1645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2651</v>
      </c>
      <c r="S114" s="56" t="s">
        <v>2652</v>
      </c>
      <c r="T114" s="56" t="s">
        <v>2653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1645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2654</v>
      </c>
      <c r="S115" s="56" t="s">
        <v>2655</v>
      </c>
      <c r="T115" s="56" t="s">
        <v>2656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1645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2657</v>
      </c>
      <c r="S116" s="56" t="s">
        <v>2658</v>
      </c>
      <c r="T116" s="56" t="s">
        <v>2353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1645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2664</v>
      </c>
      <c r="S117" s="56" t="s">
        <v>2665</v>
      </c>
      <c r="T117" s="56" t="s">
        <v>1495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1645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2666</v>
      </c>
      <c r="S118" s="56" t="s">
        <v>2667</v>
      </c>
      <c r="T118" s="56" t="s">
        <v>2668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1645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1717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2017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2669</v>
      </c>
      <c r="S119" s="56" t="s">
        <v>2670</v>
      </c>
      <c r="T119" s="56" t="s">
        <v>2671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1645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2672</v>
      </c>
      <c r="S120" s="56" t="s">
        <v>2673</v>
      </c>
      <c r="T120" s="56" t="s">
        <v>2674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1645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2701</v>
      </c>
      <c r="S121" s="56" t="s">
        <v>2702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1645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2711</v>
      </c>
      <c r="S122" s="56" t="s">
        <v>2712</v>
      </c>
      <c r="T122" s="56" t="s">
        <v>2713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1645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2714</v>
      </c>
      <c r="S123" s="56" t="s">
        <v>2715</v>
      </c>
      <c r="T123" s="56" t="s">
        <v>2716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1645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2722</v>
      </c>
      <c r="S124" s="56" t="s">
        <v>2723</v>
      </c>
      <c r="T124" s="56" t="s">
        <v>2577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1645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2724</v>
      </c>
      <c r="S125" s="56" t="s">
        <v>2725</v>
      </c>
      <c r="T125" s="56" t="s">
        <v>1574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1645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2726</v>
      </c>
      <c r="S126" s="56" t="s">
        <v>2727</v>
      </c>
      <c r="T126" s="56" t="s">
        <v>2728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1645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2729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2730</v>
      </c>
      <c r="S127" s="56" t="s">
        <v>2731</v>
      </c>
      <c r="T127" s="56" t="s">
        <v>2760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1645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2732</v>
      </c>
      <c r="S128" s="56" t="s">
        <v>2733</v>
      </c>
      <c r="T128" s="56" t="s">
        <v>2225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1645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2734</v>
      </c>
      <c r="S129" s="56" t="s">
        <v>2735</v>
      </c>
      <c r="T129" s="56" t="s">
        <v>2736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1645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1717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2737</v>
      </c>
      <c r="S130" s="56" t="s">
        <v>2738</v>
      </c>
      <c r="T130" s="56" t="s">
        <v>2739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1645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2740</v>
      </c>
      <c r="N131" s="56">
        <v>2025</v>
      </c>
      <c r="O131" s="56"/>
      <c r="P131" s="56"/>
      <c r="Q131" s="56">
        <v>2513150158</v>
      </c>
      <c r="R131" s="56" t="s">
        <v>2741</v>
      </c>
      <c r="S131" s="56" t="s">
        <v>2742</v>
      </c>
      <c r="T131" s="56" t="s">
        <v>2743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1645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2338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2761</v>
      </c>
      <c r="S132" s="56" t="s">
        <v>2762</v>
      </c>
      <c r="T132" s="56" t="s">
        <v>1558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1645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1646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1647</v>
      </c>
      <c r="S133" s="56" t="s">
        <v>1648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1645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1649</v>
      </c>
      <c r="S134" s="56" t="s">
        <v>1650</v>
      </c>
      <c r="T134" s="56" t="s">
        <v>1651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1645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1652</v>
      </c>
      <c r="S135" s="56" t="s">
        <v>1653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1645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1654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1655</v>
      </c>
      <c r="S136" s="56" t="s">
        <v>1656</v>
      </c>
      <c r="T136" s="56" t="s">
        <v>1657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1645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1658</v>
      </c>
      <c r="N137" s="56">
        <v>2025</v>
      </c>
      <c r="O137" s="56"/>
      <c r="P137" s="56"/>
      <c r="Q137" s="56">
        <v>2505750005</v>
      </c>
      <c r="R137" s="56" t="s">
        <v>1659</v>
      </c>
      <c r="S137" s="56" t="s">
        <v>1660</v>
      </c>
      <c r="T137" s="56" t="s">
        <v>1661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1645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1662</v>
      </c>
      <c r="S138" s="56" t="s">
        <v>1663</v>
      </c>
      <c r="T138" s="56" t="s">
        <v>1664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1645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1665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1666</v>
      </c>
      <c r="S139" s="56" t="s">
        <v>1667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1645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1668</v>
      </c>
      <c r="S140" s="56" t="s">
        <v>1669</v>
      </c>
      <c r="T140" s="56" t="s">
        <v>1670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1645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1671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1672</v>
      </c>
      <c r="S141" s="56" t="s">
        <v>1673</v>
      </c>
      <c r="T141" s="56" t="s">
        <v>1674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1645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1675</v>
      </c>
      <c r="S142" s="56" t="s">
        <v>1676</v>
      </c>
      <c r="T142" s="56" t="s">
        <v>1677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1645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1678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1679</v>
      </c>
      <c r="S143" s="56" t="s">
        <v>1680</v>
      </c>
      <c r="T143" s="56" t="s">
        <v>1681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1645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1682</v>
      </c>
      <c r="N144" s="56">
        <v>2025</v>
      </c>
      <c r="O144" s="56"/>
      <c r="P144" s="56"/>
      <c r="Q144" s="56">
        <v>2505750012</v>
      </c>
      <c r="R144" s="56" t="s">
        <v>1683</v>
      </c>
      <c r="S144" s="56" t="s">
        <v>1684</v>
      </c>
      <c r="T144" s="56" t="s">
        <v>1685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1645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1686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1687</v>
      </c>
      <c r="S145" s="56" t="s">
        <v>1688</v>
      </c>
      <c r="T145" s="56" t="s">
        <v>1689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1645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1690</v>
      </c>
      <c r="S146" s="56" t="s">
        <v>1691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1645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1692</v>
      </c>
      <c r="S147" s="56" t="s">
        <v>1693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1645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1694</v>
      </c>
      <c r="S148" s="56" t="s">
        <v>1695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1645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1696</v>
      </c>
      <c r="S149" s="56" t="s">
        <v>1697</v>
      </c>
      <c r="T149" s="56" t="s">
        <v>1698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1645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1699</v>
      </c>
      <c r="S150" s="56" t="s">
        <v>1700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1645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1701</v>
      </c>
      <c r="N151" s="56">
        <v>2025</v>
      </c>
      <c r="O151" s="56"/>
      <c r="P151" s="56"/>
      <c r="Q151" s="56">
        <v>2505750019</v>
      </c>
      <c r="R151" s="56" t="s">
        <v>1702</v>
      </c>
      <c r="S151" s="56" t="s">
        <v>1703</v>
      </c>
      <c r="T151" s="56" t="s">
        <v>1704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1645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1705</v>
      </c>
      <c r="S152" s="56" t="s">
        <v>1706</v>
      </c>
      <c r="T152" s="56" t="s">
        <v>1707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1645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1708</v>
      </c>
      <c r="S153" s="56" t="s">
        <v>1709</v>
      </c>
      <c r="T153" s="56" t="s">
        <v>1710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1645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1711</v>
      </c>
      <c r="S154" s="56" t="s">
        <v>1712</v>
      </c>
      <c r="T154" s="56" t="s">
        <v>1713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1645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1714</v>
      </c>
      <c r="S155" s="56" t="s">
        <v>1715</v>
      </c>
      <c r="T155" s="56" t="s">
        <v>1716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1645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1717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1718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1719</v>
      </c>
      <c r="S156" s="56" t="s">
        <v>1720</v>
      </c>
      <c r="T156" s="56" t="s">
        <v>1721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1645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1722</v>
      </c>
      <c r="N157" s="56">
        <v>2025</v>
      </c>
      <c r="O157" s="56"/>
      <c r="P157" s="56"/>
      <c r="Q157" s="56">
        <v>2505750025</v>
      </c>
      <c r="R157" s="56" t="s">
        <v>1723</v>
      </c>
      <c r="S157" s="56" t="s">
        <v>1724</v>
      </c>
      <c r="T157" s="56" t="s">
        <v>1725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1645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1726</v>
      </c>
      <c r="S158" s="56" t="s">
        <v>1727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1645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1728</v>
      </c>
      <c r="S159" s="56" t="s">
        <v>1729</v>
      </c>
      <c r="T159" s="56" t="s">
        <v>1730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1645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1731</v>
      </c>
      <c r="S160" s="56" t="s">
        <v>1732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1645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1733</v>
      </c>
      <c r="S161" s="56" t="s">
        <v>1734</v>
      </c>
      <c r="T161" s="56" t="s">
        <v>1735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1645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1665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1736</v>
      </c>
      <c r="S162" s="56" t="s">
        <v>1737</v>
      </c>
      <c r="T162" s="56" t="s">
        <v>1738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1645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1739</v>
      </c>
      <c r="S163" s="56" t="s">
        <v>1740</v>
      </c>
      <c r="T163" s="56" t="s">
        <v>1741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1645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1742</v>
      </c>
      <c r="S164" s="56" t="s">
        <v>1743</v>
      </c>
      <c r="T164" s="56" t="s">
        <v>1744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1645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1745</v>
      </c>
      <c r="S165" s="56" t="s">
        <v>1746</v>
      </c>
      <c r="T165" s="56" t="s">
        <v>2043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1645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1747</v>
      </c>
      <c r="S166" s="56" t="s">
        <v>1748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1645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1749</v>
      </c>
      <c r="S167" s="56" t="s">
        <v>1750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1645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1751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1752</v>
      </c>
      <c r="S168" s="56" t="s">
        <v>1753</v>
      </c>
      <c r="T168" s="56" t="s">
        <v>1754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1645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1755</v>
      </c>
      <c r="S169" s="56" t="s">
        <v>1756</v>
      </c>
      <c r="T169" s="56" t="s">
        <v>1757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1645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1758</v>
      </c>
      <c r="S170" s="56" t="s">
        <v>1759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1645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1760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1761</v>
      </c>
      <c r="S171" s="56" t="s">
        <v>1762</v>
      </c>
      <c r="T171" s="56" t="s">
        <v>1763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1645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1764</v>
      </c>
      <c r="N172" s="56">
        <v>2025</v>
      </c>
      <c r="O172" s="56"/>
      <c r="P172" s="56"/>
      <c r="Q172" s="56">
        <v>2505750040</v>
      </c>
      <c r="R172" s="56" t="s">
        <v>1765</v>
      </c>
      <c r="S172" s="56" t="s">
        <v>1766</v>
      </c>
      <c r="T172" s="56" t="s">
        <v>1767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1645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1768</v>
      </c>
      <c r="S173" s="56" t="s">
        <v>1769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1645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1770</v>
      </c>
      <c r="S174" s="56" t="s">
        <v>1771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1645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1772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1773</v>
      </c>
      <c r="S175" s="56" t="s">
        <v>1774</v>
      </c>
      <c r="T175" s="56" t="s">
        <v>1775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1645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1776</v>
      </c>
      <c r="S176" s="56" t="s">
        <v>1777</v>
      </c>
      <c r="T176" s="56" t="s">
        <v>1778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1645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1779</v>
      </c>
      <c r="S177" s="56" t="s">
        <v>1780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1645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1781</v>
      </c>
      <c r="S178" s="56" t="s">
        <v>1782</v>
      </c>
      <c r="T178" s="56" t="s">
        <v>1783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1645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1784</v>
      </c>
      <c r="S179" s="56" t="s">
        <v>1785</v>
      </c>
      <c r="T179" s="56" t="s">
        <v>1786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1645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1787</v>
      </c>
      <c r="S180" s="56" t="s">
        <v>1788</v>
      </c>
      <c r="T180" s="56" t="s">
        <v>1789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1645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1790</v>
      </c>
      <c r="S181" s="56" t="s">
        <v>1791</v>
      </c>
      <c r="T181" s="56" t="s">
        <v>1792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1645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1793</v>
      </c>
      <c r="S182" s="56" t="s">
        <v>1794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1645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1795</v>
      </c>
      <c r="S183" s="56" t="s">
        <v>1796</v>
      </c>
      <c r="T183" s="56" t="s">
        <v>1797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1645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1798</v>
      </c>
      <c r="S184" s="56" t="s">
        <v>1799</v>
      </c>
      <c r="T184" s="56" t="s">
        <v>1800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1645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1801</v>
      </c>
      <c r="S185" s="56" t="s">
        <v>1802</v>
      </c>
      <c r="T185" s="56" t="s">
        <v>1803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1645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1804</v>
      </c>
      <c r="S186" s="56" t="s">
        <v>1805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1645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1806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1807</v>
      </c>
      <c r="S187" s="56" t="s">
        <v>1808</v>
      </c>
      <c r="T187" s="56" t="s">
        <v>1809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1645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1810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1811</v>
      </c>
      <c r="S188" s="56" t="s">
        <v>1812</v>
      </c>
      <c r="T188" s="56" t="s">
        <v>1813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1645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1814</v>
      </c>
      <c r="S189" s="56" t="s">
        <v>1815</v>
      </c>
      <c r="T189" s="56" t="s">
        <v>1816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1645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1817</v>
      </c>
      <c r="S190" s="56" t="s">
        <v>1818</v>
      </c>
      <c r="T190" s="56" t="s">
        <v>1819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1645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1820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1821</v>
      </c>
      <c r="S191" s="56" t="s">
        <v>1822</v>
      </c>
      <c r="T191" s="56" t="s">
        <v>1823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1645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1717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1824</v>
      </c>
      <c r="S192" s="56" t="s">
        <v>1825</v>
      </c>
      <c r="T192" s="56" t="s">
        <v>1826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1645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1827</v>
      </c>
      <c r="S193" s="56" t="s">
        <v>1828</v>
      </c>
      <c r="T193" s="56" t="s">
        <v>1829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1645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1830</v>
      </c>
      <c r="S194" s="56" t="s">
        <v>1831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1645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1832</v>
      </c>
      <c r="S195" s="56" t="s">
        <v>1833</v>
      </c>
      <c r="T195" s="56" t="s">
        <v>1834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1645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1835</v>
      </c>
      <c r="S196" s="56" t="s">
        <v>1836</v>
      </c>
      <c r="T196" s="56" t="s">
        <v>1837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1645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1838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1839</v>
      </c>
      <c r="S197" s="56" t="s">
        <v>1840</v>
      </c>
      <c r="T197" s="56" t="s">
        <v>1841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1645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1842</v>
      </c>
      <c r="S198" s="56" t="s">
        <v>1843</v>
      </c>
      <c r="T198" s="56" t="s">
        <v>1844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1645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1845</v>
      </c>
      <c r="S199" s="56" t="s">
        <v>1846</v>
      </c>
      <c r="T199" s="56" t="s">
        <v>1744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1645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1847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1848</v>
      </c>
      <c r="S200" s="56" t="s">
        <v>1849</v>
      </c>
      <c r="T200" s="56" t="s">
        <v>1850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1645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1851</v>
      </c>
      <c r="S201" s="56" t="s">
        <v>1852</v>
      </c>
      <c r="T201" s="56" t="s">
        <v>1853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1645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1854</v>
      </c>
      <c r="S202" s="56" t="s">
        <v>1855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1645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1856</v>
      </c>
      <c r="S203" s="56" t="s">
        <v>1857</v>
      </c>
      <c r="T203" s="56" t="s">
        <v>1858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1645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1859</v>
      </c>
      <c r="S204" s="56" t="s">
        <v>1860</v>
      </c>
      <c r="T204" s="56" t="s">
        <v>1861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1645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1862</v>
      </c>
      <c r="S205" s="56" t="s">
        <v>1863</v>
      </c>
      <c r="T205" s="56" t="s">
        <v>1360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1645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2763</v>
      </c>
      <c r="S206" s="56" t="s">
        <v>2764</v>
      </c>
      <c r="T206" s="56" t="s">
        <v>1864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1645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1678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1865</v>
      </c>
      <c r="N207" s="56">
        <v>2025</v>
      </c>
      <c r="O207" s="56"/>
      <c r="P207" s="56"/>
      <c r="Q207" s="56">
        <v>2505750075</v>
      </c>
      <c r="R207" s="56" t="s">
        <v>1866</v>
      </c>
      <c r="S207" s="56" t="s">
        <v>1867</v>
      </c>
      <c r="T207" s="56" t="s">
        <v>1868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1645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1869</v>
      </c>
      <c r="S208" s="56" t="s">
        <v>1870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1645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1871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1872</v>
      </c>
      <c r="S209" s="56" t="s">
        <v>1873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1645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1921</v>
      </c>
      <c r="M210" s="56" t="s">
        <v>1922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1874</v>
      </c>
      <c r="S210" s="56" t="s">
        <v>1875</v>
      </c>
      <c r="T210" s="56" t="s">
        <v>1876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1645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1877</v>
      </c>
      <c r="S211" s="56" t="s">
        <v>1878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1645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1879</v>
      </c>
      <c r="S212" s="56" t="s">
        <v>1880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1645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1678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1881</v>
      </c>
      <c r="S213" s="56" t="s">
        <v>1882</v>
      </c>
      <c r="T213" s="56" t="s">
        <v>1883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1645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1884</v>
      </c>
      <c r="S214" s="56" t="s">
        <v>1885</v>
      </c>
      <c r="T214" s="56" t="s">
        <v>1886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1645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1887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1888</v>
      </c>
      <c r="S215" s="56" t="s">
        <v>1889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1645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1890</v>
      </c>
      <c r="N216" s="56">
        <v>2025</v>
      </c>
      <c r="O216" s="56"/>
      <c r="P216" s="56"/>
      <c r="Q216" s="56">
        <v>2505750084</v>
      </c>
      <c r="R216" s="56" t="s">
        <v>1891</v>
      </c>
      <c r="S216" s="56" t="s">
        <v>1892</v>
      </c>
      <c r="T216" s="56" t="s">
        <v>1893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1645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1894</v>
      </c>
      <c r="S217" s="56" t="s">
        <v>1895</v>
      </c>
      <c r="T217" s="56" t="s">
        <v>1896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1645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1820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1897</v>
      </c>
      <c r="M218" s="56" t="s">
        <v>1898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1899</v>
      </c>
      <c r="S218" s="56" t="s">
        <v>1900</v>
      </c>
      <c r="T218" s="56" t="s">
        <v>1901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1645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1902</v>
      </c>
      <c r="S219" s="56" t="s">
        <v>1903</v>
      </c>
      <c r="T219" s="56" t="s">
        <v>1904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1645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1905</v>
      </c>
      <c r="S220" s="56" t="s">
        <v>1906</v>
      </c>
      <c r="T220" s="56" t="s">
        <v>1738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1645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1907</v>
      </c>
      <c r="S221" s="56" t="s">
        <v>1908</v>
      </c>
      <c r="T221" s="56" t="s">
        <v>1909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1645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1910</v>
      </c>
      <c r="S222" s="56" t="s">
        <v>1911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1645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1912</v>
      </c>
      <c r="S223" s="56" t="s">
        <v>1913</v>
      </c>
      <c r="T223" s="56" t="s">
        <v>1914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1645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1915</v>
      </c>
      <c r="S224" s="56" t="s">
        <v>1916</v>
      </c>
      <c r="T224" s="56" t="s">
        <v>1917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1645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1918</v>
      </c>
      <c r="S225" s="56" t="s">
        <v>1919</v>
      </c>
      <c r="T225" s="56" t="s">
        <v>1920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1645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1921</v>
      </c>
      <c r="M226" s="56" t="s">
        <v>1922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1923</v>
      </c>
      <c r="S226" s="56" t="s">
        <v>1924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1645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1925</v>
      </c>
      <c r="S227" s="56" t="s">
        <v>1926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1645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1927</v>
      </c>
      <c r="S228" s="56" t="s">
        <v>1928</v>
      </c>
      <c r="T228" s="56" t="s">
        <v>1929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1645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1930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1931</v>
      </c>
      <c r="S229" s="56" t="s">
        <v>1932</v>
      </c>
      <c r="T229" s="56" t="s">
        <v>1933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1645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1934</v>
      </c>
      <c r="S230" s="56" t="s">
        <v>1935</v>
      </c>
      <c r="T230" s="56" t="s">
        <v>1936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1645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1937</v>
      </c>
      <c r="S231" s="56" t="s">
        <v>1938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1645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1939</v>
      </c>
      <c r="N232" s="56">
        <v>2025</v>
      </c>
      <c r="O232" s="56"/>
      <c r="P232" s="56"/>
      <c r="Q232" s="56">
        <v>2505750100</v>
      </c>
      <c r="R232" s="56" t="s">
        <v>1940</v>
      </c>
      <c r="S232" s="56" t="s">
        <v>1941</v>
      </c>
      <c r="T232" s="56" t="s">
        <v>1942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1645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1943</v>
      </c>
      <c r="S233" s="56" t="s">
        <v>1944</v>
      </c>
      <c r="T233" s="56" t="s">
        <v>1786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1645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1945</v>
      </c>
      <c r="S234" s="56" t="s">
        <v>1946</v>
      </c>
      <c r="T234" s="56" t="s">
        <v>1947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1645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1665</v>
      </c>
      <c r="N235" s="56">
        <v>2025</v>
      </c>
      <c r="O235" s="56"/>
      <c r="P235" s="56"/>
      <c r="Q235" s="56">
        <v>2505750103</v>
      </c>
      <c r="R235" s="56" t="s">
        <v>1948</v>
      </c>
      <c r="S235" s="56" t="s">
        <v>1949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1645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1950</v>
      </c>
      <c r="S236" s="56" t="s">
        <v>1951</v>
      </c>
      <c r="T236" s="56" t="s">
        <v>1952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1645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1953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1954</v>
      </c>
      <c r="S237" s="56" t="s">
        <v>1955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1645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1956</v>
      </c>
      <c r="S238" s="56" t="s">
        <v>1957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1645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1958</v>
      </c>
      <c r="S239" s="56" t="s">
        <v>1959</v>
      </c>
      <c r="T239" s="56" t="s">
        <v>1960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1645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1961</v>
      </c>
      <c r="S240" s="56" t="s">
        <v>1962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1645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1963</v>
      </c>
      <c r="S241" s="56" t="s">
        <v>1964</v>
      </c>
      <c r="T241" s="56" t="s">
        <v>1965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1645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1966</v>
      </c>
      <c r="S242" s="56" t="s">
        <v>1967</v>
      </c>
      <c r="T242" s="56" t="s">
        <v>1968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1645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1969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1970</v>
      </c>
      <c r="S243" s="56" t="s">
        <v>1971</v>
      </c>
      <c r="T243" s="56" t="s">
        <v>1929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1645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1972</v>
      </c>
      <c r="S244" s="56" t="s">
        <v>1973</v>
      </c>
      <c r="T244" s="56" t="s">
        <v>1974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1645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1764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1975</v>
      </c>
      <c r="S245" s="56" t="s">
        <v>1976</v>
      </c>
      <c r="T245" s="56" t="s">
        <v>1977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1645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1978</v>
      </c>
      <c r="S246" s="56" t="s">
        <v>1979</v>
      </c>
      <c r="T246" s="56" t="s">
        <v>1980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1645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1981</v>
      </c>
      <c r="N247" s="56">
        <v>2025</v>
      </c>
      <c r="O247" s="56"/>
      <c r="P247" s="56"/>
      <c r="Q247" s="56">
        <v>2505750115</v>
      </c>
      <c r="R247" s="56" t="s">
        <v>1982</v>
      </c>
      <c r="S247" s="56" t="s">
        <v>1983</v>
      </c>
      <c r="T247" s="56" t="s">
        <v>1984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1645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1985</v>
      </c>
      <c r="N248" s="56">
        <v>2025</v>
      </c>
      <c r="O248" s="56"/>
      <c r="P248" s="56"/>
      <c r="Q248" s="56">
        <v>2505750116</v>
      </c>
      <c r="R248" s="56" t="s">
        <v>1986</v>
      </c>
      <c r="S248" s="56" t="s">
        <v>1987</v>
      </c>
      <c r="T248" s="56" t="s">
        <v>1988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1645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1989</v>
      </c>
      <c r="S249" s="56" t="s">
        <v>1990</v>
      </c>
      <c r="T249" s="56" t="s">
        <v>1991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1645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1992</v>
      </c>
      <c r="S250" s="56" t="s">
        <v>1993</v>
      </c>
      <c r="T250" s="56" t="s">
        <v>1994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1645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1995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1996</v>
      </c>
      <c r="S251" s="56" t="s">
        <v>1997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1645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1998</v>
      </c>
      <c r="S252" s="56" t="s">
        <v>1999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1645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2000</v>
      </c>
      <c r="S253" s="56" t="s">
        <v>2001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1645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2002</v>
      </c>
      <c r="S254" s="56" t="s">
        <v>2003</v>
      </c>
      <c r="T254" s="56" t="s">
        <v>1792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1645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2004</v>
      </c>
      <c r="S255" s="56" t="s">
        <v>2005</v>
      </c>
      <c r="T255" s="56" t="s">
        <v>2006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1645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2007</v>
      </c>
      <c r="S256" s="56" t="s">
        <v>2008</v>
      </c>
      <c r="T256" s="56" t="s">
        <v>2009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1645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2010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2011</v>
      </c>
      <c r="S257" s="56" t="s">
        <v>2012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1645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2013</v>
      </c>
      <c r="N258" s="56">
        <v>2025</v>
      </c>
      <c r="O258" s="56"/>
      <c r="P258" s="56"/>
      <c r="Q258" s="56">
        <v>2505750126</v>
      </c>
      <c r="R258" s="56" t="s">
        <v>2014</v>
      </c>
      <c r="S258" s="56" t="s">
        <v>2015</v>
      </c>
      <c r="T258" s="56" t="s">
        <v>2016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1645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2017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2018</v>
      </c>
      <c r="S259" s="56" t="s">
        <v>2019</v>
      </c>
      <c r="T259" s="56" t="s">
        <v>2020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1645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2021</v>
      </c>
      <c r="S260" s="56" t="s">
        <v>2022</v>
      </c>
      <c r="T260" s="56" t="s">
        <v>2023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1645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2024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2025</v>
      </c>
      <c r="S261" s="56" t="s">
        <v>2026</v>
      </c>
      <c r="T261" s="56" t="s">
        <v>1710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1645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2027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2028</v>
      </c>
      <c r="S262" s="56" t="s">
        <v>2029</v>
      </c>
      <c r="T262" s="56" t="s">
        <v>2030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1645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2031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2032</v>
      </c>
      <c r="S263" s="56" t="s">
        <v>2033</v>
      </c>
      <c r="T263" s="56" t="s">
        <v>2703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1645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2034</v>
      </c>
      <c r="S264" s="56" t="s">
        <v>2035</v>
      </c>
      <c r="T264" s="56" t="s">
        <v>1738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1645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2036</v>
      </c>
      <c r="S265" s="56" t="s">
        <v>2037</v>
      </c>
      <c r="T265" s="56" t="s">
        <v>1710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1645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2038</v>
      </c>
      <c r="N266" s="56">
        <v>2025</v>
      </c>
      <c r="O266" s="56"/>
      <c r="P266" s="56"/>
      <c r="Q266" s="56">
        <v>2505750134</v>
      </c>
      <c r="R266" s="56" t="s">
        <v>2039</v>
      </c>
      <c r="S266" s="56" t="s">
        <v>2040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1645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2041</v>
      </c>
      <c r="S267" s="56" t="s">
        <v>2042</v>
      </c>
      <c r="T267" s="56" t="s">
        <v>2043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1645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2044</v>
      </c>
      <c r="N268" s="56">
        <v>2025</v>
      </c>
      <c r="O268" s="56"/>
      <c r="P268" s="56"/>
      <c r="Q268" s="56">
        <v>2505750136</v>
      </c>
      <c r="R268" s="56" t="s">
        <v>2045</v>
      </c>
      <c r="S268" s="56" t="s">
        <v>2046</v>
      </c>
      <c r="T268" s="56" t="s">
        <v>2047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1645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2048</v>
      </c>
      <c r="S269" s="56" t="s">
        <v>2049</v>
      </c>
      <c r="T269" s="56" t="s">
        <v>2050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1645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2051</v>
      </c>
      <c r="S270" s="56" t="s">
        <v>2052</v>
      </c>
      <c r="T270" s="56" t="s">
        <v>2053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1645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2054</v>
      </c>
      <c r="S271" s="56" t="s">
        <v>2055</v>
      </c>
      <c r="T271" s="56" t="s">
        <v>2056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1645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2057</v>
      </c>
      <c r="S272" s="56" t="s">
        <v>2058</v>
      </c>
      <c r="T272" s="56" t="s">
        <v>2059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1645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2060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2061</v>
      </c>
      <c r="S273" s="56" t="s">
        <v>2062</v>
      </c>
      <c r="T273" s="56" t="s">
        <v>1585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1645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2063</v>
      </c>
      <c r="S274" s="56" t="s">
        <v>2064</v>
      </c>
      <c r="T274" s="56" t="s">
        <v>2065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1645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2066</v>
      </c>
      <c r="S275" s="56" t="s">
        <v>2067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1645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2068</v>
      </c>
      <c r="S276" s="56" t="s">
        <v>2069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1645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2070</v>
      </c>
      <c r="S277" s="56" t="s">
        <v>2071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1645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2072</v>
      </c>
      <c r="S278" s="56" t="s">
        <v>2073</v>
      </c>
      <c r="T278" s="56" t="s">
        <v>2074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1645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2075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2076</v>
      </c>
      <c r="S279" s="56" t="s">
        <v>2077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1645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2078</v>
      </c>
      <c r="S280" s="56" t="s">
        <v>2079</v>
      </c>
      <c r="T280" s="56" t="s">
        <v>2080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1645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2081</v>
      </c>
      <c r="N281" s="56">
        <v>2023</v>
      </c>
      <c r="O281" s="56"/>
      <c r="P281" s="56"/>
      <c r="Q281" s="56">
        <v>2505750149</v>
      </c>
      <c r="R281" s="56" t="s">
        <v>2082</v>
      </c>
      <c r="S281" s="56" t="s">
        <v>2083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1645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2084</v>
      </c>
      <c r="S282" s="56" t="s">
        <v>2085</v>
      </c>
      <c r="T282" s="56" t="s">
        <v>1568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1645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2086</v>
      </c>
      <c r="N283" s="56">
        <v>2025</v>
      </c>
      <c r="O283" s="56"/>
      <c r="P283" s="56"/>
      <c r="Q283" s="56">
        <v>2505750151</v>
      </c>
      <c r="R283" s="56" t="s">
        <v>2087</v>
      </c>
      <c r="S283" s="56" t="s">
        <v>2088</v>
      </c>
      <c r="T283" s="56" t="s">
        <v>2089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1645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2013</v>
      </c>
      <c r="N284" s="56">
        <v>2025</v>
      </c>
      <c r="O284" s="56"/>
      <c r="P284" s="56"/>
      <c r="Q284" s="56">
        <v>2505750152</v>
      </c>
      <c r="R284" s="56" t="s">
        <v>2090</v>
      </c>
      <c r="S284" s="56" t="s">
        <v>2091</v>
      </c>
      <c r="T284" s="56" t="s">
        <v>2092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1645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2093</v>
      </c>
      <c r="S285" s="56" t="s">
        <v>2094</v>
      </c>
      <c r="T285" s="56" t="s">
        <v>1592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1645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2095</v>
      </c>
      <c r="S286" s="56" t="s">
        <v>2096</v>
      </c>
      <c r="T286" s="56" t="s">
        <v>1591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1645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2097</v>
      </c>
      <c r="S287" s="56" t="s">
        <v>2098</v>
      </c>
      <c r="T287" s="56" t="s">
        <v>2099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1645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2100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2101</v>
      </c>
      <c r="S288" s="56" t="s">
        <v>2102</v>
      </c>
      <c r="T288" s="56" t="s">
        <v>2103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1645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2104</v>
      </c>
      <c r="S289" s="56" t="s">
        <v>2105</v>
      </c>
      <c r="T289" s="56" t="s">
        <v>2106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1645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2107</v>
      </c>
      <c r="S290" s="56" t="s">
        <v>2108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1645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2109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2110</v>
      </c>
      <c r="S291" s="56" t="s">
        <v>2111</v>
      </c>
      <c r="T291" s="56" t="s">
        <v>2112</v>
      </c>
      <c r="U291" s="56">
        <v>0</v>
      </c>
      <c r="V291" s="56" t="s">
        <v>36</v>
      </c>
      <c r="W291" s="56" t="s">
        <v>2113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1645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2114</v>
      </c>
      <c r="M292" s="56" t="s">
        <v>2115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2116</v>
      </c>
      <c r="S292" s="56" t="s">
        <v>2117</v>
      </c>
      <c r="T292" s="56" t="s">
        <v>2118</v>
      </c>
      <c r="U292" s="56">
        <v>0</v>
      </c>
      <c r="V292" s="56" t="s">
        <v>36</v>
      </c>
      <c r="W292" s="56" t="s">
        <v>2119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1645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2120</v>
      </c>
      <c r="N293" s="56">
        <v>2025</v>
      </c>
      <c r="O293" s="56"/>
      <c r="P293" s="56"/>
      <c r="Q293" s="56">
        <v>2505750161</v>
      </c>
      <c r="R293" s="56" t="s">
        <v>2121</v>
      </c>
      <c r="S293" s="56" t="s">
        <v>2122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1645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2123</v>
      </c>
      <c r="S294" s="56" t="s">
        <v>2124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1645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2120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2125</v>
      </c>
      <c r="S295" s="56" t="s">
        <v>2126</v>
      </c>
      <c r="T295" s="56" t="s">
        <v>1991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1645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2127</v>
      </c>
      <c r="S296" s="56" t="s">
        <v>2128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1645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2129</v>
      </c>
      <c r="S297" s="56" t="s">
        <v>2130</v>
      </c>
      <c r="T297" s="56" t="s">
        <v>1698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1645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2131</v>
      </c>
      <c r="S298" s="56" t="s">
        <v>2132</v>
      </c>
      <c r="T298" s="56" t="s">
        <v>2133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1645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2661</v>
      </c>
      <c r="S299" s="56" t="s">
        <v>2662</v>
      </c>
      <c r="T299" s="56" t="s">
        <v>2663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1645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2675</v>
      </c>
      <c r="S300" s="56" t="s">
        <v>2676</v>
      </c>
      <c r="T300" s="56" t="s">
        <v>2677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1645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2720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2678</v>
      </c>
      <c r="S301" s="56" t="s">
        <v>2679</v>
      </c>
      <c r="T301" s="56" t="s">
        <v>2680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1645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2681</v>
      </c>
      <c r="S302" s="56" t="s">
        <v>2682</v>
      </c>
      <c r="T302" s="56" t="s">
        <v>2683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1645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2688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2689</v>
      </c>
      <c r="S303" s="56" t="s">
        <v>2690</v>
      </c>
      <c r="T303" s="56" t="s">
        <v>2691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1645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2692</v>
      </c>
      <c r="S304" s="56" t="s">
        <v>2693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1645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2694</v>
      </c>
      <c r="S305" s="56" t="s">
        <v>2695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1645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2696</v>
      </c>
      <c r="S306" s="56" t="s">
        <v>2697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1645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2704</v>
      </c>
      <c r="S307" s="56" t="s">
        <v>2705</v>
      </c>
      <c r="T307" s="56" t="s">
        <v>2706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1645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2707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2708</v>
      </c>
      <c r="S308" s="56" t="s">
        <v>2709</v>
      </c>
      <c r="T308" s="56" t="s">
        <v>2710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1645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1953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2744</v>
      </c>
      <c r="S309" s="56" t="s">
        <v>2745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1645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2746</v>
      </c>
      <c r="S310" s="56" t="s">
        <v>2747</v>
      </c>
      <c r="T310" s="56" t="s">
        <v>1577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1645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2748</v>
      </c>
      <c r="S311" s="56" t="s">
        <v>2749</v>
      </c>
      <c r="T311" s="56" t="s">
        <v>2750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1645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2751</v>
      </c>
      <c r="S312" s="56" t="s">
        <v>2752</v>
      </c>
      <c r="T312" s="56" t="s">
        <v>2030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1645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2765</v>
      </c>
      <c r="S313" s="56" t="s">
        <v>2766</v>
      </c>
      <c r="T313" s="56" t="s">
        <v>2767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1645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2768</v>
      </c>
      <c r="S314" s="56" t="s">
        <v>2769</v>
      </c>
      <c r="T314" s="56" t="s">
        <v>1844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1645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2770</v>
      </c>
      <c r="S315" s="56" t="s">
        <v>2771</v>
      </c>
      <c r="T315" s="56" t="s">
        <v>2772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1645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2773</v>
      </c>
      <c r="S316" s="56" t="s">
        <v>2774</v>
      </c>
      <c r="T316" s="56" t="s">
        <v>2775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1645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2776</v>
      </c>
      <c r="S317" s="56" t="s">
        <v>2777</v>
      </c>
      <c r="T317" s="56" t="s">
        <v>2778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1645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2779</v>
      </c>
      <c r="S318" s="56" t="s">
        <v>2780</v>
      </c>
      <c r="T318" s="56" t="s">
        <v>1844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1645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2781</v>
      </c>
      <c r="S319" s="56" t="s">
        <v>2782</v>
      </c>
      <c r="T319" s="56" t="s">
        <v>1575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1645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1564</v>
      </c>
      <c r="S320" s="56" t="s">
        <v>1565</v>
      </c>
      <c r="T320" s="56" t="s">
        <v>2783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1645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2134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2135</v>
      </c>
      <c r="S321" s="56" t="s">
        <v>2136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1645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1701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2137</v>
      </c>
      <c r="S322" s="56" t="s">
        <v>2138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1645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2139</v>
      </c>
      <c r="S323" s="56" t="s">
        <v>2140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1645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2141</v>
      </c>
      <c r="S324" s="56" t="s">
        <v>2142</v>
      </c>
      <c r="T324" s="56" t="s">
        <v>2143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1645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2134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2144</v>
      </c>
      <c r="S325" s="56" t="s">
        <v>2145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1645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2146</v>
      </c>
      <c r="S326" s="56" t="s">
        <v>2147</v>
      </c>
      <c r="T326" s="56" t="s">
        <v>2148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1645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2149</v>
      </c>
      <c r="S327" s="56" t="s">
        <v>2150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1645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2134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2151</v>
      </c>
      <c r="S328" s="56" t="s">
        <v>2152</v>
      </c>
      <c r="T328" s="56" t="s">
        <v>2153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1645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2154</v>
      </c>
      <c r="S329" s="56" t="s">
        <v>2155</v>
      </c>
      <c r="T329" s="56" t="s">
        <v>2156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1645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2157</v>
      </c>
      <c r="S330" s="56" t="s">
        <v>2158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1645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2159</v>
      </c>
      <c r="S331" s="56" t="s">
        <v>2160</v>
      </c>
      <c r="T331" s="56" t="s">
        <v>2161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1645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2162</v>
      </c>
      <c r="S332" s="56" t="s">
        <v>2163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1645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2164</v>
      </c>
      <c r="S333" s="56" t="s">
        <v>2165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1645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2166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2167</v>
      </c>
      <c r="S334" s="56" t="s">
        <v>2168</v>
      </c>
      <c r="T334" s="56" t="s">
        <v>2169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1645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2170</v>
      </c>
      <c r="S335" s="56" t="s">
        <v>2171</v>
      </c>
      <c r="T335" s="56" t="s">
        <v>2172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1645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2173</v>
      </c>
      <c r="S336" s="56" t="s">
        <v>2174</v>
      </c>
      <c r="T336" s="56" t="s">
        <v>2175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1645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2176</v>
      </c>
      <c r="S337" s="56" t="s">
        <v>2177</v>
      </c>
      <c r="T337" s="56" t="s">
        <v>2178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1645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2179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2180</v>
      </c>
      <c r="S338" s="56" t="s">
        <v>2181</v>
      </c>
      <c r="T338" s="56" t="s">
        <v>2182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1645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2183</v>
      </c>
      <c r="S339" s="56" t="s">
        <v>2184</v>
      </c>
      <c r="T339" s="56" t="s">
        <v>2185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1645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2186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2187</v>
      </c>
      <c r="S340" s="56" t="s">
        <v>2188</v>
      </c>
      <c r="T340" s="56" t="s">
        <v>2189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1645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2190</v>
      </c>
      <c r="S341" s="56" t="s">
        <v>2191</v>
      </c>
      <c r="T341" s="56" t="s">
        <v>2192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1645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2193</v>
      </c>
      <c r="S342" s="56" t="s">
        <v>2194</v>
      </c>
      <c r="T342" s="56" t="s">
        <v>2195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1645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2017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2196</v>
      </c>
      <c r="S343" s="56" t="s">
        <v>2197</v>
      </c>
      <c r="T343" s="56" t="s">
        <v>2198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1645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2199</v>
      </c>
      <c r="S344" s="56" t="s">
        <v>2200</v>
      </c>
      <c r="T344" s="56" t="s">
        <v>2201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1645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2202</v>
      </c>
      <c r="S345" s="56" t="s">
        <v>2203</v>
      </c>
      <c r="T345" s="56" t="s">
        <v>2204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1645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2205</v>
      </c>
      <c r="S346" s="56" t="s">
        <v>2206</v>
      </c>
      <c r="T346" s="56" t="s">
        <v>2207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1645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2208</v>
      </c>
      <c r="S347" s="56" t="s">
        <v>2209</v>
      </c>
      <c r="T347" s="56" t="s">
        <v>2210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1645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2211</v>
      </c>
      <c r="S348" s="56" t="s">
        <v>2212</v>
      </c>
      <c r="T348" s="56" t="s">
        <v>2213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1645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2214</v>
      </c>
      <c r="S349" s="56" t="s">
        <v>2215</v>
      </c>
      <c r="T349" s="56" t="s">
        <v>2216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1645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2217</v>
      </c>
      <c r="S350" s="56" t="s">
        <v>2218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1645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2219</v>
      </c>
      <c r="S351" s="56" t="s">
        <v>2220</v>
      </c>
      <c r="T351" s="56" t="s">
        <v>2221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1645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2222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2223</v>
      </c>
      <c r="S352" s="56" t="s">
        <v>2224</v>
      </c>
      <c r="T352" s="56" t="s">
        <v>2225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1645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2226</v>
      </c>
      <c r="S353" s="56" t="s">
        <v>2227</v>
      </c>
      <c r="T353" s="56" t="s">
        <v>2228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1645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2229</v>
      </c>
      <c r="S354" s="56" t="s">
        <v>2230</v>
      </c>
      <c r="T354" s="56" t="s">
        <v>1713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1645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2231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2232</v>
      </c>
      <c r="S355" s="56" t="s">
        <v>2233</v>
      </c>
      <c r="T355" s="56" t="s">
        <v>2234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1645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2235</v>
      </c>
      <c r="S356" s="56" t="s">
        <v>2236</v>
      </c>
      <c r="T356" s="56" t="s">
        <v>2237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1645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2238</v>
      </c>
      <c r="S357" s="56" t="s">
        <v>2239</v>
      </c>
      <c r="T357" s="56" t="s">
        <v>1362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1645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2240</v>
      </c>
      <c r="S358" s="56" t="s">
        <v>2241</v>
      </c>
      <c r="T358" s="56" t="s">
        <v>2242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1645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2243</v>
      </c>
      <c r="S359" s="56" t="s">
        <v>2244</v>
      </c>
      <c r="T359" s="56" t="s">
        <v>2245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1645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2246</v>
      </c>
      <c r="S360" s="56" t="s">
        <v>2247</v>
      </c>
      <c r="T360" s="56" t="s">
        <v>2213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1645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2248</v>
      </c>
      <c r="S361" s="56" t="s">
        <v>2249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1645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2250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2251</v>
      </c>
      <c r="S362" s="56" t="s">
        <v>2252</v>
      </c>
      <c r="T362" s="56" t="s">
        <v>1558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1645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2253</v>
      </c>
      <c r="S363" s="56" t="s">
        <v>2254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1645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2687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2255</v>
      </c>
      <c r="S364" s="56" t="s">
        <v>2256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1645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2257</v>
      </c>
      <c r="S365" s="56" t="s">
        <v>2258</v>
      </c>
      <c r="T365" s="56" t="s">
        <v>2259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1645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2260</v>
      </c>
      <c r="M366" s="56" t="s">
        <v>2261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2262</v>
      </c>
      <c r="S366" s="56" t="s">
        <v>2263</v>
      </c>
      <c r="T366" s="56" t="s">
        <v>2264</v>
      </c>
      <c r="U366" s="56">
        <v>0</v>
      </c>
      <c r="V366" s="56" t="s">
        <v>36</v>
      </c>
      <c r="W366" s="56" t="s">
        <v>2265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1645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2231</v>
      </c>
      <c r="N367" s="56">
        <v>2025</v>
      </c>
      <c r="O367" s="56"/>
      <c r="P367" s="56"/>
      <c r="Q367" s="56">
        <v>2513050047</v>
      </c>
      <c r="R367" s="56" t="s">
        <v>2266</v>
      </c>
      <c r="S367" s="56" t="s">
        <v>2267</v>
      </c>
      <c r="T367" s="56" t="s">
        <v>2268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1645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2269</v>
      </c>
      <c r="S368" s="56" t="s">
        <v>2270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1645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2684</v>
      </c>
      <c r="S369" s="56" t="s">
        <v>2685</v>
      </c>
      <c r="T369" s="56" t="s">
        <v>2686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1645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2698</v>
      </c>
      <c r="S370" s="56" t="s">
        <v>2699</v>
      </c>
      <c r="T370" s="56" t="s">
        <v>2700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1645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2717</v>
      </c>
      <c r="S371" s="56" t="s">
        <v>2718</v>
      </c>
      <c r="T371" s="56" t="s">
        <v>2719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1645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2753</v>
      </c>
      <c r="S372" s="56" t="s">
        <v>2754</v>
      </c>
      <c r="T372" s="56" t="s">
        <v>2755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1645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2756</v>
      </c>
      <c r="S373" s="56" t="s">
        <v>2757</v>
      </c>
      <c r="T373" s="56" t="s">
        <v>2758</v>
      </c>
      <c r="U373" s="56">
        <v>0</v>
      </c>
      <c r="V373" s="56" t="s">
        <v>36</v>
      </c>
      <c r="W373" s="56" t="s">
        <v>2759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1645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2271</v>
      </c>
      <c r="S374" s="56" t="s">
        <v>2272</v>
      </c>
      <c r="T374" s="56" t="s">
        <v>2273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1645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1678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2274</v>
      </c>
      <c r="S375" s="56" t="s">
        <v>2275</v>
      </c>
      <c r="T375" s="56" t="s">
        <v>2276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1645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2277</v>
      </c>
      <c r="S376" s="56" t="s">
        <v>2278</v>
      </c>
      <c r="T376" s="56" t="s">
        <v>2279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1645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1718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2280</v>
      </c>
      <c r="S377" s="56" t="s">
        <v>2281</v>
      </c>
      <c r="T377" s="56" t="s">
        <v>2282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1645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2134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2283</v>
      </c>
      <c r="S378" s="56" t="s">
        <v>2284</v>
      </c>
      <c r="T378" s="56" t="s">
        <v>2285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1645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1995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2286</v>
      </c>
      <c r="S379" s="56" t="s">
        <v>2287</v>
      </c>
      <c r="T379" s="56" t="s">
        <v>2288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1645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2289</v>
      </c>
      <c r="S380" s="56" t="s">
        <v>2290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1645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2291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2292</v>
      </c>
      <c r="S381" s="56" t="s">
        <v>2293</v>
      </c>
      <c r="T381" s="56" t="s">
        <v>2294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1645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2295</v>
      </c>
      <c r="S382" s="56" t="s">
        <v>2296</v>
      </c>
      <c r="T382" s="56" t="s">
        <v>2297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1645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2298</v>
      </c>
      <c r="N383" s="56">
        <v>2025</v>
      </c>
      <c r="O383" s="56"/>
      <c r="P383" s="56"/>
      <c r="Q383" s="56">
        <v>2513150010</v>
      </c>
      <c r="R383" s="56" t="s">
        <v>2299</v>
      </c>
      <c r="S383" s="56" t="s">
        <v>2300</v>
      </c>
      <c r="T383" s="56" t="s">
        <v>2301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1645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2302</v>
      </c>
      <c r="S384" s="56" t="s">
        <v>2303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1645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2304</v>
      </c>
      <c r="S385" s="56" t="s">
        <v>2305</v>
      </c>
      <c r="T385" s="56" t="s">
        <v>2297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1645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2306</v>
      </c>
      <c r="S386" s="56" t="s">
        <v>2307</v>
      </c>
      <c r="T386" s="56" t="s">
        <v>2308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1645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2309</v>
      </c>
      <c r="S387" s="56" t="s">
        <v>2310</v>
      </c>
      <c r="T387" s="56" t="s">
        <v>2311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1645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2312</v>
      </c>
      <c r="S388" s="56" t="s">
        <v>2313</v>
      </c>
      <c r="T388" s="56" t="s">
        <v>2314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1645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2260</v>
      </c>
      <c r="M389" s="56" t="s">
        <v>2315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2316</v>
      </c>
      <c r="S389" s="56" t="s">
        <v>2317</v>
      </c>
      <c r="T389" s="56" t="s">
        <v>2318</v>
      </c>
      <c r="U389" s="56">
        <v>0</v>
      </c>
      <c r="V389" s="56" t="s">
        <v>36</v>
      </c>
      <c r="W389" s="56" t="s">
        <v>2265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1645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2319</v>
      </c>
      <c r="S390" s="56" t="s">
        <v>2320</v>
      </c>
      <c r="T390" s="56" t="s">
        <v>2321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1645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2322</v>
      </c>
      <c r="S391" s="56" t="s">
        <v>2323</v>
      </c>
      <c r="T391" s="56" t="s">
        <v>2324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1645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2325</v>
      </c>
      <c r="S392" s="56" t="s">
        <v>2326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1645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2327</v>
      </c>
      <c r="S393" s="56" t="s">
        <v>2328</v>
      </c>
      <c r="T393" s="56" t="s">
        <v>2329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1645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2330</v>
      </c>
      <c r="S394" s="56" t="s">
        <v>2331</v>
      </c>
      <c r="T394" s="56" t="s">
        <v>2332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1645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2333</v>
      </c>
      <c r="S395" s="56" t="s">
        <v>2334</v>
      </c>
      <c r="T395" s="56" t="s">
        <v>2201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1645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2335</v>
      </c>
      <c r="S396" s="56" t="s">
        <v>2336</v>
      </c>
      <c r="T396" s="56" t="s">
        <v>2337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1645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2338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2339</v>
      </c>
      <c r="S397" s="56" t="s">
        <v>2340</v>
      </c>
      <c r="T397" s="56" t="s">
        <v>2341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1645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2342</v>
      </c>
      <c r="S398" s="56" t="s">
        <v>2343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1645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1717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2344</v>
      </c>
      <c r="S399" s="56" t="s">
        <v>2345</v>
      </c>
      <c r="T399" s="56" t="s">
        <v>2346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1645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1718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2347</v>
      </c>
      <c r="S400" s="56" t="s">
        <v>2348</v>
      </c>
      <c r="T400" s="56" t="s">
        <v>2349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1645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2350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2351</v>
      </c>
      <c r="S401" s="56" t="s">
        <v>2352</v>
      </c>
      <c r="T401" s="56" t="s">
        <v>2353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64"/>
  <sheetViews>
    <sheetView workbookViewId="0">
      <selection activeCell="I14" sqref="I14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59765625" bestFit="1" customWidth="1"/>
  </cols>
  <sheetData>
    <row r="1" spans="1:2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2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2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B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2025年度出願</vt:lpstr>
      <vt:lpstr>2026年度出願</vt:lpstr>
      <vt:lpstr>2027年度出願</vt:lpstr>
      <vt:lpstr>昨年比</vt:lpstr>
      <vt:lpstr>日付設定</vt:lpstr>
      <vt:lpstr>Sheet4</vt:lpstr>
      <vt:lpstr>昨年比(3)</vt:lpstr>
      <vt:lpstr>昨年比(2)確認用</vt:lpstr>
      <vt:lpstr>昨年比(2)・旧</vt:lpstr>
      <vt:lpstr>昨年比・旧</vt:lpstr>
      <vt:lpstr>2024年度出願</vt:lpstr>
      <vt:lpstr>2024年度AOエントリー</vt:lpstr>
      <vt:lpstr>2025年度AOエントリー</vt:lpstr>
      <vt:lpstr>2026年度AOエントリー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加藤 太郎</cp:lastModifiedBy>
  <cp:lastPrinted>2025-03-29T06:36:59Z</cp:lastPrinted>
  <dcterms:created xsi:type="dcterms:W3CDTF">2024-05-30T08:39:31Z</dcterms:created>
  <dcterms:modified xsi:type="dcterms:W3CDTF">2026-10-31T12:20:52Z</dcterms:modified>
</cp:coreProperties>
</file>